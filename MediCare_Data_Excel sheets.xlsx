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7158568ed8967c3b/Desktop/"/>
    </mc:Choice>
  </mc:AlternateContent>
  <xr:revisionPtr revIDLastSave="0" documentId="8_{D325AA42-2C89-44BD-8899-26EE1D22A0AA}" xr6:coauthVersionLast="47" xr6:coauthVersionMax="47" xr10:uidLastSave="{00000000-0000-0000-0000-000000000000}"/>
  <bookViews>
    <workbookView xWindow="-108" yWindow="-108" windowWidth="23256" windowHeight="13896" xr2:uid="{00000000-000D-0000-FFFF-FFFF00000000}"/>
  </bookViews>
  <sheets>
    <sheet name="MEDICARE RAW DATA" sheetId="1" r:id="rId1"/>
    <sheet name="MEDICARE DATA WORKING SHEET" sheetId="2" r:id="rId2"/>
    <sheet name="WORKING SHEET 2" sheetId="8" r:id="rId3"/>
    <sheet name="MEDICARE DATA KPI" sheetId="3" r:id="rId4"/>
    <sheet name="PIVOT TABLE WORK SHEET" sheetId="17" r:id="rId5"/>
    <sheet name="Excel Dashboard" sheetId="23" r:id="rId6"/>
  </sheets>
  <definedNames>
    <definedName name="Slicer_Insurance_Type">#N/A</definedName>
    <definedName name="Slicer_Patient_Gender">#N/A</definedName>
    <definedName name="Slicer_Treatment_Typ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8" l="1" a="1"/>
  <c r="N3" i="8" s="1"/>
  <c r="M1002" i="8"/>
  <c r="I1002" i="8"/>
  <c r="O1001" i="8"/>
  <c r="N1001" i="8" a="1"/>
  <c r="N1001" i="8" s="1"/>
  <c r="O1000" i="8"/>
  <c r="N1000" i="8" a="1"/>
  <c r="N1000" i="8" s="1"/>
  <c r="O999" i="8"/>
  <c r="N999" i="8" a="1"/>
  <c r="N999" i="8" s="1"/>
  <c r="O998" i="8"/>
  <c r="N998" i="8" a="1"/>
  <c r="N998" i="8" s="1"/>
  <c r="O997" i="8"/>
  <c r="N997" i="8" a="1"/>
  <c r="N997" i="8" s="1"/>
  <c r="O996" i="8"/>
  <c r="N996" i="8" a="1"/>
  <c r="N996" i="8" s="1"/>
  <c r="O995" i="8"/>
  <c r="N995" i="8" a="1"/>
  <c r="N995" i="8" s="1"/>
  <c r="O994" i="8"/>
  <c r="N994" i="8" a="1"/>
  <c r="N994" i="8" s="1"/>
  <c r="O993" i="8"/>
  <c r="N993" i="8" a="1"/>
  <c r="N993" i="8" s="1"/>
  <c r="O992" i="8"/>
  <c r="N992" i="8" a="1"/>
  <c r="N992" i="8" s="1"/>
  <c r="O991" i="8"/>
  <c r="N991" i="8" a="1"/>
  <c r="N991" i="8" s="1"/>
  <c r="O990" i="8"/>
  <c r="N990" i="8" a="1"/>
  <c r="N990" i="8" s="1"/>
  <c r="O989" i="8"/>
  <c r="N989" i="8" a="1"/>
  <c r="N989" i="8" s="1"/>
  <c r="O988" i="8"/>
  <c r="N988" i="8" a="1"/>
  <c r="N988" i="8" s="1"/>
  <c r="O987" i="8"/>
  <c r="N987" i="8" a="1"/>
  <c r="N987" i="8" s="1"/>
  <c r="O986" i="8"/>
  <c r="N986" i="8" a="1"/>
  <c r="N986" i="8" s="1"/>
  <c r="O985" i="8"/>
  <c r="N985" i="8" a="1"/>
  <c r="N985" i="8" s="1"/>
  <c r="O984" i="8"/>
  <c r="N984" i="8" a="1"/>
  <c r="N984" i="8" s="1"/>
  <c r="O983" i="8"/>
  <c r="N983" i="8" a="1"/>
  <c r="N983" i="8" s="1"/>
  <c r="O982" i="8"/>
  <c r="N982" i="8" a="1"/>
  <c r="N982" i="8" s="1"/>
  <c r="O981" i="8"/>
  <c r="N981" i="8" a="1"/>
  <c r="N981" i="8" s="1"/>
  <c r="O980" i="8"/>
  <c r="N980" i="8" a="1"/>
  <c r="N980" i="8" s="1"/>
  <c r="O979" i="8"/>
  <c r="N979" i="8" a="1"/>
  <c r="N979" i="8" s="1"/>
  <c r="O978" i="8"/>
  <c r="N978" i="8" a="1"/>
  <c r="N978" i="8" s="1"/>
  <c r="O977" i="8"/>
  <c r="N977" i="8" a="1"/>
  <c r="N977" i="8" s="1"/>
  <c r="O976" i="8"/>
  <c r="N976" i="8" a="1"/>
  <c r="N976" i="8" s="1"/>
  <c r="O975" i="8"/>
  <c r="N975" i="8" a="1"/>
  <c r="N975" i="8" s="1"/>
  <c r="O974" i="8"/>
  <c r="N974" i="8" a="1"/>
  <c r="N974" i="8" s="1"/>
  <c r="O973" i="8"/>
  <c r="N973" i="8" a="1"/>
  <c r="N973" i="8" s="1"/>
  <c r="O972" i="8"/>
  <c r="N972" i="8" a="1"/>
  <c r="N972" i="8" s="1"/>
  <c r="O971" i="8"/>
  <c r="N971" i="8" a="1"/>
  <c r="N971" i="8" s="1"/>
  <c r="O970" i="8"/>
  <c r="N970" i="8" a="1"/>
  <c r="N970" i="8" s="1"/>
  <c r="O969" i="8"/>
  <c r="N969" i="8" a="1"/>
  <c r="N969" i="8" s="1"/>
  <c r="O968" i="8"/>
  <c r="N968" i="8" a="1"/>
  <c r="N968" i="8" s="1"/>
  <c r="O967" i="8"/>
  <c r="N967" i="8" a="1"/>
  <c r="N967" i="8" s="1"/>
  <c r="O966" i="8"/>
  <c r="N966" i="8" a="1"/>
  <c r="N966" i="8" s="1"/>
  <c r="O965" i="8"/>
  <c r="N965" i="8" a="1"/>
  <c r="N965" i="8" s="1"/>
  <c r="O964" i="8"/>
  <c r="N964" i="8" a="1"/>
  <c r="N964" i="8" s="1"/>
  <c r="O963" i="8"/>
  <c r="N963" i="8" a="1"/>
  <c r="N963" i="8" s="1"/>
  <c r="O962" i="8"/>
  <c r="N962" i="8" a="1"/>
  <c r="N962" i="8" s="1"/>
  <c r="O961" i="8"/>
  <c r="N961" i="8" a="1"/>
  <c r="N961" i="8" s="1"/>
  <c r="O960" i="8"/>
  <c r="N960" i="8" a="1"/>
  <c r="N960" i="8" s="1"/>
  <c r="O959" i="8"/>
  <c r="N959" i="8" a="1"/>
  <c r="N959" i="8" s="1"/>
  <c r="O958" i="8"/>
  <c r="N958" i="8" a="1"/>
  <c r="N958" i="8" s="1"/>
  <c r="O957" i="8"/>
  <c r="N957" i="8" a="1"/>
  <c r="N957" i="8" s="1"/>
  <c r="O956" i="8"/>
  <c r="N956" i="8" a="1"/>
  <c r="N956" i="8" s="1"/>
  <c r="O955" i="8"/>
  <c r="N955" i="8" a="1"/>
  <c r="N955" i="8" s="1"/>
  <c r="O954" i="8"/>
  <c r="N954" i="8" a="1"/>
  <c r="N954" i="8" s="1"/>
  <c r="O953" i="8"/>
  <c r="N953" i="8" a="1"/>
  <c r="N953" i="8" s="1"/>
  <c r="O952" i="8"/>
  <c r="N952" i="8" a="1"/>
  <c r="N952" i="8" s="1"/>
  <c r="O951" i="8"/>
  <c r="N951" i="8" a="1"/>
  <c r="N951" i="8" s="1"/>
  <c r="O950" i="8"/>
  <c r="N950" i="8" a="1"/>
  <c r="N950" i="8" s="1"/>
  <c r="O949" i="8"/>
  <c r="N949" i="8" a="1"/>
  <c r="N949" i="8" s="1"/>
  <c r="O948" i="8"/>
  <c r="N948" i="8" a="1"/>
  <c r="N948" i="8" s="1"/>
  <c r="O947" i="8"/>
  <c r="N947" i="8" a="1"/>
  <c r="N947" i="8" s="1"/>
  <c r="O946" i="8"/>
  <c r="N946" i="8" a="1"/>
  <c r="N946" i="8" s="1"/>
  <c r="O945" i="8"/>
  <c r="N945" i="8" a="1"/>
  <c r="N945" i="8" s="1"/>
  <c r="O944" i="8"/>
  <c r="N944" i="8" a="1"/>
  <c r="N944" i="8" s="1"/>
  <c r="O943" i="8"/>
  <c r="N943" i="8" a="1"/>
  <c r="N943" i="8" s="1"/>
  <c r="O942" i="8"/>
  <c r="N942" i="8" a="1"/>
  <c r="N942" i="8" s="1"/>
  <c r="O941" i="8"/>
  <c r="N941" i="8" a="1"/>
  <c r="N941" i="8" s="1"/>
  <c r="O940" i="8"/>
  <c r="N940" i="8" a="1"/>
  <c r="N940" i="8" s="1"/>
  <c r="O939" i="8"/>
  <c r="N939" i="8" a="1"/>
  <c r="N939" i="8" s="1"/>
  <c r="O938" i="8"/>
  <c r="N938" i="8" a="1"/>
  <c r="N938" i="8" s="1"/>
  <c r="O937" i="8"/>
  <c r="N937" i="8" a="1"/>
  <c r="N937" i="8" s="1"/>
  <c r="O936" i="8"/>
  <c r="N936" i="8" a="1"/>
  <c r="N936" i="8" s="1"/>
  <c r="O935" i="8"/>
  <c r="N935" i="8" a="1"/>
  <c r="N935" i="8" s="1"/>
  <c r="O934" i="8"/>
  <c r="N934" i="8" a="1"/>
  <c r="N934" i="8" s="1"/>
  <c r="O933" i="8"/>
  <c r="N933" i="8" a="1"/>
  <c r="N933" i="8" s="1"/>
  <c r="O932" i="8"/>
  <c r="N932" i="8" a="1"/>
  <c r="N932" i="8" s="1"/>
  <c r="O931" i="8"/>
  <c r="N931" i="8" a="1"/>
  <c r="N931" i="8" s="1"/>
  <c r="O930" i="8"/>
  <c r="N930" i="8" a="1"/>
  <c r="N930" i="8" s="1"/>
  <c r="O929" i="8"/>
  <c r="N929" i="8" a="1"/>
  <c r="N929" i="8" s="1"/>
  <c r="O928" i="8"/>
  <c r="N928" i="8" a="1"/>
  <c r="N928" i="8" s="1"/>
  <c r="O927" i="8"/>
  <c r="N927" i="8" a="1"/>
  <c r="N927" i="8" s="1"/>
  <c r="O926" i="8"/>
  <c r="N926" i="8" a="1"/>
  <c r="N926" i="8" s="1"/>
  <c r="O925" i="8"/>
  <c r="N925" i="8" a="1"/>
  <c r="N925" i="8" s="1"/>
  <c r="O924" i="8"/>
  <c r="N924" i="8" a="1"/>
  <c r="N924" i="8" s="1"/>
  <c r="O923" i="8"/>
  <c r="N923" i="8" a="1"/>
  <c r="N923" i="8" s="1"/>
  <c r="O922" i="8"/>
  <c r="N922" i="8" a="1"/>
  <c r="N922" i="8" s="1"/>
  <c r="O921" i="8"/>
  <c r="N921" i="8" a="1"/>
  <c r="N921" i="8" s="1"/>
  <c r="O920" i="8"/>
  <c r="N920" i="8" a="1"/>
  <c r="N920" i="8" s="1"/>
  <c r="O919" i="8"/>
  <c r="N919" i="8" a="1"/>
  <c r="N919" i="8" s="1"/>
  <c r="O918" i="8"/>
  <c r="N918" i="8" a="1"/>
  <c r="N918" i="8" s="1"/>
  <c r="O917" i="8"/>
  <c r="N917" i="8" a="1"/>
  <c r="N917" i="8" s="1"/>
  <c r="O916" i="8"/>
  <c r="N916" i="8" a="1"/>
  <c r="N916" i="8" s="1"/>
  <c r="O915" i="8"/>
  <c r="N915" i="8" a="1"/>
  <c r="N915" i="8" s="1"/>
  <c r="O914" i="8"/>
  <c r="N914" i="8" a="1"/>
  <c r="N914" i="8" s="1"/>
  <c r="O913" i="8"/>
  <c r="N913" i="8" a="1"/>
  <c r="N913" i="8" s="1"/>
  <c r="O912" i="8"/>
  <c r="N912" i="8" a="1"/>
  <c r="N912" i="8" s="1"/>
  <c r="O911" i="8"/>
  <c r="N911" i="8" a="1"/>
  <c r="N911" i="8" s="1"/>
  <c r="O910" i="8"/>
  <c r="N910" i="8" a="1"/>
  <c r="N910" i="8" s="1"/>
  <c r="O909" i="8"/>
  <c r="N909" i="8" a="1"/>
  <c r="N909" i="8" s="1"/>
  <c r="O908" i="8"/>
  <c r="N908" i="8" a="1"/>
  <c r="N908" i="8" s="1"/>
  <c r="O907" i="8"/>
  <c r="N907" i="8" a="1"/>
  <c r="N907" i="8" s="1"/>
  <c r="O906" i="8"/>
  <c r="N906" i="8" a="1"/>
  <c r="N906" i="8" s="1"/>
  <c r="O905" i="8"/>
  <c r="N905" i="8" a="1"/>
  <c r="N905" i="8" s="1"/>
  <c r="O904" i="8"/>
  <c r="N904" i="8" a="1"/>
  <c r="N904" i="8" s="1"/>
  <c r="O903" i="8"/>
  <c r="N903" i="8" a="1"/>
  <c r="N903" i="8" s="1"/>
  <c r="O902" i="8"/>
  <c r="N902" i="8" a="1"/>
  <c r="N902" i="8" s="1"/>
  <c r="O901" i="8"/>
  <c r="N901" i="8" a="1"/>
  <c r="N901" i="8" s="1"/>
  <c r="O900" i="8"/>
  <c r="N900" i="8" a="1"/>
  <c r="N900" i="8" s="1"/>
  <c r="O899" i="8"/>
  <c r="N899" i="8" a="1"/>
  <c r="N899" i="8" s="1"/>
  <c r="O898" i="8"/>
  <c r="N898" i="8" a="1"/>
  <c r="N898" i="8" s="1"/>
  <c r="O897" i="8"/>
  <c r="N897" i="8" a="1"/>
  <c r="N897" i="8" s="1"/>
  <c r="O896" i="8"/>
  <c r="N896" i="8" a="1"/>
  <c r="N896" i="8" s="1"/>
  <c r="O895" i="8"/>
  <c r="N895" i="8" a="1"/>
  <c r="N895" i="8" s="1"/>
  <c r="O894" i="8"/>
  <c r="N894" i="8" a="1"/>
  <c r="N894" i="8" s="1"/>
  <c r="O893" i="8"/>
  <c r="N893" i="8" a="1"/>
  <c r="N893" i="8" s="1"/>
  <c r="O892" i="8"/>
  <c r="N892" i="8" a="1"/>
  <c r="N892" i="8" s="1"/>
  <c r="O891" i="8"/>
  <c r="N891" i="8" a="1"/>
  <c r="N891" i="8" s="1"/>
  <c r="O890" i="8"/>
  <c r="N890" i="8" a="1"/>
  <c r="N890" i="8" s="1"/>
  <c r="O889" i="8"/>
  <c r="N889" i="8" a="1"/>
  <c r="N889" i="8" s="1"/>
  <c r="O888" i="8"/>
  <c r="N888" i="8" a="1"/>
  <c r="N888" i="8" s="1"/>
  <c r="O887" i="8"/>
  <c r="N887" i="8" a="1"/>
  <c r="N887" i="8" s="1"/>
  <c r="O886" i="8"/>
  <c r="N886" i="8" a="1"/>
  <c r="N886" i="8" s="1"/>
  <c r="O885" i="8"/>
  <c r="N885" i="8" a="1"/>
  <c r="N885" i="8" s="1"/>
  <c r="O884" i="8"/>
  <c r="N884" i="8" a="1"/>
  <c r="N884" i="8" s="1"/>
  <c r="O883" i="8"/>
  <c r="N883" i="8" a="1"/>
  <c r="N883" i="8" s="1"/>
  <c r="O882" i="8"/>
  <c r="N882" i="8" a="1"/>
  <c r="N882" i="8" s="1"/>
  <c r="O881" i="8"/>
  <c r="N881" i="8" a="1"/>
  <c r="N881" i="8" s="1"/>
  <c r="O880" i="8"/>
  <c r="N880" i="8" a="1"/>
  <c r="N880" i="8" s="1"/>
  <c r="O879" i="8"/>
  <c r="N879" i="8" a="1"/>
  <c r="N879" i="8" s="1"/>
  <c r="O878" i="8"/>
  <c r="N878" i="8" a="1"/>
  <c r="N878" i="8" s="1"/>
  <c r="O877" i="8"/>
  <c r="N877" i="8" a="1"/>
  <c r="N877" i="8" s="1"/>
  <c r="O876" i="8"/>
  <c r="N876" i="8" a="1"/>
  <c r="N876" i="8" s="1"/>
  <c r="O875" i="8"/>
  <c r="N875" i="8" a="1"/>
  <c r="N875" i="8" s="1"/>
  <c r="O874" i="8"/>
  <c r="N874" i="8" a="1"/>
  <c r="N874" i="8" s="1"/>
  <c r="O873" i="8"/>
  <c r="N873" i="8" a="1"/>
  <c r="N873" i="8" s="1"/>
  <c r="O872" i="8"/>
  <c r="N872" i="8" a="1"/>
  <c r="N872" i="8" s="1"/>
  <c r="O871" i="8"/>
  <c r="N871" i="8" a="1"/>
  <c r="N871" i="8" s="1"/>
  <c r="O870" i="8"/>
  <c r="N870" i="8" a="1"/>
  <c r="N870" i="8" s="1"/>
  <c r="O869" i="8"/>
  <c r="N869" i="8" a="1"/>
  <c r="N869" i="8" s="1"/>
  <c r="O868" i="8"/>
  <c r="N868" i="8" a="1"/>
  <c r="N868" i="8" s="1"/>
  <c r="O867" i="8"/>
  <c r="N867" i="8" a="1"/>
  <c r="N867" i="8" s="1"/>
  <c r="O866" i="8"/>
  <c r="N866" i="8" a="1"/>
  <c r="N866" i="8" s="1"/>
  <c r="O865" i="8"/>
  <c r="N865" i="8" a="1"/>
  <c r="N865" i="8" s="1"/>
  <c r="O864" i="8"/>
  <c r="N864" i="8" a="1"/>
  <c r="N864" i="8" s="1"/>
  <c r="O863" i="8"/>
  <c r="N863" i="8" a="1"/>
  <c r="N863" i="8" s="1"/>
  <c r="O862" i="8"/>
  <c r="N862" i="8" a="1"/>
  <c r="N862" i="8" s="1"/>
  <c r="O861" i="8"/>
  <c r="N861" i="8" a="1"/>
  <c r="N861" i="8" s="1"/>
  <c r="O860" i="8"/>
  <c r="N860" i="8" a="1"/>
  <c r="N860" i="8" s="1"/>
  <c r="O859" i="8"/>
  <c r="N859" i="8" a="1"/>
  <c r="N859" i="8" s="1"/>
  <c r="O858" i="8"/>
  <c r="N858" i="8" a="1"/>
  <c r="N858" i="8" s="1"/>
  <c r="O857" i="8"/>
  <c r="N857" i="8" a="1"/>
  <c r="N857" i="8" s="1"/>
  <c r="O856" i="8"/>
  <c r="N856" i="8" a="1"/>
  <c r="N856" i="8" s="1"/>
  <c r="O855" i="8"/>
  <c r="N855" i="8" a="1"/>
  <c r="N855" i="8" s="1"/>
  <c r="O854" i="8"/>
  <c r="N854" i="8" a="1"/>
  <c r="N854" i="8" s="1"/>
  <c r="O853" i="8"/>
  <c r="N853" i="8" a="1"/>
  <c r="N853" i="8" s="1"/>
  <c r="O852" i="8"/>
  <c r="N852" i="8" a="1"/>
  <c r="N852" i="8" s="1"/>
  <c r="O851" i="8"/>
  <c r="N851" i="8" a="1"/>
  <c r="N851" i="8" s="1"/>
  <c r="O850" i="8"/>
  <c r="N850" i="8" a="1"/>
  <c r="N850" i="8" s="1"/>
  <c r="O849" i="8"/>
  <c r="N849" i="8" a="1"/>
  <c r="N849" i="8" s="1"/>
  <c r="O848" i="8"/>
  <c r="N848" i="8" a="1"/>
  <c r="N848" i="8" s="1"/>
  <c r="O847" i="8"/>
  <c r="N847" i="8" a="1"/>
  <c r="N847" i="8" s="1"/>
  <c r="O846" i="8"/>
  <c r="N846" i="8" a="1"/>
  <c r="N846" i="8" s="1"/>
  <c r="O845" i="8"/>
  <c r="N845" i="8" a="1"/>
  <c r="N845" i="8" s="1"/>
  <c r="O844" i="8"/>
  <c r="N844" i="8" a="1"/>
  <c r="N844" i="8" s="1"/>
  <c r="O843" i="8"/>
  <c r="N843" i="8" a="1"/>
  <c r="N843" i="8" s="1"/>
  <c r="O842" i="8"/>
  <c r="N842" i="8" a="1"/>
  <c r="N842" i="8" s="1"/>
  <c r="O841" i="8"/>
  <c r="N841" i="8" a="1"/>
  <c r="N841" i="8" s="1"/>
  <c r="O840" i="8"/>
  <c r="N840" i="8" a="1"/>
  <c r="N840" i="8" s="1"/>
  <c r="O839" i="8"/>
  <c r="N839" i="8" a="1"/>
  <c r="N839" i="8" s="1"/>
  <c r="O838" i="8"/>
  <c r="N838" i="8" a="1"/>
  <c r="N838" i="8" s="1"/>
  <c r="O837" i="8"/>
  <c r="N837" i="8" a="1"/>
  <c r="N837" i="8" s="1"/>
  <c r="O836" i="8"/>
  <c r="N836" i="8" a="1"/>
  <c r="N836" i="8" s="1"/>
  <c r="O835" i="8"/>
  <c r="N835" i="8" a="1"/>
  <c r="N835" i="8" s="1"/>
  <c r="O834" i="8"/>
  <c r="N834" i="8" a="1"/>
  <c r="N834" i="8" s="1"/>
  <c r="O833" i="8"/>
  <c r="N833" i="8" a="1"/>
  <c r="N833" i="8" s="1"/>
  <c r="O832" i="8"/>
  <c r="N832" i="8" a="1"/>
  <c r="N832" i="8" s="1"/>
  <c r="O831" i="8"/>
  <c r="N831" i="8" a="1"/>
  <c r="N831" i="8" s="1"/>
  <c r="O830" i="8"/>
  <c r="N830" i="8" a="1"/>
  <c r="N830" i="8" s="1"/>
  <c r="O829" i="8"/>
  <c r="N829" i="8" a="1"/>
  <c r="N829" i="8" s="1"/>
  <c r="O828" i="8"/>
  <c r="N828" i="8" a="1"/>
  <c r="N828" i="8" s="1"/>
  <c r="O827" i="8"/>
  <c r="N827" i="8" a="1"/>
  <c r="N827" i="8" s="1"/>
  <c r="O826" i="8"/>
  <c r="N826" i="8" a="1"/>
  <c r="N826" i="8" s="1"/>
  <c r="O825" i="8"/>
  <c r="N825" i="8" a="1"/>
  <c r="N825" i="8" s="1"/>
  <c r="O824" i="8"/>
  <c r="N824" i="8" a="1"/>
  <c r="N824" i="8" s="1"/>
  <c r="O823" i="8"/>
  <c r="N823" i="8" a="1"/>
  <c r="N823" i="8" s="1"/>
  <c r="O822" i="8"/>
  <c r="N822" i="8" a="1"/>
  <c r="N822" i="8" s="1"/>
  <c r="O821" i="8"/>
  <c r="N821" i="8" a="1"/>
  <c r="N821" i="8" s="1"/>
  <c r="O820" i="8"/>
  <c r="N820" i="8" a="1"/>
  <c r="N820" i="8" s="1"/>
  <c r="O819" i="8"/>
  <c r="N819" i="8" a="1"/>
  <c r="N819" i="8" s="1"/>
  <c r="O818" i="8"/>
  <c r="N818" i="8" a="1"/>
  <c r="N818" i="8" s="1"/>
  <c r="O817" i="8"/>
  <c r="N817" i="8" a="1"/>
  <c r="N817" i="8" s="1"/>
  <c r="O816" i="8"/>
  <c r="N816" i="8" a="1"/>
  <c r="N816" i="8" s="1"/>
  <c r="O815" i="8"/>
  <c r="N815" i="8" a="1"/>
  <c r="N815" i="8" s="1"/>
  <c r="O814" i="8"/>
  <c r="N814" i="8" a="1"/>
  <c r="N814" i="8" s="1"/>
  <c r="O813" i="8"/>
  <c r="N813" i="8" a="1"/>
  <c r="N813" i="8" s="1"/>
  <c r="O812" i="8"/>
  <c r="N812" i="8" a="1"/>
  <c r="N812" i="8" s="1"/>
  <c r="O811" i="8"/>
  <c r="N811" i="8" a="1"/>
  <c r="N811" i="8" s="1"/>
  <c r="O810" i="8"/>
  <c r="N810" i="8" a="1"/>
  <c r="N810" i="8" s="1"/>
  <c r="O809" i="8"/>
  <c r="N809" i="8" a="1"/>
  <c r="N809" i="8" s="1"/>
  <c r="O808" i="8"/>
  <c r="N808" i="8" a="1"/>
  <c r="N808" i="8" s="1"/>
  <c r="O807" i="8"/>
  <c r="N807" i="8" a="1"/>
  <c r="N807" i="8" s="1"/>
  <c r="O806" i="8"/>
  <c r="N806" i="8" a="1"/>
  <c r="N806" i="8" s="1"/>
  <c r="O805" i="8"/>
  <c r="N805" i="8" a="1"/>
  <c r="N805" i="8" s="1"/>
  <c r="O804" i="8"/>
  <c r="N804" i="8" a="1"/>
  <c r="N804" i="8" s="1"/>
  <c r="O803" i="8"/>
  <c r="N803" i="8" a="1"/>
  <c r="N803" i="8" s="1"/>
  <c r="O802" i="8"/>
  <c r="N802" i="8" a="1"/>
  <c r="N802" i="8" s="1"/>
  <c r="O801" i="8"/>
  <c r="N801" i="8" a="1"/>
  <c r="N801" i="8" s="1"/>
  <c r="O800" i="8"/>
  <c r="N800" i="8" a="1"/>
  <c r="N800" i="8" s="1"/>
  <c r="O799" i="8"/>
  <c r="N799" i="8" a="1"/>
  <c r="N799" i="8" s="1"/>
  <c r="O798" i="8"/>
  <c r="N798" i="8" a="1"/>
  <c r="N798" i="8" s="1"/>
  <c r="O797" i="8"/>
  <c r="N797" i="8" a="1"/>
  <c r="N797" i="8" s="1"/>
  <c r="O796" i="8"/>
  <c r="N796" i="8" a="1"/>
  <c r="N796" i="8" s="1"/>
  <c r="O795" i="8"/>
  <c r="N795" i="8" a="1"/>
  <c r="N795" i="8" s="1"/>
  <c r="O794" i="8"/>
  <c r="N794" i="8" a="1"/>
  <c r="N794" i="8" s="1"/>
  <c r="O793" i="8"/>
  <c r="N793" i="8" a="1"/>
  <c r="N793" i="8" s="1"/>
  <c r="O792" i="8"/>
  <c r="N792" i="8" a="1"/>
  <c r="N792" i="8" s="1"/>
  <c r="O791" i="8"/>
  <c r="N791" i="8" a="1"/>
  <c r="N791" i="8" s="1"/>
  <c r="O790" i="8"/>
  <c r="N790" i="8" a="1"/>
  <c r="N790" i="8" s="1"/>
  <c r="O789" i="8"/>
  <c r="N789" i="8" a="1"/>
  <c r="N789" i="8" s="1"/>
  <c r="O788" i="8"/>
  <c r="N788" i="8" a="1"/>
  <c r="N788" i="8" s="1"/>
  <c r="O787" i="8"/>
  <c r="N787" i="8" a="1"/>
  <c r="N787" i="8" s="1"/>
  <c r="O786" i="8"/>
  <c r="N786" i="8" a="1"/>
  <c r="N786" i="8" s="1"/>
  <c r="O785" i="8"/>
  <c r="N785" i="8" a="1"/>
  <c r="N785" i="8" s="1"/>
  <c r="O784" i="8"/>
  <c r="N784" i="8" a="1"/>
  <c r="N784" i="8" s="1"/>
  <c r="O783" i="8"/>
  <c r="N783" i="8" a="1"/>
  <c r="N783" i="8" s="1"/>
  <c r="O782" i="8"/>
  <c r="N782" i="8" a="1"/>
  <c r="N782" i="8" s="1"/>
  <c r="O781" i="8"/>
  <c r="N781" i="8" a="1"/>
  <c r="N781" i="8" s="1"/>
  <c r="O780" i="8"/>
  <c r="N780" i="8" a="1"/>
  <c r="N780" i="8" s="1"/>
  <c r="O779" i="8"/>
  <c r="N779" i="8" a="1"/>
  <c r="N779" i="8" s="1"/>
  <c r="O778" i="8"/>
  <c r="N778" i="8" a="1"/>
  <c r="N778" i="8" s="1"/>
  <c r="O777" i="8"/>
  <c r="N777" i="8" a="1"/>
  <c r="N777" i="8" s="1"/>
  <c r="O776" i="8"/>
  <c r="N776" i="8" a="1"/>
  <c r="N776" i="8" s="1"/>
  <c r="O775" i="8"/>
  <c r="N775" i="8" a="1"/>
  <c r="N775" i="8" s="1"/>
  <c r="O774" i="8"/>
  <c r="N774" i="8" a="1"/>
  <c r="N774" i="8" s="1"/>
  <c r="O773" i="8"/>
  <c r="N773" i="8" a="1"/>
  <c r="N773" i="8" s="1"/>
  <c r="O772" i="8"/>
  <c r="N772" i="8" a="1"/>
  <c r="N772" i="8" s="1"/>
  <c r="O771" i="8"/>
  <c r="N771" i="8" a="1"/>
  <c r="N771" i="8" s="1"/>
  <c r="O770" i="8"/>
  <c r="N770" i="8" a="1"/>
  <c r="N770" i="8" s="1"/>
  <c r="O769" i="8"/>
  <c r="N769" i="8" a="1"/>
  <c r="N769" i="8" s="1"/>
  <c r="O768" i="8"/>
  <c r="N768" i="8" a="1"/>
  <c r="N768" i="8" s="1"/>
  <c r="O767" i="8"/>
  <c r="N767" i="8" a="1"/>
  <c r="N767" i="8" s="1"/>
  <c r="O766" i="8"/>
  <c r="N766" i="8" a="1"/>
  <c r="N766" i="8" s="1"/>
  <c r="O765" i="8"/>
  <c r="N765" i="8" a="1"/>
  <c r="N765" i="8" s="1"/>
  <c r="O764" i="8"/>
  <c r="N764" i="8" a="1"/>
  <c r="N764" i="8" s="1"/>
  <c r="O763" i="8"/>
  <c r="N763" i="8" a="1"/>
  <c r="N763" i="8" s="1"/>
  <c r="O762" i="8"/>
  <c r="N762" i="8" a="1"/>
  <c r="N762" i="8" s="1"/>
  <c r="O761" i="8"/>
  <c r="N761" i="8" a="1"/>
  <c r="N761" i="8" s="1"/>
  <c r="O760" i="8"/>
  <c r="N760" i="8" a="1"/>
  <c r="N760" i="8" s="1"/>
  <c r="O759" i="8"/>
  <c r="N759" i="8" a="1"/>
  <c r="N759" i="8" s="1"/>
  <c r="O758" i="8"/>
  <c r="N758" i="8" a="1"/>
  <c r="N758" i="8" s="1"/>
  <c r="O757" i="8"/>
  <c r="N757" i="8" a="1"/>
  <c r="N757" i="8" s="1"/>
  <c r="O756" i="8"/>
  <c r="N756" i="8" a="1"/>
  <c r="N756" i="8" s="1"/>
  <c r="O755" i="8"/>
  <c r="N755" i="8" a="1"/>
  <c r="N755" i="8" s="1"/>
  <c r="O754" i="8"/>
  <c r="N754" i="8" a="1"/>
  <c r="N754" i="8" s="1"/>
  <c r="O753" i="8"/>
  <c r="N753" i="8" a="1"/>
  <c r="N753" i="8" s="1"/>
  <c r="O752" i="8"/>
  <c r="N752" i="8" a="1"/>
  <c r="N752" i="8" s="1"/>
  <c r="O751" i="8"/>
  <c r="N751" i="8" a="1"/>
  <c r="N751" i="8" s="1"/>
  <c r="O750" i="8"/>
  <c r="N750" i="8" a="1"/>
  <c r="N750" i="8" s="1"/>
  <c r="O749" i="8"/>
  <c r="N749" i="8" a="1"/>
  <c r="N749" i="8" s="1"/>
  <c r="O748" i="8"/>
  <c r="N748" i="8" a="1"/>
  <c r="N748" i="8" s="1"/>
  <c r="O747" i="8"/>
  <c r="N747" i="8" a="1"/>
  <c r="N747" i="8" s="1"/>
  <c r="O746" i="8"/>
  <c r="N746" i="8" a="1"/>
  <c r="N746" i="8" s="1"/>
  <c r="O745" i="8"/>
  <c r="N745" i="8" a="1"/>
  <c r="N745" i="8" s="1"/>
  <c r="O744" i="8"/>
  <c r="N744" i="8" a="1"/>
  <c r="N744" i="8" s="1"/>
  <c r="O743" i="8"/>
  <c r="N743" i="8" a="1"/>
  <c r="N743" i="8" s="1"/>
  <c r="O742" i="8"/>
  <c r="N742" i="8" a="1"/>
  <c r="N742" i="8" s="1"/>
  <c r="O741" i="8"/>
  <c r="N741" i="8" a="1"/>
  <c r="N741" i="8" s="1"/>
  <c r="O740" i="8"/>
  <c r="N740" i="8" a="1"/>
  <c r="N740" i="8" s="1"/>
  <c r="O739" i="8"/>
  <c r="N739" i="8" a="1"/>
  <c r="N739" i="8" s="1"/>
  <c r="O738" i="8"/>
  <c r="N738" i="8" a="1"/>
  <c r="N738" i="8" s="1"/>
  <c r="O737" i="8"/>
  <c r="N737" i="8" a="1"/>
  <c r="N737" i="8" s="1"/>
  <c r="O736" i="8"/>
  <c r="N736" i="8" a="1"/>
  <c r="N736" i="8" s="1"/>
  <c r="O735" i="8"/>
  <c r="N735" i="8" a="1"/>
  <c r="N735" i="8" s="1"/>
  <c r="O734" i="8"/>
  <c r="N734" i="8" a="1"/>
  <c r="N734" i="8" s="1"/>
  <c r="O733" i="8"/>
  <c r="N733" i="8" a="1"/>
  <c r="N733" i="8" s="1"/>
  <c r="O732" i="8"/>
  <c r="N732" i="8" a="1"/>
  <c r="N732" i="8" s="1"/>
  <c r="O731" i="8"/>
  <c r="N731" i="8" a="1"/>
  <c r="N731" i="8" s="1"/>
  <c r="O730" i="8"/>
  <c r="N730" i="8" a="1"/>
  <c r="N730" i="8" s="1"/>
  <c r="O729" i="8"/>
  <c r="N729" i="8" a="1"/>
  <c r="N729" i="8" s="1"/>
  <c r="O728" i="8"/>
  <c r="N728" i="8" a="1"/>
  <c r="N728" i="8" s="1"/>
  <c r="O727" i="8"/>
  <c r="N727" i="8" a="1"/>
  <c r="N727" i="8" s="1"/>
  <c r="O726" i="8"/>
  <c r="N726" i="8" a="1"/>
  <c r="N726" i="8" s="1"/>
  <c r="O725" i="8"/>
  <c r="N725" i="8" a="1"/>
  <c r="N725" i="8" s="1"/>
  <c r="O724" i="8"/>
  <c r="N724" i="8" a="1"/>
  <c r="N724" i="8" s="1"/>
  <c r="O723" i="8"/>
  <c r="N723" i="8" a="1"/>
  <c r="N723" i="8" s="1"/>
  <c r="O722" i="8"/>
  <c r="N722" i="8" a="1"/>
  <c r="N722" i="8" s="1"/>
  <c r="O721" i="8"/>
  <c r="N721" i="8" a="1"/>
  <c r="N721" i="8" s="1"/>
  <c r="O720" i="8"/>
  <c r="N720" i="8" a="1"/>
  <c r="N720" i="8" s="1"/>
  <c r="O719" i="8"/>
  <c r="N719" i="8" a="1"/>
  <c r="N719" i="8" s="1"/>
  <c r="O718" i="8"/>
  <c r="N718" i="8" a="1"/>
  <c r="N718" i="8" s="1"/>
  <c r="O717" i="8"/>
  <c r="N717" i="8" a="1"/>
  <c r="N717" i="8" s="1"/>
  <c r="O716" i="8"/>
  <c r="N716" i="8" a="1"/>
  <c r="N716" i="8" s="1"/>
  <c r="O715" i="8"/>
  <c r="N715" i="8" a="1"/>
  <c r="N715" i="8" s="1"/>
  <c r="O714" i="8"/>
  <c r="N714" i="8" a="1"/>
  <c r="N714" i="8" s="1"/>
  <c r="O713" i="8"/>
  <c r="N713" i="8" a="1"/>
  <c r="N713" i="8" s="1"/>
  <c r="O712" i="8"/>
  <c r="N712" i="8" a="1"/>
  <c r="N712" i="8" s="1"/>
  <c r="O711" i="8"/>
  <c r="N711" i="8" a="1"/>
  <c r="N711" i="8" s="1"/>
  <c r="O710" i="8"/>
  <c r="N710" i="8" a="1"/>
  <c r="N710" i="8" s="1"/>
  <c r="O709" i="8"/>
  <c r="N709" i="8" a="1"/>
  <c r="N709" i="8" s="1"/>
  <c r="O708" i="8"/>
  <c r="N708" i="8" a="1"/>
  <c r="N708" i="8" s="1"/>
  <c r="O707" i="8"/>
  <c r="N707" i="8" a="1"/>
  <c r="N707" i="8" s="1"/>
  <c r="O706" i="8"/>
  <c r="N706" i="8" a="1"/>
  <c r="N706" i="8" s="1"/>
  <c r="O705" i="8"/>
  <c r="N705" i="8" a="1"/>
  <c r="N705" i="8" s="1"/>
  <c r="O704" i="8"/>
  <c r="N704" i="8" a="1"/>
  <c r="N704" i="8" s="1"/>
  <c r="O703" i="8"/>
  <c r="N703" i="8" a="1"/>
  <c r="N703" i="8" s="1"/>
  <c r="O702" i="8"/>
  <c r="N702" i="8" a="1"/>
  <c r="N702" i="8" s="1"/>
  <c r="O701" i="8"/>
  <c r="N701" i="8" a="1"/>
  <c r="N701" i="8" s="1"/>
  <c r="O700" i="8"/>
  <c r="N700" i="8" a="1"/>
  <c r="N700" i="8" s="1"/>
  <c r="O699" i="8"/>
  <c r="N699" i="8" a="1"/>
  <c r="N699" i="8" s="1"/>
  <c r="O698" i="8"/>
  <c r="N698" i="8" a="1"/>
  <c r="N698" i="8" s="1"/>
  <c r="O697" i="8"/>
  <c r="N697" i="8" a="1"/>
  <c r="N697" i="8" s="1"/>
  <c r="O696" i="8"/>
  <c r="N696" i="8" a="1"/>
  <c r="N696" i="8" s="1"/>
  <c r="O695" i="8"/>
  <c r="N695" i="8" a="1"/>
  <c r="N695" i="8" s="1"/>
  <c r="O694" i="8"/>
  <c r="N694" i="8" a="1"/>
  <c r="N694" i="8" s="1"/>
  <c r="O693" i="8"/>
  <c r="N693" i="8" a="1"/>
  <c r="N693" i="8" s="1"/>
  <c r="O692" i="8"/>
  <c r="N692" i="8" a="1"/>
  <c r="N692" i="8" s="1"/>
  <c r="O691" i="8"/>
  <c r="N691" i="8" a="1"/>
  <c r="N691" i="8" s="1"/>
  <c r="O690" i="8"/>
  <c r="N690" i="8" a="1"/>
  <c r="N690" i="8" s="1"/>
  <c r="O689" i="8"/>
  <c r="N689" i="8" a="1"/>
  <c r="N689" i="8" s="1"/>
  <c r="O688" i="8"/>
  <c r="N688" i="8" a="1"/>
  <c r="N688" i="8" s="1"/>
  <c r="O687" i="8"/>
  <c r="N687" i="8" a="1"/>
  <c r="N687" i="8" s="1"/>
  <c r="O686" i="8"/>
  <c r="N686" i="8" a="1"/>
  <c r="N686" i="8" s="1"/>
  <c r="O685" i="8"/>
  <c r="N685" i="8" a="1"/>
  <c r="N685" i="8" s="1"/>
  <c r="O684" i="8"/>
  <c r="N684" i="8" a="1"/>
  <c r="N684" i="8" s="1"/>
  <c r="O683" i="8"/>
  <c r="N683" i="8" a="1"/>
  <c r="N683" i="8" s="1"/>
  <c r="O682" i="8"/>
  <c r="N682" i="8" a="1"/>
  <c r="N682" i="8" s="1"/>
  <c r="O681" i="8"/>
  <c r="N681" i="8" a="1"/>
  <c r="N681" i="8" s="1"/>
  <c r="O680" i="8"/>
  <c r="N680" i="8" a="1"/>
  <c r="N680" i="8" s="1"/>
  <c r="O679" i="8"/>
  <c r="N679" i="8" a="1"/>
  <c r="N679" i="8" s="1"/>
  <c r="O678" i="8"/>
  <c r="N678" i="8" a="1"/>
  <c r="N678" i="8" s="1"/>
  <c r="O677" i="8"/>
  <c r="N677" i="8" a="1"/>
  <c r="N677" i="8" s="1"/>
  <c r="O676" i="8"/>
  <c r="N676" i="8" a="1"/>
  <c r="N676" i="8" s="1"/>
  <c r="O675" i="8"/>
  <c r="N675" i="8" a="1"/>
  <c r="N675" i="8" s="1"/>
  <c r="O674" i="8"/>
  <c r="N674" i="8" a="1"/>
  <c r="N674" i="8" s="1"/>
  <c r="O673" i="8"/>
  <c r="N673" i="8" a="1"/>
  <c r="N673" i="8" s="1"/>
  <c r="O672" i="8"/>
  <c r="N672" i="8" a="1"/>
  <c r="N672" i="8" s="1"/>
  <c r="O671" i="8"/>
  <c r="N671" i="8" a="1"/>
  <c r="N671" i="8" s="1"/>
  <c r="O670" i="8"/>
  <c r="N670" i="8" a="1"/>
  <c r="N670" i="8" s="1"/>
  <c r="O669" i="8"/>
  <c r="N669" i="8" a="1"/>
  <c r="N669" i="8" s="1"/>
  <c r="O668" i="8"/>
  <c r="N668" i="8" a="1"/>
  <c r="N668" i="8" s="1"/>
  <c r="O667" i="8"/>
  <c r="N667" i="8" a="1"/>
  <c r="N667" i="8" s="1"/>
  <c r="O666" i="8"/>
  <c r="N666" i="8" a="1"/>
  <c r="N666" i="8" s="1"/>
  <c r="O665" i="8"/>
  <c r="N665" i="8" a="1"/>
  <c r="N665" i="8" s="1"/>
  <c r="O664" i="8"/>
  <c r="N664" i="8" a="1"/>
  <c r="N664" i="8" s="1"/>
  <c r="O663" i="8"/>
  <c r="N663" i="8" a="1"/>
  <c r="N663" i="8" s="1"/>
  <c r="O662" i="8"/>
  <c r="N662" i="8" a="1"/>
  <c r="N662" i="8" s="1"/>
  <c r="O661" i="8"/>
  <c r="N661" i="8" a="1"/>
  <c r="N661" i="8" s="1"/>
  <c r="O660" i="8"/>
  <c r="N660" i="8" a="1"/>
  <c r="N660" i="8" s="1"/>
  <c r="O659" i="8"/>
  <c r="N659" i="8" a="1"/>
  <c r="N659" i="8" s="1"/>
  <c r="O658" i="8"/>
  <c r="N658" i="8" a="1"/>
  <c r="N658" i="8" s="1"/>
  <c r="O657" i="8"/>
  <c r="N657" i="8" a="1"/>
  <c r="N657" i="8" s="1"/>
  <c r="O656" i="8"/>
  <c r="N656" i="8" a="1"/>
  <c r="N656" i="8" s="1"/>
  <c r="O655" i="8"/>
  <c r="N655" i="8" a="1"/>
  <c r="N655" i="8" s="1"/>
  <c r="O654" i="8"/>
  <c r="N654" i="8" a="1"/>
  <c r="N654" i="8" s="1"/>
  <c r="O653" i="8"/>
  <c r="N653" i="8" a="1"/>
  <c r="N653" i="8" s="1"/>
  <c r="O652" i="8"/>
  <c r="N652" i="8" a="1"/>
  <c r="N652" i="8" s="1"/>
  <c r="O651" i="8"/>
  <c r="N651" i="8" a="1"/>
  <c r="N651" i="8" s="1"/>
  <c r="O650" i="8"/>
  <c r="N650" i="8" a="1"/>
  <c r="N650" i="8" s="1"/>
  <c r="O649" i="8"/>
  <c r="N649" i="8" a="1"/>
  <c r="N649" i="8" s="1"/>
  <c r="O648" i="8"/>
  <c r="N648" i="8" a="1"/>
  <c r="N648" i="8" s="1"/>
  <c r="O647" i="8"/>
  <c r="N647" i="8" a="1"/>
  <c r="N647" i="8" s="1"/>
  <c r="O646" i="8"/>
  <c r="N646" i="8" a="1"/>
  <c r="N646" i="8" s="1"/>
  <c r="O645" i="8"/>
  <c r="N645" i="8" a="1"/>
  <c r="N645" i="8" s="1"/>
  <c r="O644" i="8"/>
  <c r="N644" i="8" a="1"/>
  <c r="N644" i="8" s="1"/>
  <c r="O643" i="8"/>
  <c r="N643" i="8" a="1"/>
  <c r="N643" i="8" s="1"/>
  <c r="O642" i="8"/>
  <c r="N642" i="8" a="1"/>
  <c r="N642" i="8" s="1"/>
  <c r="O641" i="8"/>
  <c r="N641" i="8" a="1"/>
  <c r="N641" i="8" s="1"/>
  <c r="O640" i="8"/>
  <c r="N640" i="8" a="1"/>
  <c r="N640" i="8" s="1"/>
  <c r="O639" i="8"/>
  <c r="N639" i="8" a="1"/>
  <c r="N639" i="8" s="1"/>
  <c r="O638" i="8"/>
  <c r="N638" i="8" a="1"/>
  <c r="N638" i="8" s="1"/>
  <c r="O637" i="8"/>
  <c r="N637" i="8" a="1"/>
  <c r="N637" i="8" s="1"/>
  <c r="O636" i="8"/>
  <c r="N636" i="8" a="1"/>
  <c r="N636" i="8" s="1"/>
  <c r="O635" i="8"/>
  <c r="N635" i="8" a="1"/>
  <c r="N635" i="8" s="1"/>
  <c r="O634" i="8"/>
  <c r="N634" i="8" a="1"/>
  <c r="N634" i="8" s="1"/>
  <c r="O633" i="8"/>
  <c r="N633" i="8" a="1"/>
  <c r="N633" i="8" s="1"/>
  <c r="O632" i="8"/>
  <c r="N632" i="8" a="1"/>
  <c r="N632" i="8" s="1"/>
  <c r="O631" i="8"/>
  <c r="N631" i="8" a="1"/>
  <c r="N631" i="8" s="1"/>
  <c r="O630" i="8"/>
  <c r="N630" i="8" a="1"/>
  <c r="N630" i="8" s="1"/>
  <c r="O629" i="8"/>
  <c r="N629" i="8" a="1"/>
  <c r="N629" i="8" s="1"/>
  <c r="O628" i="8"/>
  <c r="N628" i="8" a="1"/>
  <c r="N628" i="8" s="1"/>
  <c r="O627" i="8"/>
  <c r="N627" i="8" a="1"/>
  <c r="N627" i="8" s="1"/>
  <c r="O626" i="8"/>
  <c r="N626" i="8" a="1"/>
  <c r="N626" i="8" s="1"/>
  <c r="O625" i="8"/>
  <c r="N625" i="8" a="1"/>
  <c r="N625" i="8" s="1"/>
  <c r="O624" i="8"/>
  <c r="N624" i="8" a="1"/>
  <c r="N624" i="8" s="1"/>
  <c r="O623" i="8"/>
  <c r="N623" i="8" a="1"/>
  <c r="N623" i="8" s="1"/>
  <c r="O622" i="8"/>
  <c r="N622" i="8" a="1"/>
  <c r="N622" i="8" s="1"/>
  <c r="O621" i="8"/>
  <c r="N621" i="8" a="1"/>
  <c r="N621" i="8" s="1"/>
  <c r="O620" i="8"/>
  <c r="N620" i="8" a="1"/>
  <c r="N620" i="8" s="1"/>
  <c r="O619" i="8"/>
  <c r="N619" i="8" a="1"/>
  <c r="N619" i="8" s="1"/>
  <c r="O618" i="8"/>
  <c r="N618" i="8" a="1"/>
  <c r="N618" i="8" s="1"/>
  <c r="O617" i="8"/>
  <c r="N617" i="8" a="1"/>
  <c r="N617" i="8" s="1"/>
  <c r="O616" i="8"/>
  <c r="N616" i="8" a="1"/>
  <c r="N616" i="8" s="1"/>
  <c r="O615" i="8"/>
  <c r="N615" i="8" a="1"/>
  <c r="N615" i="8" s="1"/>
  <c r="O614" i="8"/>
  <c r="N614" i="8" a="1"/>
  <c r="N614" i="8" s="1"/>
  <c r="O613" i="8"/>
  <c r="N613" i="8" a="1"/>
  <c r="N613" i="8" s="1"/>
  <c r="O612" i="8"/>
  <c r="N612" i="8" a="1"/>
  <c r="N612" i="8" s="1"/>
  <c r="O611" i="8"/>
  <c r="N611" i="8" a="1"/>
  <c r="N611" i="8" s="1"/>
  <c r="O610" i="8"/>
  <c r="N610" i="8" a="1"/>
  <c r="N610" i="8" s="1"/>
  <c r="O609" i="8"/>
  <c r="N609" i="8" a="1"/>
  <c r="N609" i="8" s="1"/>
  <c r="O608" i="8"/>
  <c r="N608" i="8" a="1"/>
  <c r="N608" i="8" s="1"/>
  <c r="O607" i="8"/>
  <c r="N607" i="8" a="1"/>
  <c r="N607" i="8" s="1"/>
  <c r="O606" i="8"/>
  <c r="N606" i="8" a="1"/>
  <c r="N606" i="8" s="1"/>
  <c r="O605" i="8"/>
  <c r="N605" i="8" a="1"/>
  <c r="N605" i="8" s="1"/>
  <c r="O604" i="8"/>
  <c r="N604" i="8" a="1"/>
  <c r="N604" i="8" s="1"/>
  <c r="O603" i="8"/>
  <c r="N603" i="8" a="1"/>
  <c r="N603" i="8" s="1"/>
  <c r="O602" i="8"/>
  <c r="N602" i="8" a="1"/>
  <c r="N602" i="8" s="1"/>
  <c r="O601" i="8"/>
  <c r="N601" i="8" a="1"/>
  <c r="N601" i="8" s="1"/>
  <c r="O600" i="8"/>
  <c r="N600" i="8" a="1"/>
  <c r="N600" i="8" s="1"/>
  <c r="O599" i="8"/>
  <c r="N599" i="8" a="1"/>
  <c r="N599" i="8" s="1"/>
  <c r="O598" i="8"/>
  <c r="N598" i="8" a="1"/>
  <c r="N598" i="8" s="1"/>
  <c r="O597" i="8"/>
  <c r="N597" i="8" a="1"/>
  <c r="N597" i="8" s="1"/>
  <c r="O596" i="8"/>
  <c r="N596" i="8" a="1"/>
  <c r="N596" i="8" s="1"/>
  <c r="O595" i="8"/>
  <c r="N595" i="8" a="1"/>
  <c r="N595" i="8" s="1"/>
  <c r="O594" i="8"/>
  <c r="N594" i="8" a="1"/>
  <c r="N594" i="8" s="1"/>
  <c r="O593" i="8"/>
  <c r="N593" i="8" a="1"/>
  <c r="N593" i="8" s="1"/>
  <c r="O592" i="8"/>
  <c r="N592" i="8" a="1"/>
  <c r="N592" i="8" s="1"/>
  <c r="O591" i="8"/>
  <c r="N591" i="8" a="1"/>
  <c r="N591" i="8" s="1"/>
  <c r="O590" i="8"/>
  <c r="N590" i="8" a="1"/>
  <c r="N590" i="8" s="1"/>
  <c r="O589" i="8"/>
  <c r="N589" i="8" a="1"/>
  <c r="N589" i="8" s="1"/>
  <c r="O588" i="8"/>
  <c r="N588" i="8" a="1"/>
  <c r="N588" i="8" s="1"/>
  <c r="O587" i="8"/>
  <c r="N587" i="8" a="1"/>
  <c r="N587" i="8" s="1"/>
  <c r="O586" i="8"/>
  <c r="N586" i="8" a="1"/>
  <c r="N586" i="8" s="1"/>
  <c r="O585" i="8"/>
  <c r="N585" i="8" a="1"/>
  <c r="N585" i="8" s="1"/>
  <c r="O584" i="8"/>
  <c r="N584" i="8" a="1"/>
  <c r="N584" i="8" s="1"/>
  <c r="O583" i="8"/>
  <c r="N583" i="8" a="1"/>
  <c r="N583" i="8" s="1"/>
  <c r="O582" i="8"/>
  <c r="N582" i="8" a="1"/>
  <c r="N582" i="8" s="1"/>
  <c r="O581" i="8"/>
  <c r="N581" i="8" a="1"/>
  <c r="N581" i="8" s="1"/>
  <c r="O580" i="8"/>
  <c r="N580" i="8" a="1"/>
  <c r="N580" i="8" s="1"/>
  <c r="O579" i="8"/>
  <c r="N579" i="8" a="1"/>
  <c r="N579" i="8" s="1"/>
  <c r="O578" i="8"/>
  <c r="N578" i="8" a="1"/>
  <c r="N578" i="8" s="1"/>
  <c r="O577" i="8"/>
  <c r="N577" i="8" a="1"/>
  <c r="N577" i="8" s="1"/>
  <c r="O576" i="8"/>
  <c r="N576" i="8" a="1"/>
  <c r="N576" i="8" s="1"/>
  <c r="O575" i="8"/>
  <c r="N575" i="8" a="1"/>
  <c r="N575" i="8" s="1"/>
  <c r="O574" i="8"/>
  <c r="N574" i="8" a="1"/>
  <c r="N574" i="8" s="1"/>
  <c r="O573" i="8"/>
  <c r="N573" i="8" a="1"/>
  <c r="N573" i="8" s="1"/>
  <c r="O572" i="8"/>
  <c r="N572" i="8" a="1"/>
  <c r="N572" i="8" s="1"/>
  <c r="O571" i="8"/>
  <c r="N571" i="8" a="1"/>
  <c r="N571" i="8" s="1"/>
  <c r="O570" i="8"/>
  <c r="N570" i="8" a="1"/>
  <c r="N570" i="8" s="1"/>
  <c r="O569" i="8"/>
  <c r="N569" i="8" a="1"/>
  <c r="N569" i="8" s="1"/>
  <c r="O568" i="8"/>
  <c r="N568" i="8" a="1"/>
  <c r="N568" i="8" s="1"/>
  <c r="O567" i="8"/>
  <c r="N567" i="8" a="1"/>
  <c r="N567" i="8" s="1"/>
  <c r="O566" i="8"/>
  <c r="N566" i="8" a="1"/>
  <c r="N566" i="8" s="1"/>
  <c r="O565" i="8"/>
  <c r="N565" i="8" a="1"/>
  <c r="N565" i="8" s="1"/>
  <c r="O564" i="8"/>
  <c r="N564" i="8" a="1"/>
  <c r="N564" i="8" s="1"/>
  <c r="O563" i="8"/>
  <c r="N563" i="8" a="1"/>
  <c r="N563" i="8" s="1"/>
  <c r="O562" i="8"/>
  <c r="N562" i="8" a="1"/>
  <c r="N562" i="8" s="1"/>
  <c r="O561" i="8"/>
  <c r="N561" i="8" a="1"/>
  <c r="N561" i="8" s="1"/>
  <c r="O560" i="8"/>
  <c r="N560" i="8" a="1"/>
  <c r="N560" i="8" s="1"/>
  <c r="O559" i="8"/>
  <c r="N559" i="8" a="1"/>
  <c r="N559" i="8" s="1"/>
  <c r="O558" i="8"/>
  <c r="N558" i="8" a="1"/>
  <c r="N558" i="8" s="1"/>
  <c r="O557" i="8"/>
  <c r="N557" i="8" a="1"/>
  <c r="N557" i="8" s="1"/>
  <c r="O556" i="8"/>
  <c r="N556" i="8" a="1"/>
  <c r="N556" i="8" s="1"/>
  <c r="O555" i="8"/>
  <c r="N555" i="8" a="1"/>
  <c r="N555" i="8" s="1"/>
  <c r="O554" i="8"/>
  <c r="N554" i="8" a="1"/>
  <c r="N554" i="8" s="1"/>
  <c r="O553" i="8"/>
  <c r="N553" i="8" a="1"/>
  <c r="N553" i="8" s="1"/>
  <c r="O552" i="8"/>
  <c r="N552" i="8" a="1"/>
  <c r="N552" i="8" s="1"/>
  <c r="O551" i="8"/>
  <c r="N551" i="8" a="1"/>
  <c r="N551" i="8" s="1"/>
  <c r="O550" i="8"/>
  <c r="N550" i="8" a="1"/>
  <c r="N550" i="8" s="1"/>
  <c r="O549" i="8"/>
  <c r="N549" i="8" a="1"/>
  <c r="N549" i="8" s="1"/>
  <c r="O548" i="8"/>
  <c r="N548" i="8" a="1"/>
  <c r="N548" i="8" s="1"/>
  <c r="O547" i="8"/>
  <c r="N547" i="8" a="1"/>
  <c r="N547" i="8" s="1"/>
  <c r="O546" i="8"/>
  <c r="N546" i="8" a="1"/>
  <c r="N546" i="8" s="1"/>
  <c r="O545" i="8"/>
  <c r="N545" i="8" a="1"/>
  <c r="N545" i="8" s="1"/>
  <c r="O544" i="8"/>
  <c r="N544" i="8" a="1"/>
  <c r="N544" i="8" s="1"/>
  <c r="O543" i="8"/>
  <c r="N543" i="8" a="1"/>
  <c r="N543" i="8" s="1"/>
  <c r="O542" i="8"/>
  <c r="N542" i="8" a="1"/>
  <c r="N542" i="8" s="1"/>
  <c r="O541" i="8"/>
  <c r="N541" i="8" a="1"/>
  <c r="N541" i="8" s="1"/>
  <c r="O540" i="8"/>
  <c r="N540" i="8" a="1"/>
  <c r="N540" i="8" s="1"/>
  <c r="O539" i="8"/>
  <c r="N539" i="8" a="1"/>
  <c r="N539" i="8" s="1"/>
  <c r="O538" i="8"/>
  <c r="N538" i="8" a="1"/>
  <c r="N538" i="8" s="1"/>
  <c r="O537" i="8"/>
  <c r="N537" i="8" a="1"/>
  <c r="N537" i="8" s="1"/>
  <c r="O536" i="8"/>
  <c r="N536" i="8" a="1"/>
  <c r="N536" i="8" s="1"/>
  <c r="O535" i="8"/>
  <c r="N535" i="8" a="1"/>
  <c r="N535" i="8" s="1"/>
  <c r="O534" i="8"/>
  <c r="N534" i="8" a="1"/>
  <c r="N534" i="8" s="1"/>
  <c r="O533" i="8"/>
  <c r="N533" i="8" a="1"/>
  <c r="N533" i="8" s="1"/>
  <c r="O532" i="8"/>
  <c r="N532" i="8" a="1"/>
  <c r="N532" i="8" s="1"/>
  <c r="O531" i="8"/>
  <c r="N531" i="8" a="1"/>
  <c r="N531" i="8" s="1"/>
  <c r="O530" i="8"/>
  <c r="N530" i="8" a="1"/>
  <c r="N530" i="8" s="1"/>
  <c r="O529" i="8"/>
  <c r="N529" i="8" a="1"/>
  <c r="N529" i="8" s="1"/>
  <c r="O528" i="8"/>
  <c r="N528" i="8" a="1"/>
  <c r="N528" i="8" s="1"/>
  <c r="O527" i="8"/>
  <c r="N527" i="8" a="1"/>
  <c r="N527" i="8" s="1"/>
  <c r="O526" i="8"/>
  <c r="N526" i="8" a="1"/>
  <c r="N526" i="8" s="1"/>
  <c r="O525" i="8"/>
  <c r="N525" i="8" a="1"/>
  <c r="N525" i="8" s="1"/>
  <c r="O524" i="8"/>
  <c r="N524" i="8" a="1"/>
  <c r="N524" i="8" s="1"/>
  <c r="O523" i="8"/>
  <c r="N523" i="8" a="1"/>
  <c r="N523" i="8" s="1"/>
  <c r="O522" i="8"/>
  <c r="N522" i="8" a="1"/>
  <c r="N522" i="8" s="1"/>
  <c r="O521" i="8"/>
  <c r="N521" i="8" a="1"/>
  <c r="N521" i="8" s="1"/>
  <c r="O520" i="8"/>
  <c r="N520" i="8" a="1"/>
  <c r="N520" i="8" s="1"/>
  <c r="O519" i="8"/>
  <c r="N519" i="8" a="1"/>
  <c r="N519" i="8" s="1"/>
  <c r="O518" i="8"/>
  <c r="N518" i="8" a="1"/>
  <c r="N518" i="8" s="1"/>
  <c r="O517" i="8"/>
  <c r="N517" i="8" a="1"/>
  <c r="N517" i="8" s="1"/>
  <c r="O516" i="8"/>
  <c r="N516" i="8" a="1"/>
  <c r="N516" i="8" s="1"/>
  <c r="O515" i="8"/>
  <c r="N515" i="8" a="1"/>
  <c r="N515" i="8" s="1"/>
  <c r="O514" i="8"/>
  <c r="N514" i="8" a="1"/>
  <c r="N514" i="8" s="1"/>
  <c r="O513" i="8"/>
  <c r="N513" i="8" a="1"/>
  <c r="N513" i="8" s="1"/>
  <c r="O512" i="8"/>
  <c r="N512" i="8" a="1"/>
  <c r="N512" i="8" s="1"/>
  <c r="O511" i="8"/>
  <c r="N511" i="8" a="1"/>
  <c r="N511" i="8" s="1"/>
  <c r="O510" i="8"/>
  <c r="N510" i="8" a="1"/>
  <c r="N510" i="8" s="1"/>
  <c r="O509" i="8"/>
  <c r="N509" i="8" a="1"/>
  <c r="N509" i="8" s="1"/>
  <c r="O508" i="8"/>
  <c r="N508" i="8" a="1"/>
  <c r="N508" i="8" s="1"/>
  <c r="O507" i="8"/>
  <c r="N507" i="8" a="1"/>
  <c r="N507" i="8" s="1"/>
  <c r="O506" i="8"/>
  <c r="N506" i="8" a="1"/>
  <c r="N506" i="8" s="1"/>
  <c r="O505" i="8"/>
  <c r="N505" i="8" a="1"/>
  <c r="N505" i="8" s="1"/>
  <c r="O504" i="8"/>
  <c r="N504" i="8" a="1"/>
  <c r="N504" i="8" s="1"/>
  <c r="O503" i="8"/>
  <c r="N503" i="8" a="1"/>
  <c r="N503" i="8" s="1"/>
  <c r="O502" i="8"/>
  <c r="N502" i="8" a="1"/>
  <c r="N502" i="8" s="1"/>
  <c r="O501" i="8"/>
  <c r="N501" i="8" a="1"/>
  <c r="N501" i="8" s="1"/>
  <c r="O500" i="8"/>
  <c r="N500" i="8" a="1"/>
  <c r="N500" i="8" s="1"/>
  <c r="O499" i="8"/>
  <c r="N499" i="8" a="1"/>
  <c r="N499" i="8" s="1"/>
  <c r="O498" i="8"/>
  <c r="N498" i="8" a="1"/>
  <c r="N498" i="8" s="1"/>
  <c r="O497" i="8"/>
  <c r="N497" i="8" a="1"/>
  <c r="N497" i="8" s="1"/>
  <c r="O496" i="8"/>
  <c r="N496" i="8" a="1"/>
  <c r="N496" i="8" s="1"/>
  <c r="O495" i="8"/>
  <c r="N495" i="8" a="1"/>
  <c r="N495" i="8" s="1"/>
  <c r="O494" i="8"/>
  <c r="N494" i="8" a="1"/>
  <c r="N494" i="8" s="1"/>
  <c r="O493" i="8"/>
  <c r="N493" i="8" a="1"/>
  <c r="N493" i="8" s="1"/>
  <c r="O492" i="8"/>
  <c r="N492" i="8" a="1"/>
  <c r="N492" i="8" s="1"/>
  <c r="O491" i="8"/>
  <c r="N491" i="8" a="1"/>
  <c r="N491" i="8" s="1"/>
  <c r="O490" i="8"/>
  <c r="N490" i="8" a="1"/>
  <c r="N490" i="8" s="1"/>
  <c r="O489" i="8"/>
  <c r="N489" i="8" a="1"/>
  <c r="N489" i="8" s="1"/>
  <c r="O488" i="8"/>
  <c r="N488" i="8" a="1"/>
  <c r="N488" i="8" s="1"/>
  <c r="O487" i="8"/>
  <c r="N487" i="8" a="1"/>
  <c r="N487" i="8" s="1"/>
  <c r="O486" i="8"/>
  <c r="N486" i="8" a="1"/>
  <c r="N486" i="8" s="1"/>
  <c r="O485" i="8"/>
  <c r="N485" i="8" a="1"/>
  <c r="N485" i="8" s="1"/>
  <c r="O484" i="8"/>
  <c r="N484" i="8" a="1"/>
  <c r="N484" i="8" s="1"/>
  <c r="O483" i="8"/>
  <c r="N483" i="8" a="1"/>
  <c r="N483" i="8" s="1"/>
  <c r="O482" i="8"/>
  <c r="N482" i="8" a="1"/>
  <c r="N482" i="8" s="1"/>
  <c r="O481" i="8"/>
  <c r="N481" i="8" a="1"/>
  <c r="N481" i="8" s="1"/>
  <c r="O480" i="8"/>
  <c r="N480" i="8" a="1"/>
  <c r="N480" i="8" s="1"/>
  <c r="O479" i="8"/>
  <c r="N479" i="8" a="1"/>
  <c r="N479" i="8" s="1"/>
  <c r="O478" i="8"/>
  <c r="N478" i="8" a="1"/>
  <c r="N478" i="8" s="1"/>
  <c r="O477" i="8"/>
  <c r="N477" i="8" a="1"/>
  <c r="N477" i="8" s="1"/>
  <c r="O476" i="8"/>
  <c r="N476" i="8" a="1"/>
  <c r="N476" i="8" s="1"/>
  <c r="O475" i="8"/>
  <c r="N475" i="8" a="1"/>
  <c r="N475" i="8" s="1"/>
  <c r="O474" i="8"/>
  <c r="N474" i="8" a="1"/>
  <c r="N474" i="8" s="1"/>
  <c r="O473" i="8"/>
  <c r="N473" i="8" a="1"/>
  <c r="N473" i="8" s="1"/>
  <c r="O472" i="8"/>
  <c r="N472" i="8" a="1"/>
  <c r="N472" i="8" s="1"/>
  <c r="O471" i="8"/>
  <c r="N471" i="8" a="1"/>
  <c r="N471" i="8" s="1"/>
  <c r="O470" i="8"/>
  <c r="N470" i="8" a="1"/>
  <c r="N470" i="8" s="1"/>
  <c r="O469" i="8"/>
  <c r="N469" i="8" a="1"/>
  <c r="N469" i="8" s="1"/>
  <c r="O468" i="8"/>
  <c r="N468" i="8" a="1"/>
  <c r="N468" i="8" s="1"/>
  <c r="O467" i="8"/>
  <c r="N467" i="8" a="1"/>
  <c r="N467" i="8" s="1"/>
  <c r="O466" i="8"/>
  <c r="N466" i="8" a="1"/>
  <c r="N466" i="8" s="1"/>
  <c r="O465" i="8"/>
  <c r="N465" i="8" a="1"/>
  <c r="N465" i="8" s="1"/>
  <c r="O464" i="8"/>
  <c r="N464" i="8" a="1"/>
  <c r="N464" i="8" s="1"/>
  <c r="O463" i="8"/>
  <c r="N463" i="8" a="1"/>
  <c r="N463" i="8" s="1"/>
  <c r="O462" i="8"/>
  <c r="N462" i="8" a="1"/>
  <c r="N462" i="8" s="1"/>
  <c r="O461" i="8"/>
  <c r="N461" i="8" a="1"/>
  <c r="N461" i="8" s="1"/>
  <c r="O460" i="8"/>
  <c r="N460" i="8" a="1"/>
  <c r="N460" i="8" s="1"/>
  <c r="O459" i="8"/>
  <c r="N459" i="8" a="1"/>
  <c r="N459" i="8" s="1"/>
  <c r="O458" i="8"/>
  <c r="N458" i="8" a="1"/>
  <c r="N458" i="8" s="1"/>
  <c r="O457" i="8"/>
  <c r="N457" i="8" a="1"/>
  <c r="N457" i="8" s="1"/>
  <c r="O456" i="8"/>
  <c r="N456" i="8" a="1"/>
  <c r="N456" i="8" s="1"/>
  <c r="O455" i="8"/>
  <c r="N455" i="8" a="1"/>
  <c r="N455" i="8" s="1"/>
  <c r="O454" i="8"/>
  <c r="N454" i="8" a="1"/>
  <c r="N454" i="8" s="1"/>
  <c r="O453" i="8"/>
  <c r="N453" i="8" a="1"/>
  <c r="N453" i="8" s="1"/>
  <c r="O452" i="8"/>
  <c r="N452" i="8" a="1"/>
  <c r="N452" i="8" s="1"/>
  <c r="O451" i="8"/>
  <c r="N451" i="8" a="1"/>
  <c r="N451" i="8" s="1"/>
  <c r="O450" i="8"/>
  <c r="N450" i="8" a="1"/>
  <c r="N450" i="8" s="1"/>
  <c r="O449" i="8"/>
  <c r="N449" i="8" a="1"/>
  <c r="N449" i="8" s="1"/>
  <c r="O448" i="8"/>
  <c r="N448" i="8" a="1"/>
  <c r="N448" i="8" s="1"/>
  <c r="O447" i="8"/>
  <c r="N447" i="8" a="1"/>
  <c r="N447" i="8" s="1"/>
  <c r="O446" i="8"/>
  <c r="N446" i="8" a="1"/>
  <c r="N446" i="8" s="1"/>
  <c r="O445" i="8"/>
  <c r="N445" i="8" a="1"/>
  <c r="N445" i="8" s="1"/>
  <c r="O444" i="8"/>
  <c r="N444" i="8" a="1"/>
  <c r="N444" i="8" s="1"/>
  <c r="O443" i="8"/>
  <c r="N443" i="8" a="1"/>
  <c r="N443" i="8" s="1"/>
  <c r="O442" i="8"/>
  <c r="N442" i="8" a="1"/>
  <c r="N442" i="8" s="1"/>
  <c r="O441" i="8"/>
  <c r="N441" i="8" a="1"/>
  <c r="N441" i="8" s="1"/>
  <c r="O440" i="8"/>
  <c r="N440" i="8" a="1"/>
  <c r="N440" i="8" s="1"/>
  <c r="O439" i="8"/>
  <c r="N439" i="8" a="1"/>
  <c r="N439" i="8" s="1"/>
  <c r="O438" i="8"/>
  <c r="N438" i="8" a="1"/>
  <c r="N438" i="8" s="1"/>
  <c r="O437" i="8"/>
  <c r="N437" i="8" a="1"/>
  <c r="N437" i="8" s="1"/>
  <c r="O436" i="8"/>
  <c r="N436" i="8" a="1"/>
  <c r="N436" i="8" s="1"/>
  <c r="O435" i="8"/>
  <c r="N435" i="8" a="1"/>
  <c r="N435" i="8" s="1"/>
  <c r="O434" i="8"/>
  <c r="N434" i="8" a="1"/>
  <c r="N434" i="8" s="1"/>
  <c r="O433" i="8"/>
  <c r="N433" i="8" a="1"/>
  <c r="N433" i="8" s="1"/>
  <c r="O432" i="8"/>
  <c r="N432" i="8" a="1"/>
  <c r="N432" i="8" s="1"/>
  <c r="O431" i="8"/>
  <c r="N431" i="8" a="1"/>
  <c r="N431" i="8" s="1"/>
  <c r="O430" i="8"/>
  <c r="N430" i="8" a="1"/>
  <c r="N430" i="8" s="1"/>
  <c r="O429" i="8"/>
  <c r="N429" i="8" a="1"/>
  <c r="N429" i="8" s="1"/>
  <c r="O428" i="8"/>
  <c r="N428" i="8" a="1"/>
  <c r="N428" i="8" s="1"/>
  <c r="O427" i="8"/>
  <c r="N427" i="8" a="1"/>
  <c r="N427" i="8" s="1"/>
  <c r="O426" i="8"/>
  <c r="N426" i="8" a="1"/>
  <c r="N426" i="8" s="1"/>
  <c r="O425" i="8"/>
  <c r="N425" i="8" a="1"/>
  <c r="N425" i="8" s="1"/>
  <c r="O424" i="8"/>
  <c r="N424" i="8" a="1"/>
  <c r="N424" i="8" s="1"/>
  <c r="O423" i="8"/>
  <c r="N423" i="8" a="1"/>
  <c r="N423" i="8" s="1"/>
  <c r="O422" i="8"/>
  <c r="N422" i="8" a="1"/>
  <c r="N422" i="8" s="1"/>
  <c r="O421" i="8"/>
  <c r="N421" i="8" a="1"/>
  <c r="N421" i="8" s="1"/>
  <c r="O420" i="8"/>
  <c r="N420" i="8" a="1"/>
  <c r="N420" i="8" s="1"/>
  <c r="O419" i="8"/>
  <c r="N419" i="8" a="1"/>
  <c r="N419" i="8" s="1"/>
  <c r="O418" i="8"/>
  <c r="N418" i="8" a="1"/>
  <c r="N418" i="8" s="1"/>
  <c r="O417" i="8"/>
  <c r="N417" i="8" a="1"/>
  <c r="N417" i="8" s="1"/>
  <c r="O416" i="8"/>
  <c r="N416" i="8" a="1"/>
  <c r="N416" i="8" s="1"/>
  <c r="O415" i="8"/>
  <c r="N415" i="8" a="1"/>
  <c r="N415" i="8" s="1"/>
  <c r="O414" i="8"/>
  <c r="N414" i="8" a="1"/>
  <c r="N414" i="8" s="1"/>
  <c r="O413" i="8"/>
  <c r="N413" i="8" a="1"/>
  <c r="N413" i="8" s="1"/>
  <c r="O412" i="8"/>
  <c r="N412" i="8" a="1"/>
  <c r="N412" i="8" s="1"/>
  <c r="O411" i="8"/>
  <c r="N411" i="8" a="1"/>
  <c r="N411" i="8" s="1"/>
  <c r="O410" i="8"/>
  <c r="N410" i="8" a="1"/>
  <c r="N410" i="8" s="1"/>
  <c r="O409" i="8"/>
  <c r="N409" i="8" a="1"/>
  <c r="N409" i="8" s="1"/>
  <c r="O408" i="8"/>
  <c r="N408" i="8" a="1"/>
  <c r="N408" i="8" s="1"/>
  <c r="O407" i="8"/>
  <c r="N407" i="8" a="1"/>
  <c r="N407" i="8" s="1"/>
  <c r="O406" i="8"/>
  <c r="N406" i="8" a="1"/>
  <c r="N406" i="8" s="1"/>
  <c r="O405" i="8"/>
  <c r="N405" i="8" a="1"/>
  <c r="N405" i="8" s="1"/>
  <c r="O404" i="8"/>
  <c r="N404" i="8" a="1"/>
  <c r="N404" i="8" s="1"/>
  <c r="O403" i="8"/>
  <c r="N403" i="8" a="1"/>
  <c r="N403" i="8" s="1"/>
  <c r="O402" i="8"/>
  <c r="N402" i="8" a="1"/>
  <c r="N402" i="8" s="1"/>
  <c r="O401" i="8"/>
  <c r="N401" i="8" a="1"/>
  <c r="N401" i="8" s="1"/>
  <c r="O400" i="8"/>
  <c r="N400" i="8" a="1"/>
  <c r="N400" i="8" s="1"/>
  <c r="O399" i="8"/>
  <c r="N399" i="8" a="1"/>
  <c r="N399" i="8" s="1"/>
  <c r="O398" i="8"/>
  <c r="N398" i="8" a="1"/>
  <c r="N398" i="8" s="1"/>
  <c r="O397" i="8"/>
  <c r="N397" i="8" a="1"/>
  <c r="N397" i="8" s="1"/>
  <c r="O396" i="8"/>
  <c r="N396" i="8" a="1"/>
  <c r="N396" i="8" s="1"/>
  <c r="O395" i="8"/>
  <c r="N395" i="8" a="1"/>
  <c r="N395" i="8" s="1"/>
  <c r="O394" i="8"/>
  <c r="N394" i="8" a="1"/>
  <c r="N394" i="8" s="1"/>
  <c r="O393" i="8"/>
  <c r="N393" i="8" a="1"/>
  <c r="N393" i="8" s="1"/>
  <c r="O392" i="8"/>
  <c r="N392" i="8" a="1"/>
  <c r="N392" i="8" s="1"/>
  <c r="O391" i="8"/>
  <c r="N391" i="8" a="1"/>
  <c r="N391" i="8" s="1"/>
  <c r="O390" i="8"/>
  <c r="N390" i="8" a="1"/>
  <c r="N390" i="8" s="1"/>
  <c r="O389" i="8"/>
  <c r="N389" i="8" a="1"/>
  <c r="N389" i="8" s="1"/>
  <c r="O388" i="8"/>
  <c r="N388" i="8" a="1"/>
  <c r="N388" i="8" s="1"/>
  <c r="O387" i="8"/>
  <c r="N387" i="8" a="1"/>
  <c r="N387" i="8" s="1"/>
  <c r="O386" i="8"/>
  <c r="N386" i="8" a="1"/>
  <c r="N386" i="8" s="1"/>
  <c r="O385" i="8"/>
  <c r="N385" i="8" a="1"/>
  <c r="N385" i="8" s="1"/>
  <c r="O384" i="8"/>
  <c r="N384" i="8" a="1"/>
  <c r="N384" i="8" s="1"/>
  <c r="O383" i="8"/>
  <c r="N383" i="8" a="1"/>
  <c r="N383" i="8" s="1"/>
  <c r="O382" i="8"/>
  <c r="N382" i="8" a="1"/>
  <c r="N382" i="8" s="1"/>
  <c r="O381" i="8"/>
  <c r="N381" i="8" a="1"/>
  <c r="N381" i="8" s="1"/>
  <c r="O380" i="8"/>
  <c r="N380" i="8" a="1"/>
  <c r="N380" i="8" s="1"/>
  <c r="O379" i="8"/>
  <c r="N379" i="8" a="1"/>
  <c r="N379" i="8" s="1"/>
  <c r="O378" i="8"/>
  <c r="N378" i="8" a="1"/>
  <c r="N378" i="8" s="1"/>
  <c r="O377" i="8"/>
  <c r="N377" i="8" a="1"/>
  <c r="N377" i="8" s="1"/>
  <c r="O376" i="8"/>
  <c r="N376" i="8" a="1"/>
  <c r="N376" i="8" s="1"/>
  <c r="O375" i="8"/>
  <c r="N375" i="8" a="1"/>
  <c r="N375" i="8" s="1"/>
  <c r="O374" i="8"/>
  <c r="N374" i="8" a="1"/>
  <c r="N374" i="8" s="1"/>
  <c r="O373" i="8"/>
  <c r="N373" i="8" a="1"/>
  <c r="N373" i="8" s="1"/>
  <c r="O372" i="8"/>
  <c r="N372" i="8" a="1"/>
  <c r="N372" i="8" s="1"/>
  <c r="O371" i="8"/>
  <c r="N371" i="8" a="1"/>
  <c r="N371" i="8" s="1"/>
  <c r="O370" i="8"/>
  <c r="N370" i="8" a="1"/>
  <c r="N370" i="8" s="1"/>
  <c r="O369" i="8"/>
  <c r="N369" i="8" a="1"/>
  <c r="N369" i="8" s="1"/>
  <c r="O368" i="8"/>
  <c r="N368" i="8" a="1"/>
  <c r="N368" i="8" s="1"/>
  <c r="O367" i="8"/>
  <c r="N367" i="8" a="1"/>
  <c r="N367" i="8" s="1"/>
  <c r="O366" i="8"/>
  <c r="N366" i="8" a="1"/>
  <c r="N366" i="8" s="1"/>
  <c r="O365" i="8"/>
  <c r="N365" i="8" a="1"/>
  <c r="N365" i="8" s="1"/>
  <c r="O364" i="8"/>
  <c r="N364" i="8" a="1"/>
  <c r="N364" i="8" s="1"/>
  <c r="O363" i="8"/>
  <c r="N363" i="8" a="1"/>
  <c r="N363" i="8" s="1"/>
  <c r="O362" i="8"/>
  <c r="N362" i="8" a="1"/>
  <c r="N362" i="8" s="1"/>
  <c r="O361" i="8"/>
  <c r="N361" i="8" a="1"/>
  <c r="N361" i="8" s="1"/>
  <c r="O360" i="8"/>
  <c r="N360" i="8" a="1"/>
  <c r="N360" i="8" s="1"/>
  <c r="O359" i="8"/>
  <c r="N359" i="8" a="1"/>
  <c r="N359" i="8" s="1"/>
  <c r="O358" i="8"/>
  <c r="N358" i="8" a="1"/>
  <c r="N358" i="8" s="1"/>
  <c r="O357" i="8"/>
  <c r="N357" i="8" a="1"/>
  <c r="N357" i="8" s="1"/>
  <c r="O356" i="8"/>
  <c r="N356" i="8" a="1"/>
  <c r="N356" i="8" s="1"/>
  <c r="O355" i="8"/>
  <c r="N355" i="8" a="1"/>
  <c r="N355" i="8" s="1"/>
  <c r="O354" i="8"/>
  <c r="N354" i="8" a="1"/>
  <c r="N354" i="8" s="1"/>
  <c r="O353" i="8"/>
  <c r="N353" i="8" a="1"/>
  <c r="N353" i="8" s="1"/>
  <c r="O352" i="8"/>
  <c r="N352" i="8" a="1"/>
  <c r="N352" i="8" s="1"/>
  <c r="O351" i="8"/>
  <c r="N351" i="8" a="1"/>
  <c r="N351" i="8" s="1"/>
  <c r="O350" i="8"/>
  <c r="N350" i="8" a="1"/>
  <c r="N350" i="8" s="1"/>
  <c r="O349" i="8"/>
  <c r="N349" i="8" a="1"/>
  <c r="N349" i="8" s="1"/>
  <c r="O348" i="8"/>
  <c r="N348" i="8" a="1"/>
  <c r="N348" i="8" s="1"/>
  <c r="O347" i="8"/>
  <c r="N347" i="8" a="1"/>
  <c r="N347" i="8" s="1"/>
  <c r="O346" i="8"/>
  <c r="N346" i="8" a="1"/>
  <c r="N346" i="8" s="1"/>
  <c r="O345" i="8"/>
  <c r="N345" i="8" a="1"/>
  <c r="N345" i="8" s="1"/>
  <c r="O344" i="8"/>
  <c r="N344" i="8" a="1"/>
  <c r="N344" i="8" s="1"/>
  <c r="O343" i="8"/>
  <c r="N343" i="8" a="1"/>
  <c r="N343" i="8" s="1"/>
  <c r="O342" i="8"/>
  <c r="N342" i="8" a="1"/>
  <c r="N342" i="8" s="1"/>
  <c r="O341" i="8"/>
  <c r="N341" i="8" a="1"/>
  <c r="N341" i="8" s="1"/>
  <c r="O340" i="8"/>
  <c r="N340" i="8" a="1"/>
  <c r="N340" i="8" s="1"/>
  <c r="O339" i="8"/>
  <c r="N339" i="8" a="1"/>
  <c r="N339" i="8" s="1"/>
  <c r="O338" i="8"/>
  <c r="N338" i="8" a="1"/>
  <c r="N338" i="8" s="1"/>
  <c r="O337" i="8"/>
  <c r="N337" i="8" a="1"/>
  <c r="N337" i="8" s="1"/>
  <c r="O336" i="8"/>
  <c r="N336" i="8" a="1"/>
  <c r="N336" i="8" s="1"/>
  <c r="O335" i="8"/>
  <c r="N335" i="8" a="1"/>
  <c r="N335" i="8" s="1"/>
  <c r="O334" i="8"/>
  <c r="N334" i="8" a="1"/>
  <c r="N334" i="8" s="1"/>
  <c r="O333" i="8"/>
  <c r="N333" i="8" a="1"/>
  <c r="N333" i="8" s="1"/>
  <c r="O332" i="8"/>
  <c r="N332" i="8" a="1"/>
  <c r="N332" i="8" s="1"/>
  <c r="O331" i="8"/>
  <c r="N331" i="8" a="1"/>
  <c r="N331" i="8" s="1"/>
  <c r="O330" i="8"/>
  <c r="N330" i="8" a="1"/>
  <c r="N330" i="8" s="1"/>
  <c r="O329" i="8"/>
  <c r="N329" i="8" a="1"/>
  <c r="N329" i="8" s="1"/>
  <c r="O328" i="8"/>
  <c r="N328" i="8" a="1"/>
  <c r="N328" i="8" s="1"/>
  <c r="O327" i="8"/>
  <c r="N327" i="8" a="1"/>
  <c r="N327" i="8" s="1"/>
  <c r="O326" i="8"/>
  <c r="N326" i="8" a="1"/>
  <c r="N326" i="8" s="1"/>
  <c r="O325" i="8"/>
  <c r="N325" i="8" a="1"/>
  <c r="N325" i="8" s="1"/>
  <c r="O324" i="8"/>
  <c r="N324" i="8" a="1"/>
  <c r="N324" i="8" s="1"/>
  <c r="O323" i="8"/>
  <c r="N323" i="8" a="1"/>
  <c r="N323" i="8" s="1"/>
  <c r="O322" i="8"/>
  <c r="N322" i="8" a="1"/>
  <c r="N322" i="8" s="1"/>
  <c r="O321" i="8"/>
  <c r="N321" i="8" a="1"/>
  <c r="N321" i="8" s="1"/>
  <c r="O320" i="8"/>
  <c r="N320" i="8" a="1"/>
  <c r="N320" i="8" s="1"/>
  <c r="O319" i="8"/>
  <c r="N319" i="8" a="1"/>
  <c r="N319" i="8" s="1"/>
  <c r="O318" i="8"/>
  <c r="N318" i="8" a="1"/>
  <c r="N318" i="8" s="1"/>
  <c r="O317" i="8"/>
  <c r="N317" i="8" a="1"/>
  <c r="N317" i="8" s="1"/>
  <c r="O316" i="8"/>
  <c r="N316" i="8" a="1"/>
  <c r="N316" i="8" s="1"/>
  <c r="O315" i="8"/>
  <c r="N315" i="8" a="1"/>
  <c r="N315" i="8" s="1"/>
  <c r="O314" i="8"/>
  <c r="N314" i="8" a="1"/>
  <c r="N314" i="8" s="1"/>
  <c r="O313" i="8"/>
  <c r="N313" i="8" a="1"/>
  <c r="N313" i="8" s="1"/>
  <c r="O312" i="8"/>
  <c r="N312" i="8" a="1"/>
  <c r="N312" i="8" s="1"/>
  <c r="O311" i="8"/>
  <c r="N311" i="8" a="1"/>
  <c r="N311" i="8" s="1"/>
  <c r="O310" i="8"/>
  <c r="N310" i="8" a="1"/>
  <c r="N310" i="8" s="1"/>
  <c r="O309" i="8"/>
  <c r="N309" i="8" a="1"/>
  <c r="N309" i="8" s="1"/>
  <c r="O308" i="8"/>
  <c r="N308" i="8" a="1"/>
  <c r="N308" i="8" s="1"/>
  <c r="O307" i="8"/>
  <c r="N307" i="8" a="1"/>
  <c r="N307" i="8" s="1"/>
  <c r="O306" i="8"/>
  <c r="N306" i="8" a="1"/>
  <c r="N306" i="8" s="1"/>
  <c r="O305" i="8"/>
  <c r="N305" i="8" a="1"/>
  <c r="N305" i="8" s="1"/>
  <c r="O304" i="8"/>
  <c r="N304" i="8" a="1"/>
  <c r="N304" i="8" s="1"/>
  <c r="O303" i="8"/>
  <c r="N303" i="8" a="1"/>
  <c r="N303" i="8" s="1"/>
  <c r="O302" i="8"/>
  <c r="N302" i="8" a="1"/>
  <c r="N302" i="8" s="1"/>
  <c r="O301" i="8"/>
  <c r="N301" i="8" a="1"/>
  <c r="N301" i="8" s="1"/>
  <c r="O300" i="8"/>
  <c r="N300" i="8" a="1"/>
  <c r="N300" i="8" s="1"/>
  <c r="O299" i="8"/>
  <c r="N299" i="8" a="1"/>
  <c r="N299" i="8" s="1"/>
  <c r="O298" i="8"/>
  <c r="N298" i="8" a="1"/>
  <c r="N298" i="8" s="1"/>
  <c r="O297" i="8"/>
  <c r="N297" i="8" a="1"/>
  <c r="N297" i="8" s="1"/>
  <c r="O296" i="8"/>
  <c r="N296" i="8" a="1"/>
  <c r="N296" i="8" s="1"/>
  <c r="O295" i="8"/>
  <c r="N295" i="8" a="1"/>
  <c r="N295" i="8" s="1"/>
  <c r="O294" i="8"/>
  <c r="N294" i="8" a="1"/>
  <c r="N294" i="8" s="1"/>
  <c r="O293" i="8"/>
  <c r="N293" i="8" a="1"/>
  <c r="N293" i="8" s="1"/>
  <c r="O292" i="8"/>
  <c r="N292" i="8" a="1"/>
  <c r="N292" i="8" s="1"/>
  <c r="O291" i="8"/>
  <c r="N291" i="8" a="1"/>
  <c r="N291" i="8" s="1"/>
  <c r="O290" i="8"/>
  <c r="N290" i="8" a="1"/>
  <c r="N290" i="8" s="1"/>
  <c r="O289" i="8"/>
  <c r="N289" i="8" a="1"/>
  <c r="N289" i="8" s="1"/>
  <c r="O288" i="8"/>
  <c r="N288" i="8" a="1"/>
  <c r="N288" i="8" s="1"/>
  <c r="O287" i="8"/>
  <c r="N287" i="8" a="1"/>
  <c r="N287" i="8" s="1"/>
  <c r="O286" i="8"/>
  <c r="N286" i="8" a="1"/>
  <c r="N286" i="8" s="1"/>
  <c r="O285" i="8"/>
  <c r="N285" i="8" a="1"/>
  <c r="N285" i="8" s="1"/>
  <c r="O284" i="8"/>
  <c r="N284" i="8" a="1"/>
  <c r="N284" i="8" s="1"/>
  <c r="O283" i="8"/>
  <c r="N283" i="8" a="1"/>
  <c r="N283" i="8" s="1"/>
  <c r="O282" i="8"/>
  <c r="N282" i="8" a="1"/>
  <c r="N282" i="8" s="1"/>
  <c r="O281" i="8"/>
  <c r="N281" i="8" a="1"/>
  <c r="N281" i="8" s="1"/>
  <c r="O280" i="8"/>
  <c r="N280" i="8" a="1"/>
  <c r="N280" i="8" s="1"/>
  <c r="O279" i="8"/>
  <c r="N279" i="8" a="1"/>
  <c r="N279" i="8" s="1"/>
  <c r="O278" i="8"/>
  <c r="N278" i="8" a="1"/>
  <c r="N278" i="8" s="1"/>
  <c r="O277" i="8"/>
  <c r="N277" i="8" a="1"/>
  <c r="N277" i="8" s="1"/>
  <c r="O276" i="8"/>
  <c r="N276" i="8" a="1"/>
  <c r="N276" i="8" s="1"/>
  <c r="O275" i="8"/>
  <c r="N275" i="8" a="1"/>
  <c r="N275" i="8" s="1"/>
  <c r="O274" i="8"/>
  <c r="N274" i="8" a="1"/>
  <c r="N274" i="8" s="1"/>
  <c r="O273" i="8"/>
  <c r="N273" i="8" a="1"/>
  <c r="N273" i="8" s="1"/>
  <c r="O272" i="8"/>
  <c r="N272" i="8" a="1"/>
  <c r="N272" i="8" s="1"/>
  <c r="O271" i="8"/>
  <c r="N271" i="8" a="1"/>
  <c r="N271" i="8" s="1"/>
  <c r="O270" i="8"/>
  <c r="N270" i="8" a="1"/>
  <c r="N270" i="8" s="1"/>
  <c r="O269" i="8"/>
  <c r="N269" i="8" a="1"/>
  <c r="N269" i="8" s="1"/>
  <c r="O268" i="8"/>
  <c r="N268" i="8" a="1"/>
  <c r="N268" i="8" s="1"/>
  <c r="O267" i="8"/>
  <c r="N267" i="8" a="1"/>
  <c r="N267" i="8" s="1"/>
  <c r="O266" i="8"/>
  <c r="N266" i="8" a="1"/>
  <c r="N266" i="8" s="1"/>
  <c r="O265" i="8"/>
  <c r="N265" i="8" a="1"/>
  <c r="N265" i="8" s="1"/>
  <c r="O264" i="8"/>
  <c r="N264" i="8" a="1"/>
  <c r="N264" i="8" s="1"/>
  <c r="O263" i="8"/>
  <c r="N263" i="8" a="1"/>
  <c r="N263" i="8" s="1"/>
  <c r="O262" i="8"/>
  <c r="N262" i="8" a="1"/>
  <c r="N262" i="8" s="1"/>
  <c r="O261" i="8"/>
  <c r="N261" i="8" a="1"/>
  <c r="N261" i="8" s="1"/>
  <c r="O260" i="8"/>
  <c r="N260" i="8" a="1"/>
  <c r="N260" i="8" s="1"/>
  <c r="O259" i="8"/>
  <c r="N259" i="8" a="1"/>
  <c r="N259" i="8" s="1"/>
  <c r="O258" i="8"/>
  <c r="N258" i="8" a="1"/>
  <c r="N258" i="8" s="1"/>
  <c r="O257" i="8"/>
  <c r="N257" i="8" a="1"/>
  <c r="N257" i="8" s="1"/>
  <c r="O256" i="8"/>
  <c r="N256" i="8" a="1"/>
  <c r="N256" i="8" s="1"/>
  <c r="O255" i="8"/>
  <c r="N255" i="8" a="1"/>
  <c r="N255" i="8" s="1"/>
  <c r="O254" i="8"/>
  <c r="N254" i="8" a="1"/>
  <c r="N254" i="8" s="1"/>
  <c r="O253" i="8"/>
  <c r="N253" i="8" a="1"/>
  <c r="N253" i="8" s="1"/>
  <c r="O252" i="8"/>
  <c r="N252" i="8" a="1"/>
  <c r="N252" i="8" s="1"/>
  <c r="O251" i="8"/>
  <c r="N251" i="8" a="1"/>
  <c r="N251" i="8" s="1"/>
  <c r="O250" i="8"/>
  <c r="N250" i="8" a="1"/>
  <c r="N250" i="8" s="1"/>
  <c r="O249" i="8"/>
  <c r="N249" i="8" a="1"/>
  <c r="N249" i="8" s="1"/>
  <c r="O248" i="8"/>
  <c r="N248" i="8" a="1"/>
  <c r="N248" i="8" s="1"/>
  <c r="O247" i="8"/>
  <c r="N247" i="8" a="1"/>
  <c r="N247" i="8" s="1"/>
  <c r="O246" i="8"/>
  <c r="N246" i="8" a="1"/>
  <c r="N246" i="8" s="1"/>
  <c r="O245" i="8"/>
  <c r="N245" i="8" a="1"/>
  <c r="N245" i="8" s="1"/>
  <c r="O244" i="8"/>
  <c r="N244" i="8" a="1"/>
  <c r="N244" i="8" s="1"/>
  <c r="O243" i="8"/>
  <c r="N243" i="8" a="1"/>
  <c r="N243" i="8" s="1"/>
  <c r="O242" i="8"/>
  <c r="N242" i="8" a="1"/>
  <c r="N242" i="8" s="1"/>
  <c r="O241" i="8"/>
  <c r="N241" i="8" a="1"/>
  <c r="N241" i="8" s="1"/>
  <c r="O240" i="8"/>
  <c r="N240" i="8" a="1"/>
  <c r="N240" i="8" s="1"/>
  <c r="O239" i="8"/>
  <c r="N239" i="8" a="1"/>
  <c r="N239" i="8" s="1"/>
  <c r="O238" i="8"/>
  <c r="N238" i="8" a="1"/>
  <c r="N238" i="8" s="1"/>
  <c r="O237" i="8"/>
  <c r="N237" i="8" a="1"/>
  <c r="N237" i="8" s="1"/>
  <c r="O236" i="8"/>
  <c r="N236" i="8" a="1"/>
  <c r="N236" i="8" s="1"/>
  <c r="O235" i="8"/>
  <c r="N235" i="8" a="1"/>
  <c r="N235" i="8" s="1"/>
  <c r="O234" i="8"/>
  <c r="N234" i="8" a="1"/>
  <c r="N234" i="8" s="1"/>
  <c r="O233" i="8"/>
  <c r="N233" i="8" a="1"/>
  <c r="N233" i="8" s="1"/>
  <c r="O232" i="8"/>
  <c r="N232" i="8" a="1"/>
  <c r="N232" i="8" s="1"/>
  <c r="O231" i="8"/>
  <c r="N231" i="8" a="1"/>
  <c r="N231" i="8" s="1"/>
  <c r="O230" i="8"/>
  <c r="N230" i="8" a="1"/>
  <c r="N230" i="8" s="1"/>
  <c r="O229" i="8"/>
  <c r="N229" i="8" a="1"/>
  <c r="N229" i="8" s="1"/>
  <c r="O228" i="8"/>
  <c r="N228" i="8" a="1"/>
  <c r="N228" i="8" s="1"/>
  <c r="O227" i="8"/>
  <c r="N227" i="8" a="1"/>
  <c r="N227" i="8" s="1"/>
  <c r="O226" i="8"/>
  <c r="N226" i="8" a="1"/>
  <c r="N226" i="8" s="1"/>
  <c r="O225" i="8"/>
  <c r="N225" i="8" a="1"/>
  <c r="N225" i="8" s="1"/>
  <c r="O224" i="8"/>
  <c r="N224" i="8" a="1"/>
  <c r="N224" i="8" s="1"/>
  <c r="O223" i="8"/>
  <c r="N223" i="8" a="1"/>
  <c r="N223" i="8" s="1"/>
  <c r="O222" i="8"/>
  <c r="N222" i="8" a="1"/>
  <c r="N222" i="8" s="1"/>
  <c r="O221" i="8"/>
  <c r="N221" i="8" a="1"/>
  <c r="N221" i="8" s="1"/>
  <c r="O220" i="8"/>
  <c r="N220" i="8" a="1"/>
  <c r="N220" i="8" s="1"/>
  <c r="O219" i="8"/>
  <c r="N219" i="8" a="1"/>
  <c r="N219" i="8" s="1"/>
  <c r="O218" i="8"/>
  <c r="N218" i="8" a="1"/>
  <c r="N218" i="8" s="1"/>
  <c r="O217" i="8"/>
  <c r="N217" i="8" a="1"/>
  <c r="N217" i="8" s="1"/>
  <c r="O216" i="8"/>
  <c r="N216" i="8" a="1"/>
  <c r="N216" i="8" s="1"/>
  <c r="O215" i="8"/>
  <c r="N215" i="8" a="1"/>
  <c r="N215" i="8" s="1"/>
  <c r="O214" i="8"/>
  <c r="N214" i="8" a="1"/>
  <c r="N214" i="8" s="1"/>
  <c r="O213" i="8"/>
  <c r="N213" i="8" a="1"/>
  <c r="N213" i="8" s="1"/>
  <c r="O212" i="8"/>
  <c r="N212" i="8" a="1"/>
  <c r="N212" i="8" s="1"/>
  <c r="O211" i="8"/>
  <c r="N211" i="8" a="1"/>
  <c r="N211" i="8" s="1"/>
  <c r="O210" i="8"/>
  <c r="N210" i="8" a="1"/>
  <c r="N210" i="8" s="1"/>
  <c r="O209" i="8"/>
  <c r="N209" i="8" a="1"/>
  <c r="N209" i="8" s="1"/>
  <c r="O208" i="8"/>
  <c r="N208" i="8" a="1"/>
  <c r="N208" i="8" s="1"/>
  <c r="O207" i="8"/>
  <c r="N207" i="8" a="1"/>
  <c r="N207" i="8" s="1"/>
  <c r="O206" i="8"/>
  <c r="N206" i="8" a="1"/>
  <c r="N206" i="8" s="1"/>
  <c r="O205" i="8"/>
  <c r="N205" i="8" a="1"/>
  <c r="N205" i="8" s="1"/>
  <c r="O204" i="8"/>
  <c r="N204" i="8" a="1"/>
  <c r="N204" i="8" s="1"/>
  <c r="O203" i="8"/>
  <c r="N203" i="8" a="1"/>
  <c r="N203" i="8" s="1"/>
  <c r="O202" i="8"/>
  <c r="N202" i="8" a="1"/>
  <c r="N202" i="8" s="1"/>
  <c r="O201" i="8"/>
  <c r="N201" i="8" a="1"/>
  <c r="N201" i="8" s="1"/>
  <c r="O200" i="8"/>
  <c r="N200" i="8" a="1"/>
  <c r="N200" i="8" s="1"/>
  <c r="O199" i="8"/>
  <c r="N199" i="8" a="1"/>
  <c r="N199" i="8" s="1"/>
  <c r="O198" i="8"/>
  <c r="N198" i="8" a="1"/>
  <c r="N198" i="8" s="1"/>
  <c r="O197" i="8"/>
  <c r="N197" i="8" a="1"/>
  <c r="N197" i="8" s="1"/>
  <c r="O196" i="8"/>
  <c r="N196" i="8" a="1"/>
  <c r="N196" i="8" s="1"/>
  <c r="O195" i="8"/>
  <c r="N195" i="8" a="1"/>
  <c r="N195" i="8" s="1"/>
  <c r="O194" i="8"/>
  <c r="N194" i="8" a="1"/>
  <c r="N194" i="8" s="1"/>
  <c r="O193" i="8"/>
  <c r="N193" i="8" a="1"/>
  <c r="N193" i="8" s="1"/>
  <c r="O192" i="8"/>
  <c r="N192" i="8" a="1"/>
  <c r="N192" i="8" s="1"/>
  <c r="O191" i="8"/>
  <c r="N191" i="8" a="1"/>
  <c r="N191" i="8" s="1"/>
  <c r="O190" i="8"/>
  <c r="N190" i="8" a="1"/>
  <c r="N190" i="8" s="1"/>
  <c r="O189" i="8"/>
  <c r="N189" i="8" a="1"/>
  <c r="N189" i="8" s="1"/>
  <c r="O188" i="8"/>
  <c r="N188" i="8" a="1"/>
  <c r="N188" i="8" s="1"/>
  <c r="O187" i="8"/>
  <c r="N187" i="8" a="1"/>
  <c r="N187" i="8" s="1"/>
  <c r="O186" i="8"/>
  <c r="N186" i="8" a="1"/>
  <c r="N186" i="8" s="1"/>
  <c r="O185" i="8"/>
  <c r="N185" i="8" a="1"/>
  <c r="N185" i="8" s="1"/>
  <c r="O184" i="8"/>
  <c r="N184" i="8" a="1"/>
  <c r="N184" i="8" s="1"/>
  <c r="O183" i="8"/>
  <c r="N183" i="8" a="1"/>
  <c r="N183" i="8" s="1"/>
  <c r="O182" i="8"/>
  <c r="N182" i="8" a="1"/>
  <c r="N182" i="8" s="1"/>
  <c r="O181" i="8"/>
  <c r="N181" i="8" a="1"/>
  <c r="N181" i="8" s="1"/>
  <c r="O180" i="8"/>
  <c r="N180" i="8" a="1"/>
  <c r="N180" i="8" s="1"/>
  <c r="O179" i="8"/>
  <c r="N179" i="8" a="1"/>
  <c r="N179" i="8" s="1"/>
  <c r="O178" i="8"/>
  <c r="N178" i="8" a="1"/>
  <c r="N178" i="8" s="1"/>
  <c r="O177" i="8"/>
  <c r="N177" i="8" a="1"/>
  <c r="N177" i="8" s="1"/>
  <c r="O176" i="8"/>
  <c r="N176" i="8" a="1"/>
  <c r="N176" i="8" s="1"/>
  <c r="O175" i="8"/>
  <c r="N175" i="8" a="1"/>
  <c r="N175" i="8" s="1"/>
  <c r="O174" i="8"/>
  <c r="N174" i="8" a="1"/>
  <c r="N174" i="8" s="1"/>
  <c r="O173" i="8"/>
  <c r="N173" i="8" a="1"/>
  <c r="N173" i="8" s="1"/>
  <c r="O172" i="8"/>
  <c r="N172" i="8" a="1"/>
  <c r="N172" i="8" s="1"/>
  <c r="O171" i="8"/>
  <c r="N171" i="8" a="1"/>
  <c r="N171" i="8" s="1"/>
  <c r="O170" i="8"/>
  <c r="N170" i="8" a="1"/>
  <c r="N170" i="8" s="1"/>
  <c r="O169" i="8"/>
  <c r="N169" i="8" a="1"/>
  <c r="N169" i="8" s="1"/>
  <c r="O168" i="8"/>
  <c r="N168" i="8" a="1"/>
  <c r="N168" i="8" s="1"/>
  <c r="O167" i="8"/>
  <c r="N167" i="8" a="1"/>
  <c r="N167" i="8" s="1"/>
  <c r="O166" i="8"/>
  <c r="N166" i="8" a="1"/>
  <c r="N166" i="8" s="1"/>
  <c r="O165" i="8"/>
  <c r="N165" i="8" a="1"/>
  <c r="N165" i="8" s="1"/>
  <c r="O164" i="8"/>
  <c r="N164" i="8" a="1"/>
  <c r="N164" i="8" s="1"/>
  <c r="O163" i="8"/>
  <c r="N163" i="8" a="1"/>
  <c r="N163" i="8" s="1"/>
  <c r="O162" i="8"/>
  <c r="N162" i="8" a="1"/>
  <c r="N162" i="8" s="1"/>
  <c r="O161" i="8"/>
  <c r="N161" i="8" a="1"/>
  <c r="N161" i="8" s="1"/>
  <c r="O160" i="8"/>
  <c r="N160" i="8" a="1"/>
  <c r="N160" i="8" s="1"/>
  <c r="O159" i="8"/>
  <c r="N159" i="8" a="1"/>
  <c r="N159" i="8" s="1"/>
  <c r="O158" i="8"/>
  <c r="N158" i="8" a="1"/>
  <c r="N158" i="8" s="1"/>
  <c r="O157" i="8"/>
  <c r="N157" i="8" a="1"/>
  <c r="N157" i="8" s="1"/>
  <c r="O156" i="8"/>
  <c r="N156" i="8" a="1"/>
  <c r="N156" i="8" s="1"/>
  <c r="O155" i="8"/>
  <c r="N155" i="8" a="1"/>
  <c r="N155" i="8" s="1"/>
  <c r="O154" i="8"/>
  <c r="N154" i="8" a="1"/>
  <c r="N154" i="8" s="1"/>
  <c r="O153" i="8"/>
  <c r="N153" i="8" a="1"/>
  <c r="N153" i="8" s="1"/>
  <c r="O152" i="8"/>
  <c r="N152" i="8" a="1"/>
  <c r="N152" i="8" s="1"/>
  <c r="O151" i="8"/>
  <c r="N151" i="8" a="1"/>
  <c r="N151" i="8" s="1"/>
  <c r="O150" i="8"/>
  <c r="N150" i="8" a="1"/>
  <c r="N150" i="8" s="1"/>
  <c r="O149" i="8"/>
  <c r="N149" i="8" a="1"/>
  <c r="N149" i="8" s="1"/>
  <c r="O148" i="8"/>
  <c r="N148" i="8" a="1"/>
  <c r="N148" i="8" s="1"/>
  <c r="O147" i="8"/>
  <c r="N147" i="8" a="1"/>
  <c r="N147" i="8" s="1"/>
  <c r="O146" i="8"/>
  <c r="N146" i="8" a="1"/>
  <c r="N146" i="8" s="1"/>
  <c r="O145" i="8"/>
  <c r="N145" i="8" a="1"/>
  <c r="N145" i="8" s="1"/>
  <c r="O144" i="8"/>
  <c r="N144" i="8" a="1"/>
  <c r="N144" i="8" s="1"/>
  <c r="O143" i="8"/>
  <c r="N143" i="8" a="1"/>
  <c r="N143" i="8" s="1"/>
  <c r="O142" i="8"/>
  <c r="N142" i="8" a="1"/>
  <c r="N142" i="8" s="1"/>
  <c r="O141" i="8"/>
  <c r="N141" i="8" a="1"/>
  <c r="N141" i="8" s="1"/>
  <c r="O140" i="8"/>
  <c r="N140" i="8" a="1"/>
  <c r="N140" i="8" s="1"/>
  <c r="O139" i="8"/>
  <c r="N139" i="8" a="1"/>
  <c r="N139" i="8" s="1"/>
  <c r="O138" i="8"/>
  <c r="N138" i="8" a="1"/>
  <c r="N138" i="8" s="1"/>
  <c r="O137" i="8"/>
  <c r="N137" i="8" a="1"/>
  <c r="N137" i="8" s="1"/>
  <c r="O136" i="8"/>
  <c r="N136" i="8" a="1"/>
  <c r="N136" i="8" s="1"/>
  <c r="O135" i="8"/>
  <c r="N135" i="8" a="1"/>
  <c r="N135" i="8" s="1"/>
  <c r="O134" i="8"/>
  <c r="N134" i="8" a="1"/>
  <c r="N134" i="8" s="1"/>
  <c r="O133" i="8"/>
  <c r="N133" i="8" a="1"/>
  <c r="N133" i="8" s="1"/>
  <c r="O132" i="8"/>
  <c r="N132" i="8" a="1"/>
  <c r="N132" i="8" s="1"/>
  <c r="O131" i="8"/>
  <c r="N131" i="8" a="1"/>
  <c r="N131" i="8" s="1"/>
  <c r="O130" i="8"/>
  <c r="N130" i="8" a="1"/>
  <c r="N130" i="8" s="1"/>
  <c r="O129" i="8"/>
  <c r="N129" i="8" a="1"/>
  <c r="N129" i="8" s="1"/>
  <c r="O128" i="8"/>
  <c r="N128" i="8" a="1"/>
  <c r="N128" i="8" s="1"/>
  <c r="O127" i="8"/>
  <c r="N127" i="8" a="1"/>
  <c r="N127" i="8" s="1"/>
  <c r="O126" i="8"/>
  <c r="N126" i="8" a="1"/>
  <c r="N126" i="8" s="1"/>
  <c r="O125" i="8"/>
  <c r="N125" i="8" a="1"/>
  <c r="N125" i="8" s="1"/>
  <c r="O124" i="8"/>
  <c r="N124" i="8" a="1"/>
  <c r="N124" i="8" s="1"/>
  <c r="O123" i="8"/>
  <c r="N123" i="8" a="1"/>
  <c r="N123" i="8" s="1"/>
  <c r="O122" i="8"/>
  <c r="N122" i="8" a="1"/>
  <c r="N122" i="8" s="1"/>
  <c r="O121" i="8"/>
  <c r="N121" i="8" a="1"/>
  <c r="N121" i="8" s="1"/>
  <c r="O120" i="8"/>
  <c r="N120" i="8" a="1"/>
  <c r="N120" i="8" s="1"/>
  <c r="O119" i="8"/>
  <c r="N119" i="8" a="1"/>
  <c r="N119" i="8" s="1"/>
  <c r="O118" i="8"/>
  <c r="N118" i="8" a="1"/>
  <c r="N118" i="8" s="1"/>
  <c r="O117" i="8"/>
  <c r="N117" i="8" a="1"/>
  <c r="N117" i="8" s="1"/>
  <c r="O116" i="8"/>
  <c r="N116" i="8" a="1"/>
  <c r="N116" i="8" s="1"/>
  <c r="O115" i="8"/>
  <c r="N115" i="8" a="1"/>
  <c r="N115" i="8" s="1"/>
  <c r="O114" i="8"/>
  <c r="N114" i="8" a="1"/>
  <c r="N114" i="8" s="1"/>
  <c r="O113" i="8"/>
  <c r="N113" i="8" a="1"/>
  <c r="N113" i="8" s="1"/>
  <c r="O112" i="8"/>
  <c r="N112" i="8" a="1"/>
  <c r="N112" i="8" s="1"/>
  <c r="O111" i="8"/>
  <c r="N111" i="8" a="1"/>
  <c r="N111" i="8" s="1"/>
  <c r="O110" i="8"/>
  <c r="N110" i="8" a="1"/>
  <c r="N110" i="8" s="1"/>
  <c r="O109" i="8"/>
  <c r="N109" i="8" a="1"/>
  <c r="N109" i="8" s="1"/>
  <c r="O108" i="8"/>
  <c r="N108" i="8" a="1"/>
  <c r="N108" i="8" s="1"/>
  <c r="O107" i="8"/>
  <c r="N107" i="8" a="1"/>
  <c r="N107" i="8" s="1"/>
  <c r="O106" i="8"/>
  <c r="N106" i="8" a="1"/>
  <c r="N106" i="8" s="1"/>
  <c r="O105" i="8"/>
  <c r="N105" i="8" a="1"/>
  <c r="N105" i="8" s="1"/>
  <c r="O104" i="8"/>
  <c r="N104" i="8" a="1"/>
  <c r="N104" i="8" s="1"/>
  <c r="O103" i="8"/>
  <c r="N103" i="8" a="1"/>
  <c r="N103" i="8" s="1"/>
  <c r="O102" i="8"/>
  <c r="N102" i="8" a="1"/>
  <c r="N102" i="8" s="1"/>
  <c r="O101" i="8"/>
  <c r="N101" i="8" a="1"/>
  <c r="N101" i="8" s="1"/>
  <c r="O100" i="8"/>
  <c r="N100" i="8" a="1"/>
  <c r="N100" i="8" s="1"/>
  <c r="O99" i="8"/>
  <c r="N99" i="8" a="1"/>
  <c r="N99" i="8" s="1"/>
  <c r="O98" i="8"/>
  <c r="N98" i="8" a="1"/>
  <c r="N98" i="8" s="1"/>
  <c r="O97" i="8"/>
  <c r="N97" i="8" a="1"/>
  <c r="N97" i="8" s="1"/>
  <c r="O96" i="8"/>
  <c r="N96" i="8" a="1"/>
  <c r="N96" i="8" s="1"/>
  <c r="O95" i="8"/>
  <c r="N95" i="8" a="1"/>
  <c r="N95" i="8" s="1"/>
  <c r="O94" i="8"/>
  <c r="N94" i="8" a="1"/>
  <c r="N94" i="8" s="1"/>
  <c r="O93" i="8"/>
  <c r="N93" i="8" a="1"/>
  <c r="N93" i="8" s="1"/>
  <c r="O92" i="8"/>
  <c r="N92" i="8" a="1"/>
  <c r="N92" i="8" s="1"/>
  <c r="O91" i="8"/>
  <c r="N91" i="8" a="1"/>
  <c r="N91" i="8" s="1"/>
  <c r="O90" i="8"/>
  <c r="N90" i="8" a="1"/>
  <c r="N90" i="8" s="1"/>
  <c r="O89" i="8"/>
  <c r="N89" i="8" a="1"/>
  <c r="N89" i="8" s="1"/>
  <c r="O88" i="8"/>
  <c r="N88" i="8" a="1"/>
  <c r="N88" i="8" s="1"/>
  <c r="O87" i="8"/>
  <c r="N87" i="8" a="1"/>
  <c r="N87" i="8" s="1"/>
  <c r="O86" i="8"/>
  <c r="N86" i="8" a="1"/>
  <c r="N86" i="8" s="1"/>
  <c r="O85" i="8"/>
  <c r="N85" i="8" a="1"/>
  <c r="N85" i="8" s="1"/>
  <c r="O84" i="8"/>
  <c r="N84" i="8" a="1"/>
  <c r="N84" i="8" s="1"/>
  <c r="O83" i="8"/>
  <c r="N83" i="8" a="1"/>
  <c r="N83" i="8" s="1"/>
  <c r="O82" i="8"/>
  <c r="N82" i="8" a="1"/>
  <c r="N82" i="8" s="1"/>
  <c r="O81" i="8"/>
  <c r="N81" i="8" a="1"/>
  <c r="N81" i="8" s="1"/>
  <c r="O80" i="8"/>
  <c r="N80" i="8" a="1"/>
  <c r="N80" i="8" s="1"/>
  <c r="O79" i="8"/>
  <c r="N79" i="8" a="1"/>
  <c r="N79" i="8" s="1"/>
  <c r="O78" i="8"/>
  <c r="N78" i="8" a="1"/>
  <c r="N78" i="8" s="1"/>
  <c r="O77" i="8"/>
  <c r="N77" i="8" a="1"/>
  <c r="N77" i="8" s="1"/>
  <c r="O76" i="8"/>
  <c r="N76" i="8" a="1"/>
  <c r="N76" i="8" s="1"/>
  <c r="O75" i="8"/>
  <c r="N75" i="8" a="1"/>
  <c r="N75" i="8" s="1"/>
  <c r="O74" i="8"/>
  <c r="N74" i="8" a="1"/>
  <c r="N74" i="8" s="1"/>
  <c r="O73" i="8"/>
  <c r="N73" i="8" a="1"/>
  <c r="N73" i="8" s="1"/>
  <c r="O72" i="8"/>
  <c r="N72" i="8" a="1"/>
  <c r="N72" i="8" s="1"/>
  <c r="O71" i="8"/>
  <c r="N71" i="8" a="1"/>
  <c r="N71" i="8" s="1"/>
  <c r="O70" i="8"/>
  <c r="N70" i="8" a="1"/>
  <c r="N70" i="8" s="1"/>
  <c r="O69" i="8"/>
  <c r="N69" i="8" a="1"/>
  <c r="N69" i="8" s="1"/>
  <c r="O68" i="8"/>
  <c r="N68" i="8" a="1"/>
  <c r="N68" i="8" s="1"/>
  <c r="O67" i="8"/>
  <c r="N67" i="8" a="1"/>
  <c r="N67" i="8" s="1"/>
  <c r="O66" i="8"/>
  <c r="N66" i="8" a="1"/>
  <c r="N66" i="8" s="1"/>
  <c r="O65" i="8"/>
  <c r="N65" i="8" a="1"/>
  <c r="N65" i="8" s="1"/>
  <c r="O64" i="8"/>
  <c r="N64" i="8" a="1"/>
  <c r="N64" i="8" s="1"/>
  <c r="O63" i="8"/>
  <c r="N63" i="8" a="1"/>
  <c r="N63" i="8" s="1"/>
  <c r="O62" i="8"/>
  <c r="N62" i="8" a="1"/>
  <c r="N62" i="8" s="1"/>
  <c r="O61" i="8"/>
  <c r="N61" i="8" a="1"/>
  <c r="N61" i="8" s="1"/>
  <c r="O60" i="8"/>
  <c r="N60" i="8" a="1"/>
  <c r="N60" i="8" s="1"/>
  <c r="O59" i="8"/>
  <c r="N59" i="8" a="1"/>
  <c r="N59" i="8" s="1"/>
  <c r="O58" i="8"/>
  <c r="N58" i="8" a="1"/>
  <c r="N58" i="8" s="1"/>
  <c r="O57" i="8"/>
  <c r="N57" i="8" a="1"/>
  <c r="N57" i="8" s="1"/>
  <c r="O56" i="8"/>
  <c r="N56" i="8" a="1"/>
  <c r="N56" i="8" s="1"/>
  <c r="O55" i="8"/>
  <c r="N55" i="8" a="1"/>
  <c r="N55" i="8" s="1"/>
  <c r="O54" i="8"/>
  <c r="N54" i="8" a="1"/>
  <c r="N54" i="8" s="1"/>
  <c r="O53" i="8"/>
  <c r="N53" i="8" a="1"/>
  <c r="N53" i="8" s="1"/>
  <c r="O52" i="8"/>
  <c r="N52" i="8" a="1"/>
  <c r="N52" i="8" s="1"/>
  <c r="O51" i="8"/>
  <c r="N51" i="8" a="1"/>
  <c r="N51" i="8" s="1"/>
  <c r="O50" i="8"/>
  <c r="N50" i="8" a="1"/>
  <c r="N50" i="8" s="1"/>
  <c r="O49" i="8"/>
  <c r="N49" i="8" a="1"/>
  <c r="N49" i="8" s="1"/>
  <c r="O48" i="8"/>
  <c r="N48" i="8" a="1"/>
  <c r="N48" i="8" s="1"/>
  <c r="O47" i="8"/>
  <c r="N47" i="8" a="1"/>
  <c r="N47" i="8" s="1"/>
  <c r="O46" i="8"/>
  <c r="N46" i="8" a="1"/>
  <c r="N46" i="8" s="1"/>
  <c r="O45" i="8"/>
  <c r="N45" i="8" a="1"/>
  <c r="N45" i="8" s="1"/>
  <c r="O44" i="8"/>
  <c r="N44" i="8" a="1"/>
  <c r="N44" i="8" s="1"/>
  <c r="O43" i="8"/>
  <c r="N43" i="8" a="1"/>
  <c r="N43" i="8" s="1"/>
  <c r="O42" i="8"/>
  <c r="N42" i="8" a="1"/>
  <c r="N42" i="8" s="1"/>
  <c r="O41" i="8"/>
  <c r="N41" i="8" a="1"/>
  <c r="N41" i="8" s="1"/>
  <c r="O40" i="8"/>
  <c r="N40" i="8" a="1"/>
  <c r="N40" i="8" s="1"/>
  <c r="O39" i="8"/>
  <c r="N39" i="8" a="1"/>
  <c r="N39" i="8" s="1"/>
  <c r="O38" i="8"/>
  <c r="N38" i="8" a="1"/>
  <c r="N38" i="8" s="1"/>
  <c r="O37" i="8"/>
  <c r="N37" i="8" a="1"/>
  <c r="N37" i="8" s="1"/>
  <c r="O36" i="8"/>
  <c r="N36" i="8" a="1"/>
  <c r="N36" i="8" s="1"/>
  <c r="O35" i="8"/>
  <c r="N35" i="8" a="1"/>
  <c r="N35" i="8" s="1"/>
  <c r="O34" i="8"/>
  <c r="N34" i="8" a="1"/>
  <c r="N34" i="8" s="1"/>
  <c r="O33" i="8"/>
  <c r="N33" i="8" a="1"/>
  <c r="N33" i="8" s="1"/>
  <c r="O32" i="8"/>
  <c r="N32" i="8" a="1"/>
  <c r="N32" i="8" s="1"/>
  <c r="O31" i="8"/>
  <c r="N31" i="8" a="1"/>
  <c r="N31" i="8" s="1"/>
  <c r="O30" i="8"/>
  <c r="N30" i="8" a="1"/>
  <c r="N30" i="8" s="1"/>
  <c r="O29" i="8"/>
  <c r="N29" i="8" a="1"/>
  <c r="N29" i="8" s="1"/>
  <c r="O28" i="8"/>
  <c r="N28" i="8" a="1"/>
  <c r="N28" i="8" s="1"/>
  <c r="O27" i="8"/>
  <c r="N27" i="8" a="1"/>
  <c r="N27" i="8" s="1"/>
  <c r="O26" i="8"/>
  <c r="N26" i="8" a="1"/>
  <c r="N26" i="8" s="1"/>
  <c r="O25" i="8"/>
  <c r="N25" i="8" a="1"/>
  <c r="N25" i="8" s="1"/>
  <c r="O24" i="8"/>
  <c r="N24" i="8" a="1"/>
  <c r="N24" i="8" s="1"/>
  <c r="O23" i="8"/>
  <c r="N23" i="8" a="1"/>
  <c r="N23" i="8" s="1"/>
  <c r="O22" i="8"/>
  <c r="N22" i="8" a="1"/>
  <c r="N22" i="8" s="1"/>
  <c r="O21" i="8"/>
  <c r="N21" i="8" a="1"/>
  <c r="N21" i="8" s="1"/>
  <c r="O20" i="8"/>
  <c r="N20" i="8" a="1"/>
  <c r="N20" i="8" s="1"/>
  <c r="O19" i="8"/>
  <c r="N19" i="8" a="1"/>
  <c r="N19" i="8" s="1"/>
  <c r="O18" i="8"/>
  <c r="N18" i="8" a="1"/>
  <c r="N18" i="8" s="1"/>
  <c r="O17" i="8"/>
  <c r="N17" i="8" a="1"/>
  <c r="N17" i="8" s="1"/>
  <c r="O16" i="8"/>
  <c r="N16" i="8" a="1"/>
  <c r="N16" i="8" s="1"/>
  <c r="O15" i="8"/>
  <c r="N15" i="8" a="1"/>
  <c r="N15" i="8" s="1"/>
  <c r="O14" i="8"/>
  <c r="N14" i="8" a="1"/>
  <c r="N14" i="8" s="1"/>
  <c r="O13" i="8"/>
  <c r="N13" i="8" a="1"/>
  <c r="N13" i="8" s="1"/>
  <c r="O12" i="8"/>
  <c r="N12" i="8" a="1"/>
  <c r="N12" i="8" s="1"/>
  <c r="O11" i="8"/>
  <c r="N11" i="8" a="1"/>
  <c r="N11" i="8" s="1"/>
  <c r="O10" i="8"/>
  <c r="N10" i="8" a="1"/>
  <c r="N10" i="8" s="1"/>
  <c r="O9" i="8"/>
  <c r="N9" i="8" a="1"/>
  <c r="N9" i="8" s="1"/>
  <c r="O8" i="8"/>
  <c r="N8" i="8" a="1"/>
  <c r="N8" i="8" s="1"/>
  <c r="O7" i="8"/>
  <c r="N7" i="8" a="1"/>
  <c r="N7" i="8" s="1"/>
  <c r="O6" i="8"/>
  <c r="N6" i="8" a="1"/>
  <c r="N6" i="8" s="1"/>
  <c r="O5" i="8"/>
  <c r="N5" i="8" a="1"/>
  <c r="N5" i="8" s="1"/>
  <c r="O4" i="8"/>
  <c r="N4" i="8" a="1"/>
  <c r="N4" i="8" s="1"/>
  <c r="O3" i="8"/>
  <c r="O2" i="8"/>
  <c r="N2" i="8" a="1"/>
  <c r="N2" i="8" s="1"/>
  <c r="N751" i="3" a="1"/>
  <c r="N751" i="3" s="1"/>
  <c r="N686" i="3" a="1"/>
  <c r="N686" i="3" s="1"/>
  <c r="N78" i="3" a="1"/>
  <c r="N78" i="3" s="1"/>
  <c r="N385" i="3" a="1"/>
  <c r="N385" i="3" s="1"/>
  <c r="N369" i="3" a="1"/>
  <c r="N369" i="3" s="1"/>
  <c r="N510" i="3" a="1"/>
  <c r="N510" i="3" s="1"/>
  <c r="N81" i="3" a="1"/>
  <c r="N81" i="3" s="1"/>
  <c r="N200" i="3" a="1"/>
  <c r="N200" i="3" s="1"/>
  <c r="N314" i="3" a="1"/>
  <c r="N314" i="3" s="1"/>
  <c r="N906" i="3" a="1"/>
  <c r="N906" i="3" s="1"/>
  <c r="N715" i="3" a="1"/>
  <c r="N715" i="3" s="1"/>
  <c r="N176" i="3" a="1"/>
  <c r="N176" i="3" s="1"/>
  <c r="N315" i="3" a="1"/>
  <c r="N315" i="3" s="1"/>
  <c r="N947" i="3" a="1"/>
  <c r="N947" i="3" s="1"/>
  <c r="N684" i="3" a="1"/>
  <c r="N684" i="3" s="1"/>
  <c r="N745" i="3" a="1"/>
  <c r="N745" i="3" s="1"/>
  <c r="N37" i="3" a="1"/>
  <c r="N37" i="3" s="1"/>
  <c r="N113" i="3" a="1"/>
  <c r="N113" i="3" s="1"/>
  <c r="N955" i="3" a="1"/>
  <c r="N955" i="3" s="1"/>
  <c r="N981" i="3" a="1"/>
  <c r="N981" i="3" s="1"/>
  <c r="N201" i="3" a="1"/>
  <c r="N201" i="3" s="1"/>
  <c r="N950" i="3" a="1"/>
  <c r="N950" i="3" s="1"/>
  <c r="N760" i="3" a="1"/>
  <c r="N760" i="3"/>
  <c r="N670" i="3" a="1"/>
  <c r="N670" i="3" s="1"/>
  <c r="N289" i="3" a="1"/>
  <c r="N289" i="3" s="1"/>
  <c r="N308" i="3" a="1"/>
  <c r="N308" i="3" s="1"/>
  <c r="N587" i="3" a="1"/>
  <c r="N587" i="3" s="1"/>
  <c r="N588" i="3" a="1"/>
  <c r="N588" i="3" s="1"/>
  <c r="N441" i="3" a="1"/>
  <c r="N441" i="3" s="1"/>
  <c r="N127" i="3" a="1"/>
  <c r="N127" i="3" s="1"/>
  <c r="N194" i="3" a="1"/>
  <c r="N194" i="3" s="1"/>
  <c r="N945" i="3" a="1"/>
  <c r="N945" i="3" s="1"/>
  <c r="N426" i="3" a="1"/>
  <c r="N426" i="3" s="1"/>
  <c r="N296" i="3" a="1"/>
  <c r="N296" i="3" s="1"/>
  <c r="N591" i="3" a="1"/>
  <c r="N591" i="3" s="1"/>
  <c r="N114" i="3" a="1"/>
  <c r="N114" i="3" s="1"/>
  <c r="N983" i="3" a="1"/>
  <c r="N983" i="3" s="1"/>
  <c r="N341" i="3" a="1"/>
  <c r="N341" i="3" s="1"/>
  <c r="N498" i="3" a="1"/>
  <c r="N498" i="3" s="1"/>
  <c r="N619" i="3" a="1"/>
  <c r="N619" i="3" s="1"/>
  <c r="N627" i="3" a="1"/>
  <c r="N627" i="3" s="1"/>
  <c r="N733" i="3" a="1"/>
  <c r="N733" i="3" s="1"/>
  <c r="N404" i="3" a="1"/>
  <c r="N404" i="3" s="1"/>
  <c r="N370" i="3" a="1"/>
  <c r="N370" i="3" s="1"/>
  <c r="N765" i="3" a="1"/>
  <c r="N765" i="3" s="1"/>
  <c r="N592" i="3" a="1"/>
  <c r="N592" i="3" s="1"/>
  <c r="N699" i="3" a="1"/>
  <c r="N699" i="3" s="1"/>
  <c r="N921" i="3" a="1"/>
  <c r="N921" i="3" s="1"/>
  <c r="N876" i="3" a="1"/>
  <c r="N876" i="3" s="1"/>
  <c r="N437" i="3" a="1"/>
  <c r="N437" i="3" s="1"/>
  <c r="N342" i="3" a="1"/>
  <c r="N342" i="3" s="1"/>
  <c r="N481" i="3" a="1"/>
  <c r="N481" i="3" s="1"/>
  <c r="N545" i="3" a="1"/>
  <c r="N545" i="3" s="1"/>
  <c r="N750" i="3" a="1"/>
  <c r="N750" i="3" s="1"/>
  <c r="N850" i="3" a="1"/>
  <c r="N850" i="3" s="1"/>
  <c r="N886" i="3" a="1"/>
  <c r="N886" i="3" s="1"/>
  <c r="N219" i="3" a="1"/>
  <c r="N219" i="3" s="1"/>
  <c r="N694" i="3" a="1"/>
  <c r="N694" i="3" s="1"/>
  <c r="N70" i="3" a="1"/>
  <c r="N70" i="3" s="1"/>
  <c r="N195" i="3" a="1"/>
  <c r="N195" i="3" s="1"/>
  <c r="N970" i="3" a="1"/>
  <c r="N970" i="3" s="1"/>
  <c r="N269" i="3" a="1"/>
  <c r="N269" i="3" s="1"/>
  <c r="N893" i="3" a="1"/>
  <c r="N893" i="3" s="1"/>
  <c r="N423" i="3" a="1"/>
  <c r="N423" i="3" s="1"/>
  <c r="N711" i="3" a="1"/>
  <c r="N711" i="3" s="1"/>
  <c r="N251" i="3" a="1"/>
  <c r="N251" i="3" s="1"/>
  <c r="N412" i="3" a="1"/>
  <c r="N412" i="3" s="1"/>
  <c r="N544" i="3" a="1"/>
  <c r="N544" i="3" s="1"/>
  <c r="N179" i="3" a="1"/>
  <c r="N179" i="3"/>
  <c r="N855" i="3" a="1"/>
  <c r="N855" i="3" s="1"/>
  <c r="N102" i="3" a="1"/>
  <c r="N102" i="3" s="1"/>
  <c r="N662" i="3" a="1"/>
  <c r="N662" i="3" s="1"/>
  <c r="N964" i="3" a="1"/>
  <c r="N964" i="3" s="1"/>
  <c r="N36" i="3" a="1"/>
  <c r="N36" i="3" s="1"/>
  <c r="N361" i="3" a="1"/>
  <c r="N361" i="3" s="1"/>
  <c r="N722" i="3" a="1"/>
  <c r="N722" i="3" s="1"/>
  <c r="N620" i="3" a="1"/>
  <c r="N620" i="3" s="1"/>
  <c r="N687" i="3" a="1"/>
  <c r="N687" i="3" s="1"/>
  <c r="N567" i="3" a="1"/>
  <c r="N567" i="3" s="1"/>
  <c r="N378" i="3" a="1"/>
  <c r="N378" i="3"/>
  <c r="N767" i="3" a="1"/>
  <c r="N767" i="3" s="1"/>
  <c r="N546" i="3" a="1"/>
  <c r="N546" i="3" s="1"/>
  <c r="N692" i="3" a="1"/>
  <c r="N692" i="3" s="1"/>
  <c r="N359" i="3" a="1"/>
  <c r="N359" i="3" s="1"/>
  <c r="N71" i="3" a="1"/>
  <c r="N71" i="3" s="1"/>
  <c r="N754" i="3" a="1"/>
  <c r="N754" i="3" s="1"/>
  <c r="N152" i="3" a="1"/>
  <c r="N152" i="3" s="1"/>
  <c r="N932" i="3" a="1"/>
  <c r="N932" i="3" s="1"/>
  <c r="N725" i="3" a="1"/>
  <c r="N725" i="3" s="1"/>
  <c r="N644" i="3" a="1"/>
  <c r="N644" i="3" s="1"/>
  <c r="N164" i="3" a="1"/>
  <c r="N164" i="3" s="1"/>
  <c r="N558" i="3" a="1"/>
  <c r="N558" i="3" s="1"/>
  <c r="N268" i="3" a="1"/>
  <c r="N268" i="3" s="1"/>
  <c r="N146" i="3" a="1"/>
  <c r="N146" i="3" s="1"/>
  <c r="N518" i="3" a="1"/>
  <c r="N518" i="3" s="1"/>
  <c r="N47" i="3" a="1"/>
  <c r="N47" i="3" s="1"/>
  <c r="N400" i="3" a="1"/>
  <c r="N400" i="3" s="1"/>
  <c r="N64" i="3" a="1"/>
  <c r="N64" i="3" s="1"/>
  <c r="N160" i="3" a="1"/>
  <c r="N160" i="3" s="1"/>
  <c r="N346" i="3" a="1"/>
  <c r="N346" i="3" s="1"/>
  <c r="N514" i="3" a="1"/>
  <c r="N514" i="3" s="1"/>
  <c r="N355" i="3" a="1"/>
  <c r="N355" i="3" s="1"/>
  <c r="N138" i="3" a="1"/>
  <c r="N138" i="3" s="1"/>
  <c r="N871" i="3" a="1"/>
  <c r="N871" i="3" s="1"/>
  <c r="N646" i="3" a="1"/>
  <c r="N646" i="3" s="1"/>
  <c r="N115" i="3" a="1"/>
  <c r="N115" i="3" s="1"/>
  <c r="N680" i="3" a="1"/>
  <c r="N680" i="3" s="1"/>
  <c r="N482" i="3" a="1"/>
  <c r="N482" i="3" s="1"/>
  <c r="N280" i="3" a="1"/>
  <c r="N280" i="3" s="1"/>
  <c r="N793" i="3" a="1"/>
  <c r="N793" i="3" s="1"/>
  <c r="N38" i="3" a="1"/>
  <c r="N38" i="3" s="1"/>
  <c r="N257" i="3" a="1"/>
  <c r="N257" i="3" s="1"/>
  <c r="N716" i="3" a="1"/>
  <c r="N716" i="3" s="1"/>
  <c r="N147" i="3" a="1"/>
  <c r="N147" i="3" s="1"/>
  <c r="N579" i="3" a="1"/>
  <c r="N579" i="3" s="1"/>
  <c r="N161" i="3" a="1"/>
  <c r="N161" i="3" s="1"/>
  <c r="N954" i="3" a="1"/>
  <c r="N954" i="3" s="1"/>
  <c r="N823" i="3" a="1"/>
  <c r="N823" i="3" s="1"/>
  <c r="N442" i="3" a="1"/>
  <c r="N442" i="3" s="1"/>
  <c r="N270" i="3" a="1"/>
  <c r="N270" i="3" s="1"/>
  <c r="N878" i="3" a="1"/>
  <c r="N878" i="3" s="1"/>
  <c r="N914" i="3" a="1"/>
  <c r="N914" i="3" s="1"/>
  <c r="N65" i="3" a="1"/>
  <c r="N65" i="3" s="1"/>
  <c r="N339" i="3" a="1"/>
  <c r="N339" i="3" s="1"/>
  <c r="N386" i="3" a="1"/>
  <c r="N386" i="3" s="1"/>
  <c r="N89" i="3" a="1"/>
  <c r="N89" i="3" s="1"/>
  <c r="N413" i="3" a="1"/>
  <c r="N413" i="3" s="1"/>
  <c r="N940" i="3" a="1"/>
  <c r="N940" i="3" s="1"/>
  <c r="N847" i="3" a="1"/>
  <c r="N847" i="3" s="1"/>
  <c r="N465" i="3" a="1"/>
  <c r="N465" i="3" s="1"/>
  <c r="N645" i="3" a="1"/>
  <c r="N645" i="3" s="1"/>
  <c r="N695" i="3" a="1"/>
  <c r="N695" i="3" s="1"/>
  <c r="N449" i="3" a="1"/>
  <c r="N449" i="3" s="1"/>
  <c r="N432" i="3" a="1"/>
  <c r="N432" i="3" s="1"/>
  <c r="N401" i="3" a="1"/>
  <c r="N401" i="3" s="1"/>
  <c r="N901" i="3" a="1"/>
  <c r="N901" i="3" s="1"/>
  <c r="N140" i="3" a="1"/>
  <c r="N140" i="3" s="1"/>
  <c r="N612" i="3" a="1"/>
  <c r="N612" i="3" s="1"/>
  <c r="N48" i="3" a="1"/>
  <c r="N48" i="3" s="1"/>
  <c r="N922" i="3" a="1"/>
  <c r="N922" i="3" s="1"/>
  <c r="N569" i="3" a="1"/>
  <c r="N569" i="3" s="1"/>
  <c r="N496" i="3" a="1"/>
  <c r="N496" i="3" s="1"/>
  <c r="N832" i="3" a="1"/>
  <c r="N832" i="3" s="1"/>
  <c r="N764" i="3" a="1"/>
  <c r="N764" i="3" s="1"/>
  <c r="N264" i="3" a="1"/>
  <c r="N264" i="3" s="1"/>
  <c r="N688" i="3" a="1"/>
  <c r="N688" i="3" s="1"/>
  <c r="N880" i="3" a="1"/>
  <c r="N880" i="3" s="1"/>
  <c r="N72" i="3" a="1"/>
  <c r="N72" i="3" s="1"/>
  <c r="N95" i="3" a="1"/>
  <c r="N95" i="3" s="1"/>
  <c r="N891" i="3" a="1"/>
  <c r="N891" i="3" s="1"/>
  <c r="N678" i="3" a="1"/>
  <c r="N678" i="3" s="1"/>
  <c r="N112" i="3" a="1"/>
  <c r="N112" i="3" s="1"/>
  <c r="N375" i="3" a="1"/>
  <c r="N375" i="3" s="1"/>
  <c r="N82" i="3" a="1"/>
  <c r="N82" i="3" s="1"/>
  <c r="N899" i="3" a="1"/>
  <c r="N899" i="3" s="1"/>
  <c r="N125" i="3" a="1"/>
  <c r="N125" i="3" s="1"/>
  <c r="N968" i="3" a="1"/>
  <c r="N968" i="3" s="1"/>
  <c r="N83" i="3" a="1"/>
  <c r="N83" i="3" s="1"/>
  <c r="N827" i="3" a="1"/>
  <c r="N827" i="3" s="1"/>
  <c r="N633" i="3" a="1"/>
  <c r="N633" i="3" s="1"/>
  <c r="N903" i="3" a="1"/>
  <c r="N903" i="3" s="1"/>
  <c r="N755" i="3" a="1"/>
  <c r="N755" i="3" s="1"/>
  <c r="N898" i="3" a="1"/>
  <c r="N898" i="3" s="1"/>
  <c r="N887" i="3" a="1"/>
  <c r="N887" i="3" s="1"/>
  <c r="N916" i="3" a="1"/>
  <c r="N916" i="3" s="1"/>
  <c r="N628" i="3" a="1"/>
  <c r="N628" i="3" s="1"/>
  <c r="N382" i="3" a="1"/>
  <c r="N382" i="3" s="1"/>
  <c r="N605" i="3" a="1"/>
  <c r="N605" i="3" s="1"/>
  <c r="N882" i="3" a="1"/>
  <c r="N882" i="3" s="1"/>
  <c r="N493" i="3" a="1"/>
  <c r="N493" i="3" s="1"/>
  <c r="N286" i="3" a="1"/>
  <c r="N286" i="3" s="1"/>
  <c r="N383" i="3" a="1"/>
  <c r="N383" i="3" s="1"/>
  <c r="N371" i="3" a="1"/>
  <c r="N371" i="3" s="1"/>
  <c r="N405" i="3" a="1"/>
  <c r="N405" i="3" s="1"/>
  <c r="N116" i="3" a="1"/>
  <c r="N116" i="3" s="1"/>
  <c r="N846" i="3" a="1"/>
  <c r="N846" i="3" s="1"/>
  <c r="N242" i="3" a="1"/>
  <c r="N242" i="3" s="1"/>
  <c r="N923" i="3" a="1"/>
  <c r="N923" i="3" s="1"/>
  <c r="N142" i="3" a="1"/>
  <c r="N142" i="3" s="1"/>
  <c r="N249" i="3" a="1"/>
  <c r="N249" i="3" s="1"/>
  <c r="N674" i="3" a="1"/>
  <c r="N674" i="3" s="1"/>
  <c r="N815" i="3" a="1"/>
  <c r="N815" i="3" s="1"/>
  <c r="N762" i="3" a="1"/>
  <c r="N762" i="3" s="1"/>
  <c r="N942" i="3" a="1"/>
  <c r="N942" i="3" s="1"/>
  <c r="N999" i="3" a="1"/>
  <c r="N999" i="3" s="1"/>
  <c r="N260" i="3" a="1"/>
  <c r="N260" i="3" s="1"/>
  <c r="N248" i="3" a="1"/>
  <c r="N248" i="3" s="1"/>
  <c r="N468" i="3" a="1"/>
  <c r="N468" i="3" s="1"/>
  <c r="N536" i="3" a="1"/>
  <c r="N536" i="3" s="1"/>
  <c r="N506" i="3" a="1"/>
  <c r="N506" i="3" s="1"/>
  <c r="N258" i="3" a="1"/>
  <c r="N258" i="3" s="1"/>
  <c r="N61" i="3" a="1"/>
  <c r="N61" i="3" s="1"/>
  <c r="N966" i="3" a="1"/>
  <c r="N966" i="3" s="1"/>
  <c r="N402" i="3" a="1"/>
  <c r="N402" i="3" s="1"/>
  <c r="N84" i="3" a="1"/>
  <c r="N84" i="3" s="1"/>
  <c r="N202" i="3" a="1"/>
  <c r="N202" i="3" s="1"/>
  <c r="N753" i="3" a="1"/>
  <c r="N753" i="3" s="1"/>
  <c r="N153" i="3" a="1"/>
  <c r="N153" i="3" s="1"/>
  <c r="N529" i="3" a="1"/>
  <c r="N529" i="3" s="1"/>
  <c r="N66" i="3" a="1"/>
  <c r="N66" i="3" s="1"/>
  <c r="N822" i="3" a="1"/>
  <c r="N822" i="3" s="1"/>
  <c r="N609" i="3" a="1"/>
  <c r="N609" i="3" s="1"/>
  <c r="N199" i="3" a="1"/>
  <c r="N199" i="3" s="1"/>
  <c r="N681" i="3" a="1"/>
  <c r="N681" i="3" s="1"/>
  <c r="N483" i="3" a="1"/>
  <c r="N483" i="3" s="1"/>
  <c r="N958" i="3" a="1"/>
  <c r="N958" i="3" s="1"/>
  <c r="N273" i="3" a="1"/>
  <c r="N273" i="3" s="1"/>
  <c r="N218" i="3" a="1"/>
  <c r="N218" i="3" s="1"/>
  <c r="N49" i="3" a="1"/>
  <c r="N49" i="3" s="1"/>
  <c r="N563" i="3" a="1"/>
  <c r="N563" i="3" s="1"/>
  <c r="N702" i="3" a="1"/>
  <c r="N702" i="3" s="1"/>
  <c r="N705" i="3" a="1"/>
  <c r="N705" i="3" s="1"/>
  <c r="N515" i="3" a="1"/>
  <c r="N515" i="3" s="1"/>
  <c r="N417" i="3" a="1"/>
  <c r="N417" i="3" s="1"/>
  <c r="N817" i="3" a="1"/>
  <c r="N817" i="3" s="1"/>
  <c r="N976" i="3" a="1"/>
  <c r="N976" i="3" s="1"/>
  <c r="N17" i="3" a="1"/>
  <c r="N17" i="3" s="1"/>
  <c r="N387" i="3" a="1"/>
  <c r="N387" i="3" s="1"/>
  <c r="N616" i="3" a="1"/>
  <c r="N616" i="3" s="1"/>
  <c r="N21" i="3" a="1"/>
  <c r="N21" i="3" s="1"/>
  <c r="N511" i="3" a="1"/>
  <c r="N511" i="3" s="1"/>
  <c r="N162" i="3" a="1"/>
  <c r="N162" i="3" s="1"/>
  <c r="N427" i="3" a="1"/>
  <c r="N427" i="3" s="1"/>
  <c r="N659" i="3" a="1"/>
  <c r="N659" i="3" s="1"/>
  <c r="N281" i="3" a="1"/>
  <c r="N281" i="3" s="1"/>
  <c r="N50" i="3" a="1"/>
  <c r="N50" i="3" s="1"/>
  <c r="N573" i="3" a="1"/>
  <c r="N573" i="3" s="1"/>
  <c r="N679" i="3" a="1"/>
  <c r="N679" i="3" s="1"/>
  <c r="N835" i="3" a="1"/>
  <c r="N835" i="3" s="1"/>
  <c r="N309" i="3" a="1"/>
  <c r="N309" i="3" s="1"/>
  <c r="N271" i="3" a="1"/>
  <c r="N271" i="3" s="1"/>
  <c r="N560" i="3" a="1"/>
  <c r="N560" i="3" s="1"/>
  <c r="N791" i="3" a="1"/>
  <c r="N791" i="3" s="1"/>
  <c r="N376" i="3" a="1"/>
  <c r="N376" i="3" s="1"/>
  <c r="N704" i="3" a="1"/>
  <c r="N704" i="3" s="1"/>
  <c r="N277" i="3" a="1"/>
  <c r="N277" i="3" s="1"/>
  <c r="N638" i="3" a="1"/>
  <c r="N638" i="3" s="1"/>
  <c r="N73" i="3" a="1"/>
  <c r="N73" i="3" s="1"/>
  <c r="N484" i="3" a="1"/>
  <c r="N484" i="3" s="1"/>
  <c r="N650" i="3" a="1"/>
  <c r="N650" i="3" s="1"/>
  <c r="N261" i="3" a="1"/>
  <c r="N261" i="3" s="1"/>
  <c r="N316" i="3" a="1"/>
  <c r="N316" i="3" s="1"/>
  <c r="N941" i="3" a="1"/>
  <c r="N941" i="3" s="1"/>
  <c r="N756" i="3" a="1"/>
  <c r="N756" i="3" s="1"/>
  <c r="N925" i="3" a="1"/>
  <c r="N925" i="3" s="1"/>
  <c r="N712" i="3" a="1"/>
  <c r="N712" i="3" s="1"/>
  <c r="N858" i="3" a="1"/>
  <c r="N858" i="3" s="1"/>
  <c r="N117" i="3" a="1"/>
  <c r="N117" i="3" s="1"/>
  <c r="N798" i="3" a="1"/>
  <c r="N798" i="3" s="1"/>
  <c r="N689" i="3" a="1"/>
  <c r="N689" i="3" s="1"/>
  <c r="N757" i="3" a="1"/>
  <c r="N757" i="3" s="1"/>
  <c r="N801" i="3" a="1"/>
  <c r="N801" i="3" s="1"/>
  <c r="N578" i="3" a="1"/>
  <c r="N578" i="3" s="1"/>
  <c r="N734" i="3" a="1"/>
  <c r="N734" i="3" s="1"/>
  <c r="N610" i="3" a="1"/>
  <c r="N610" i="3" s="1"/>
  <c r="N203" i="3" a="1"/>
  <c r="N203" i="3" s="1"/>
  <c r="N547" i="3" a="1"/>
  <c r="N547" i="3" s="1"/>
  <c r="N290" i="3" a="1"/>
  <c r="N290" i="3" s="1"/>
  <c r="N596" i="3" a="1"/>
  <c r="N596" i="3" s="1"/>
  <c r="N503" i="3" a="1"/>
  <c r="N503" i="3" s="1"/>
  <c r="N474" i="3" a="1"/>
  <c r="N474" i="3" s="1"/>
  <c r="N337" i="3" a="1"/>
  <c r="N337" i="3" s="1"/>
  <c r="N991" i="3" a="1"/>
  <c r="N991" i="3" s="1"/>
  <c r="N128" i="3" a="1"/>
  <c r="N128" i="3" s="1"/>
  <c r="N499" i="3" a="1"/>
  <c r="N499" i="3" s="1"/>
  <c r="N758" i="3" a="1"/>
  <c r="N758" i="3" s="1"/>
  <c r="N154" i="3" a="1"/>
  <c r="N154" i="3" s="1"/>
  <c r="N607" i="3" a="1"/>
  <c r="N607" i="3" s="1"/>
  <c r="N651" i="3" a="1"/>
  <c r="N651" i="3" s="1"/>
  <c r="N987" i="3" a="1"/>
  <c r="N987" i="3" s="1"/>
  <c r="N180" i="3" a="1"/>
  <c r="N180" i="3" s="1"/>
  <c r="N969" i="3" a="1"/>
  <c r="N969" i="3" s="1"/>
  <c r="N485" i="3" a="1"/>
  <c r="N485" i="3" s="1"/>
  <c r="N26" i="3" a="1"/>
  <c r="N26" i="3" s="1"/>
  <c r="N433" i="3" a="1"/>
  <c r="N433" i="3" s="1"/>
  <c r="N262" i="3" a="1"/>
  <c r="N262" i="3" s="1"/>
  <c r="N912" i="3" a="1"/>
  <c r="N912" i="3" s="1"/>
  <c r="N22" i="3" a="1"/>
  <c r="N22" i="3" s="1"/>
  <c r="N330" i="3" a="1"/>
  <c r="N330" i="3" s="1"/>
  <c r="N522" i="3" a="1"/>
  <c r="N522" i="3" s="1"/>
  <c r="N230" i="3" a="1"/>
  <c r="N230" i="3" s="1"/>
  <c r="N696" i="3" a="1"/>
  <c r="N696" i="3" s="1"/>
  <c r="N718" i="3" a="1"/>
  <c r="N718" i="3" s="1"/>
  <c r="N204" i="3" a="1"/>
  <c r="N204" i="3" s="1"/>
  <c r="N556" i="3" a="1"/>
  <c r="N556" i="3" s="1"/>
  <c r="N904" i="3" a="1"/>
  <c r="N904" i="3" s="1"/>
  <c r="N571" i="3" a="1"/>
  <c r="N571" i="3" s="1"/>
  <c r="N902" i="3" a="1"/>
  <c r="N902" i="3" s="1"/>
  <c r="N818" i="3" a="1"/>
  <c r="N818" i="3" s="1"/>
  <c r="N773" i="3" a="1"/>
  <c r="N773" i="3" s="1"/>
  <c r="N367" i="3" a="1"/>
  <c r="N367" i="3" s="1"/>
  <c r="N962" i="3" a="1"/>
  <c r="N962" i="3" s="1"/>
  <c r="N326" i="3" a="1"/>
  <c r="N326" i="3" s="1"/>
  <c r="N611" i="3" a="1"/>
  <c r="N611" i="3" s="1"/>
  <c r="N9" i="3" a="1"/>
  <c r="N9" i="3" s="1"/>
  <c r="N96" i="3" a="1"/>
  <c r="N96" i="3" s="1"/>
  <c r="N572" i="3" a="1"/>
  <c r="N572" i="3" s="1"/>
  <c r="N390" i="3" a="1"/>
  <c r="N390" i="3" s="1"/>
  <c r="N206" i="3" a="1"/>
  <c r="N206" i="3" s="1"/>
  <c r="N504" i="3" a="1"/>
  <c r="N504" i="3" s="1"/>
  <c r="N872" i="3" a="1"/>
  <c r="N872" i="3" s="1"/>
  <c r="N448" i="3" a="1"/>
  <c r="N448" i="3" s="1"/>
  <c r="N406" i="3" a="1"/>
  <c r="N406" i="3" s="1"/>
  <c r="N459" i="3" a="1"/>
  <c r="N459" i="3" s="1"/>
  <c r="N135" i="3" a="1"/>
  <c r="N135" i="3" s="1"/>
  <c r="N965" i="3" a="1"/>
  <c r="N965" i="3" s="1"/>
  <c r="N182" i="3" a="1"/>
  <c r="N182" i="3" s="1"/>
  <c r="N830" i="3" a="1"/>
  <c r="N830" i="3" s="1"/>
  <c r="N239" i="3" a="1"/>
  <c r="N239" i="3" s="1"/>
  <c r="N183" i="3" a="1"/>
  <c r="N183" i="3" s="1"/>
  <c r="N639" i="3" a="1"/>
  <c r="N639" i="3" s="1"/>
  <c r="N453" i="3" a="1"/>
  <c r="N453" i="3" s="1"/>
  <c r="N601" i="3" a="1"/>
  <c r="N601" i="3" s="1"/>
  <c r="N713" i="3" a="1"/>
  <c r="N713" i="3" s="1"/>
  <c r="N312" i="3" a="1"/>
  <c r="N312" i="3" s="1"/>
  <c r="N254" i="3" a="1"/>
  <c r="N254" i="3" s="1"/>
  <c r="N534" i="3" a="1"/>
  <c r="N534" i="3" s="1"/>
  <c r="N505" i="3" a="1"/>
  <c r="N505" i="3" s="1"/>
  <c r="N993" i="3" a="1"/>
  <c r="N993" i="3" s="1"/>
  <c r="N561" i="3" a="1"/>
  <c r="N561" i="3" s="1"/>
  <c r="N960" i="3" a="1"/>
  <c r="N960" i="3" s="1"/>
  <c r="N207" i="3" a="1"/>
  <c r="N207" i="3" s="1"/>
  <c r="N454" i="3" a="1"/>
  <c r="N454" i="3" s="1"/>
  <c r="N668" i="3" a="1"/>
  <c r="N668" i="3" s="1"/>
  <c r="N35" i="3" a="1"/>
  <c r="N35" i="3" s="1"/>
  <c r="N669" i="3" a="1"/>
  <c r="N669" i="3" s="1"/>
  <c r="N297" i="3" a="1"/>
  <c r="N297" i="3" s="1"/>
  <c r="N143" i="3" a="1"/>
  <c r="N143" i="3" s="1"/>
  <c r="N15" i="3" a="1"/>
  <c r="N15" i="3" s="1"/>
  <c r="N283" i="3" a="1"/>
  <c r="N283" i="3" s="1"/>
  <c r="N23" i="3" a="1"/>
  <c r="N23" i="3" s="1"/>
  <c r="N920" i="3" a="1"/>
  <c r="N920" i="3" s="1"/>
  <c r="N430" i="3" a="1"/>
  <c r="N430" i="3" s="1"/>
  <c r="N393" i="3" a="1"/>
  <c r="N393" i="3" s="1"/>
  <c r="N816" i="3" a="1"/>
  <c r="N816" i="3" s="1"/>
  <c r="N10" i="3" a="1"/>
  <c r="N10" i="3" s="1"/>
  <c r="N813" i="3" a="1"/>
  <c r="N813" i="3" s="1"/>
  <c r="N892" i="3" a="1"/>
  <c r="N892" i="3" s="1"/>
  <c r="N799" i="3" a="1"/>
  <c r="N799" i="3" s="1"/>
  <c r="N27" i="3" a="1"/>
  <c r="N27" i="3" s="1"/>
  <c r="N12" i="3" a="1"/>
  <c r="N12" i="3" s="1"/>
  <c r="N372" i="3" a="1"/>
  <c r="N372" i="3" s="1"/>
  <c r="N274" i="3" a="1"/>
  <c r="N274" i="3" s="1"/>
  <c r="N352" i="3" a="1"/>
  <c r="N352" i="3" s="1"/>
  <c r="N652" i="3" a="1"/>
  <c r="N652" i="3" s="1"/>
  <c r="N497" i="3" a="1"/>
  <c r="N497" i="3" s="1"/>
  <c r="N516" i="3" a="1"/>
  <c r="N516" i="3" s="1"/>
  <c r="N317" i="3" a="1"/>
  <c r="N317" i="3" s="1"/>
  <c r="N343" i="3" a="1"/>
  <c r="N343" i="3" s="1"/>
  <c r="N907" i="3" a="1"/>
  <c r="N907" i="3" s="1"/>
  <c r="N51" i="3" a="1"/>
  <c r="N51" i="3" s="1"/>
  <c r="N584" i="3" a="1"/>
  <c r="N584" i="3" s="1"/>
  <c r="N780" i="3" a="1"/>
  <c r="N780" i="3" s="1"/>
  <c r="N111" i="3" a="1"/>
  <c r="N111" i="3" s="1"/>
  <c r="N226" i="3" a="1"/>
  <c r="N226" i="3" s="1"/>
  <c r="N129" i="3" a="1"/>
  <c r="N129" i="3" s="1"/>
  <c r="N741" i="3" a="1"/>
  <c r="N741" i="3" s="1"/>
  <c r="N653" i="3" a="1"/>
  <c r="N653" i="3" s="1"/>
  <c r="N333" i="3" a="1"/>
  <c r="N333" i="3" s="1"/>
  <c r="N844" i="3" a="1"/>
  <c r="N844" i="3" s="1"/>
  <c r="N418" i="3" a="1"/>
  <c r="N418" i="3" s="1"/>
  <c r="N85" i="3" a="1"/>
  <c r="N85" i="3" s="1"/>
  <c r="N494" i="3" a="1"/>
  <c r="N494" i="3" s="1"/>
  <c r="N275" i="3" a="1"/>
  <c r="N275" i="3" s="1"/>
  <c r="N39" i="3" a="1"/>
  <c r="N39" i="3" s="1"/>
  <c r="N820" i="3" a="1"/>
  <c r="N820" i="3" s="1"/>
  <c r="N860" i="3" a="1"/>
  <c r="N860" i="3" s="1"/>
  <c r="N282" i="3" a="1"/>
  <c r="N282" i="3" s="1"/>
  <c r="N344" i="3" a="1"/>
  <c r="N344" i="3" s="1"/>
  <c r="N130" i="3" a="1"/>
  <c r="N130" i="3" s="1"/>
  <c r="N126" i="3" a="1"/>
  <c r="N126" i="3" s="1"/>
  <c r="N884" i="3" a="1"/>
  <c r="N884" i="3" s="1"/>
  <c r="N303" i="3" a="1"/>
  <c r="N303" i="3" s="1"/>
  <c r="N28" i="3" a="1"/>
  <c r="N28" i="3" s="1"/>
  <c r="N697" i="3" a="1"/>
  <c r="N697" i="3" s="1"/>
  <c r="N517" i="3" a="1"/>
  <c r="N517" i="3" s="1"/>
  <c r="N928" i="3" a="1"/>
  <c r="N928" i="3" s="1"/>
  <c r="N648" i="3" a="1"/>
  <c r="N648" i="3" s="1"/>
  <c r="N45" i="3" a="1"/>
  <c r="N45" i="3" s="1"/>
  <c r="N984" i="3" a="1"/>
  <c r="N984" i="3" s="1"/>
  <c r="N778" i="3" a="1"/>
  <c r="N778" i="3" s="1"/>
  <c r="N838" i="3" a="1"/>
  <c r="N838" i="3" s="1"/>
  <c r="N443" i="3" a="1"/>
  <c r="N443" i="3" s="1"/>
  <c r="N834" i="3" a="1"/>
  <c r="N834" i="3" s="1"/>
  <c r="N118" i="3" a="1"/>
  <c r="N118" i="3" s="1"/>
  <c r="N197" i="3" a="1"/>
  <c r="N197" i="3" s="1"/>
  <c r="N356" i="3" a="1"/>
  <c r="N356" i="3" s="1"/>
  <c r="N311" i="3" a="1"/>
  <c r="N311" i="3" s="1"/>
  <c r="N774" i="3" a="1"/>
  <c r="N774" i="3" s="1"/>
  <c r="N429" i="3" a="1"/>
  <c r="N429" i="3" s="1"/>
  <c r="N808" i="3" a="1"/>
  <c r="N808" i="3" s="1"/>
  <c r="N184" i="3" a="1"/>
  <c r="N184" i="3" s="1"/>
  <c r="N276" i="3" a="1"/>
  <c r="N276" i="3" s="1"/>
  <c r="N232" i="3" a="1"/>
  <c r="N232" i="3" s="1"/>
  <c r="N660" i="3" a="1"/>
  <c r="N660" i="3" s="1"/>
  <c r="N186" i="3" a="1"/>
  <c r="N186" i="3" s="1"/>
  <c r="N794" i="3" a="1"/>
  <c r="N794" i="3" s="1"/>
  <c r="N785" i="3" a="1"/>
  <c r="N785" i="3" s="1"/>
  <c r="N208" i="3" a="1"/>
  <c r="N208" i="3" s="1"/>
  <c r="N873" i="3" a="1"/>
  <c r="N873" i="3" s="1"/>
  <c r="N594" i="3" a="1"/>
  <c r="N594" i="3" s="1"/>
  <c r="N654" i="3" a="1"/>
  <c r="N654" i="3" s="1"/>
  <c r="N165" i="3" a="1"/>
  <c r="N165" i="3" s="1"/>
  <c r="N690" i="3" a="1"/>
  <c r="N690" i="3" s="1"/>
  <c r="N519" i="3" a="1"/>
  <c r="N519" i="3" s="1"/>
  <c r="N86" i="3" a="1"/>
  <c r="N86" i="3" s="1"/>
  <c r="N319" i="3" a="1"/>
  <c r="N319" i="3" s="1"/>
  <c r="N166" i="3" a="1"/>
  <c r="N166" i="3" s="1"/>
  <c r="N647" i="3" a="1"/>
  <c r="N647" i="3" s="1"/>
  <c r="N43" i="3" a="1"/>
  <c r="N43" i="3" s="1"/>
  <c r="N155" i="3" a="1"/>
  <c r="N155" i="3" s="1"/>
  <c r="N982" i="3" a="1"/>
  <c r="N982" i="3" s="1"/>
  <c r="N91" i="3" a="1"/>
  <c r="N91" i="3" s="1"/>
  <c r="N693" i="3" a="1"/>
  <c r="N693" i="3" s="1"/>
  <c r="N961" i="3" a="1"/>
  <c r="N961" i="3" s="1"/>
  <c r="N726" i="3" a="1"/>
  <c r="N726" i="3" s="1"/>
  <c r="N929" i="3" a="1"/>
  <c r="N929" i="3" s="1"/>
  <c r="N761" i="3" a="1"/>
  <c r="N761" i="3" s="1"/>
  <c r="N763" i="3" a="1"/>
  <c r="N763" i="3" s="1"/>
  <c r="N29" i="3" a="1"/>
  <c r="N29" i="3" s="1"/>
  <c r="N384" i="3" a="1"/>
  <c r="N384" i="3" s="1"/>
  <c r="N395" i="3" a="1"/>
  <c r="N395" i="3" s="1"/>
  <c r="N19" i="3" a="1"/>
  <c r="N19" i="3" s="1"/>
  <c r="N665" i="3" a="1"/>
  <c r="N665" i="3" s="1"/>
  <c r="N409" i="3" a="1"/>
  <c r="N409" i="3" s="1"/>
  <c r="N373" i="3" a="1"/>
  <c r="N373" i="3" s="1"/>
  <c r="N617" i="3" a="1"/>
  <c r="N617" i="3" s="1"/>
  <c r="N706" i="3" a="1"/>
  <c r="N706" i="3" s="1"/>
  <c r="N377" i="3" a="1"/>
  <c r="N377" i="3" s="1"/>
  <c r="N424" i="3" a="1"/>
  <c r="N424" i="3" s="1"/>
  <c r="N527" i="3" a="1"/>
  <c r="N527" i="3"/>
  <c r="N781" i="3" a="1"/>
  <c r="N781" i="3" s="1"/>
  <c r="N900" i="3" a="1"/>
  <c r="N900" i="3" s="1"/>
  <c r="N666" i="3" a="1"/>
  <c r="N666" i="3" s="1"/>
  <c r="N864" i="3" a="1"/>
  <c r="N864" i="3" s="1"/>
  <c r="N990" i="3" a="1"/>
  <c r="N990" i="3" s="1"/>
  <c r="N245" i="3" a="1"/>
  <c r="N245" i="3" s="1"/>
  <c r="N90" i="3" a="1"/>
  <c r="N90" i="3" s="1"/>
  <c r="N108" i="3" a="1"/>
  <c r="N108" i="3" s="1"/>
  <c r="N735" i="3" a="1"/>
  <c r="N735" i="3" s="1"/>
  <c r="N141" i="3" a="1"/>
  <c r="N141" i="3" s="1"/>
  <c r="N322" i="3" a="1"/>
  <c r="N322" i="3" s="1"/>
  <c r="N5" i="3" a="1"/>
  <c r="N5" i="3" s="1"/>
  <c r="N539" i="3" a="1"/>
  <c r="N539" i="3" s="1"/>
  <c r="N828" i="3" a="1"/>
  <c r="N828" i="3" s="1"/>
  <c r="N425" i="3" a="1"/>
  <c r="N425" i="3" s="1"/>
  <c r="N228" i="3" a="1"/>
  <c r="N228" i="3" s="1"/>
  <c r="N655" i="3" a="1"/>
  <c r="N655" i="3" s="1"/>
  <c r="N675" i="3" a="1"/>
  <c r="N675" i="3" s="1"/>
  <c r="N973" i="3" a="1"/>
  <c r="N973" i="3" s="1"/>
  <c r="N32" i="3" a="1"/>
  <c r="N32" i="3" s="1"/>
  <c r="N811" i="3" a="1"/>
  <c r="N811" i="3" s="1"/>
  <c r="N885" i="3" a="1"/>
  <c r="N885" i="3" s="1"/>
  <c r="N621" i="3" a="1"/>
  <c r="N621" i="3" s="1"/>
  <c r="N752" i="3" a="1"/>
  <c r="N752" i="3" s="1"/>
  <c r="N313" i="3" a="1"/>
  <c r="N313" i="3" s="1"/>
  <c r="N548" i="3" a="1"/>
  <c r="N548" i="3" s="1"/>
  <c r="N365" i="3" a="1"/>
  <c r="N365" i="3" s="1"/>
  <c r="N874" i="3" a="1"/>
  <c r="N874" i="3" s="1"/>
  <c r="N926" i="3" a="1"/>
  <c r="N926" i="3" s="1"/>
  <c r="N551" i="3" a="1"/>
  <c r="N551" i="3" s="1"/>
  <c r="N807" i="3" a="1"/>
  <c r="N807" i="3" s="1"/>
  <c r="N434" i="3" a="1"/>
  <c r="N434" i="3" s="1"/>
  <c r="N972" i="3" a="1"/>
  <c r="N972" i="3" s="1"/>
  <c r="N265" i="3" a="1"/>
  <c r="N265" i="3" s="1"/>
  <c r="N455" i="3" a="1"/>
  <c r="N455" i="3" s="1"/>
  <c r="N851" i="3" a="1"/>
  <c r="N851" i="3" s="1"/>
  <c r="N62" i="3" a="1"/>
  <c r="N62" i="3" s="1"/>
  <c r="N288" i="3" a="1"/>
  <c r="N288" i="3" s="1"/>
  <c r="N861" i="3" a="1"/>
  <c r="N861" i="3" s="1"/>
  <c r="N353" i="3" a="1"/>
  <c r="N353" i="3" s="1"/>
  <c r="N895" i="3" a="1"/>
  <c r="N895" i="3" s="1"/>
  <c r="N259" i="3" a="1"/>
  <c r="N259" i="3" s="1"/>
  <c r="N975" i="3" a="1"/>
  <c r="N975" i="3" s="1"/>
  <c r="N528" i="3" a="1"/>
  <c r="N528" i="3" s="1"/>
  <c r="N167" i="3" a="1"/>
  <c r="N167" i="3" s="1"/>
  <c r="N301" i="3" a="1"/>
  <c r="N301" i="3" s="1"/>
  <c r="N908" i="3" a="1"/>
  <c r="N908" i="3" s="1"/>
  <c r="N852" i="3" a="1"/>
  <c r="N852" i="3" s="1"/>
  <c r="N788" i="3" a="1"/>
  <c r="N788" i="3" s="1"/>
  <c r="N476" i="3" a="1"/>
  <c r="N476" i="3" s="1"/>
  <c r="N397" i="3" a="1"/>
  <c r="N397" i="3" s="1"/>
  <c r="N707" i="3" a="1"/>
  <c r="N707" i="3" s="1"/>
  <c r="N575" i="3" a="1"/>
  <c r="N575" i="3" s="1"/>
  <c r="N469" i="3" a="1"/>
  <c r="N469" i="3" s="1"/>
  <c r="N909" i="3" a="1"/>
  <c r="N909" i="3" s="1"/>
  <c r="N863" i="3" a="1"/>
  <c r="N863" i="3" s="1"/>
  <c r="N779" i="3" a="1"/>
  <c r="N779" i="3" s="1"/>
  <c r="N272" i="3" a="1"/>
  <c r="N272" i="3" s="1"/>
  <c r="N671" i="3" a="1"/>
  <c r="N671" i="3" s="1"/>
  <c r="N742" i="3" a="1"/>
  <c r="N742" i="3" s="1"/>
  <c r="N992" i="3" a="1"/>
  <c r="N992" i="3"/>
  <c r="N97" i="3" a="1"/>
  <c r="N97" i="3" s="1"/>
  <c r="N613" i="3" a="1"/>
  <c r="N613" i="3" s="1"/>
  <c r="N310" i="3" a="1"/>
  <c r="N310" i="3" s="1"/>
  <c r="N512" i="3" a="1"/>
  <c r="N512" i="3" s="1"/>
  <c r="N998" i="3" a="1"/>
  <c r="N998" i="3" s="1"/>
  <c r="N768" i="3" a="1"/>
  <c r="N768" i="3" s="1"/>
  <c r="N187" i="3" a="1"/>
  <c r="N187" i="3" s="1"/>
  <c r="N630" i="3" a="1"/>
  <c r="N630" i="3" s="1"/>
  <c r="N730" i="3" a="1"/>
  <c r="N730" i="3" s="1"/>
  <c r="N927" i="3" a="1"/>
  <c r="N927" i="3" s="1"/>
  <c r="N782" i="3" a="1"/>
  <c r="N782" i="3" s="1"/>
  <c r="N150" i="3" a="1"/>
  <c r="N150" i="3" s="1"/>
  <c r="N209" i="3" a="1"/>
  <c r="N209" i="3" s="1"/>
  <c r="N532" i="3" a="1"/>
  <c r="N532" i="3" s="1"/>
  <c r="N640" i="3" a="1"/>
  <c r="N640" i="3" s="1"/>
  <c r="N421" i="3" a="1"/>
  <c r="N421" i="3" s="1"/>
  <c r="N866" i="3" a="1"/>
  <c r="N866" i="3" s="1"/>
  <c r="N629" i="3" a="1"/>
  <c r="N629" i="3" s="1"/>
  <c r="N40" i="3" a="1"/>
  <c r="N40" i="3" s="1"/>
  <c r="N298" i="3" a="1"/>
  <c r="N298" i="3" s="1"/>
  <c r="N701" i="3" a="1"/>
  <c r="N701" i="3" s="1"/>
  <c r="N930" i="3" a="1"/>
  <c r="N930" i="3" s="1"/>
  <c r="N935" i="3" a="1"/>
  <c r="N935" i="3" s="1"/>
  <c r="N946" i="3" a="1"/>
  <c r="N946" i="3" s="1"/>
  <c r="N552" i="3" a="1"/>
  <c r="N552" i="3" s="1"/>
  <c r="N924" i="3" a="1"/>
  <c r="N924" i="3" s="1"/>
  <c r="N802" i="3" a="1"/>
  <c r="N802" i="3" s="1"/>
  <c r="N210" i="3" a="1"/>
  <c r="N210" i="3" s="1"/>
  <c r="N789" i="3" a="1"/>
  <c r="N789" i="3" s="1"/>
  <c r="N769" i="3" a="1"/>
  <c r="N769" i="3" s="1"/>
  <c r="N500" i="3" a="1"/>
  <c r="N500" i="3" s="1"/>
  <c r="N391" i="3" a="1"/>
  <c r="N391" i="3" s="1"/>
  <c r="N603" i="3" a="1"/>
  <c r="N603" i="3" s="1"/>
  <c r="N943" i="3" a="1"/>
  <c r="N943" i="3" s="1"/>
  <c r="N287" i="3" a="1"/>
  <c r="N287" i="3" s="1"/>
  <c r="N589" i="3" a="1"/>
  <c r="N589" i="3" s="1"/>
  <c r="N217" i="3" a="1"/>
  <c r="N217" i="3" s="1"/>
  <c r="N831" i="3" a="1"/>
  <c r="N831" i="3" s="1"/>
  <c r="N181" i="3" a="1"/>
  <c r="N181" i="3" s="1"/>
  <c r="N414" i="3" a="1"/>
  <c r="N414" i="3" s="1"/>
  <c r="N727" i="3" a="1"/>
  <c r="N727" i="3" s="1"/>
  <c r="N583" i="3" a="1"/>
  <c r="N583" i="3" s="1"/>
  <c r="N836" i="3" a="1"/>
  <c r="N836" i="3" s="1"/>
  <c r="N246" i="3" a="1"/>
  <c r="N246" i="3" s="1"/>
  <c r="N719" i="3" a="1"/>
  <c r="N719" i="3" s="1"/>
  <c r="N845" i="3" a="1"/>
  <c r="N845" i="3" s="1"/>
  <c r="N559" i="3" a="1"/>
  <c r="N559" i="3" s="1"/>
  <c r="N703" i="3" a="1"/>
  <c r="N703" i="3" s="1"/>
  <c r="N936" i="3" a="1"/>
  <c r="N936" i="3" s="1"/>
  <c r="N710" i="3" a="1"/>
  <c r="N710" i="3" s="1"/>
  <c r="N294" i="3" a="1"/>
  <c r="N294" i="3" s="1"/>
  <c r="N597" i="3" a="1"/>
  <c r="N597" i="3" s="1"/>
  <c r="N881" i="3" a="1"/>
  <c r="N881" i="3" s="1"/>
  <c r="N123" i="3" a="1"/>
  <c r="N123" i="3" s="1"/>
  <c r="N244" i="3" a="1"/>
  <c r="N244" i="3" s="1"/>
  <c r="N580" i="3" a="1"/>
  <c r="N580" i="3" s="1"/>
  <c r="N340" i="3" a="1"/>
  <c r="N340" i="3" s="1"/>
  <c r="N233" i="3" a="1"/>
  <c r="N233" i="3" s="1"/>
  <c r="N362" i="3" a="1"/>
  <c r="N362" i="3" s="1"/>
  <c r="N672" i="3" a="1"/>
  <c r="N672" i="3" s="1"/>
  <c r="N879" i="3" a="1"/>
  <c r="N879" i="3" s="1"/>
  <c r="N865" i="3" a="1"/>
  <c r="N865" i="3" s="1"/>
  <c r="N131" i="3" a="1"/>
  <c r="N131" i="3" s="1"/>
  <c r="N299" i="3" a="1"/>
  <c r="N299" i="3" s="1"/>
  <c r="N783" i="3" a="1"/>
  <c r="N783" i="3" s="1"/>
  <c r="N379" i="3" a="1"/>
  <c r="N379" i="3" s="1"/>
  <c r="N304" i="3" a="1"/>
  <c r="N304" i="3" s="1"/>
  <c r="N643" i="3" a="1"/>
  <c r="N643" i="3" s="1"/>
  <c r="N460" i="3" a="1"/>
  <c r="N460" i="3" s="1"/>
  <c r="N944" i="3" a="1"/>
  <c r="N944" i="3" s="1"/>
  <c r="N913" i="3" a="1"/>
  <c r="N913" i="3" s="1"/>
  <c r="N698" i="3" a="1"/>
  <c r="N698" i="3" s="1"/>
  <c r="N870" i="3" a="1"/>
  <c r="N870" i="3" s="1"/>
  <c r="N119" i="3" a="1"/>
  <c r="N119" i="3" s="1"/>
  <c r="N177" i="3" a="1"/>
  <c r="N177" i="3" s="1"/>
  <c r="N253" i="3" a="1"/>
  <c r="N253" i="3"/>
  <c r="N625" i="3" a="1"/>
  <c r="N625" i="3" s="1"/>
  <c r="N714" i="3" a="1"/>
  <c r="N714" i="3" s="1"/>
  <c r="N24" i="3" a="1"/>
  <c r="N24" i="3" s="1"/>
  <c r="N812" i="3" a="1"/>
  <c r="N812" i="3" s="1"/>
  <c r="N456" i="3" a="1"/>
  <c r="N456" i="3" s="1"/>
  <c r="N52" i="3" a="1"/>
  <c r="N52" i="3" s="1"/>
  <c r="N775" i="3" a="1"/>
  <c r="N775" i="3" s="1"/>
  <c r="N188" i="3" a="1"/>
  <c r="N188" i="3" s="1"/>
  <c r="N190" i="3" a="1"/>
  <c r="N190" i="3" s="1"/>
  <c r="N967" i="3" a="1"/>
  <c r="N967" i="3" s="1"/>
  <c r="N477" i="3" a="1"/>
  <c r="N477" i="3" s="1"/>
  <c r="N853" i="3" a="1"/>
  <c r="N853" i="3" s="1"/>
  <c r="N106" i="3" a="1"/>
  <c r="N106" i="3" s="1"/>
  <c r="N795" i="3" a="1"/>
  <c r="N795" i="3" s="1"/>
  <c r="N598" i="3" a="1"/>
  <c r="N598" i="3" s="1"/>
  <c r="N238" i="3" a="1"/>
  <c r="N238" i="3" s="1"/>
  <c r="N776" i="3" a="1"/>
  <c r="N776" i="3" s="1"/>
  <c r="N174" i="3" a="1"/>
  <c r="N174" i="3" s="1"/>
  <c r="N93" i="3" a="1"/>
  <c r="N93" i="3" s="1"/>
  <c r="N581" i="3" a="1"/>
  <c r="N581" i="3" s="1"/>
  <c r="N302" i="3" a="1"/>
  <c r="N302" i="3" s="1"/>
  <c r="N323" i="3" a="1"/>
  <c r="N323" i="3" s="1"/>
  <c r="N291" i="3" a="1"/>
  <c r="N291" i="3" s="1"/>
  <c r="N168" i="3" a="1"/>
  <c r="N168" i="3" s="1"/>
  <c r="N327" i="3" a="1"/>
  <c r="N327" i="3" s="1"/>
  <c r="N120" i="3" a="1"/>
  <c r="N120" i="3" s="1"/>
  <c r="N121" i="3" a="1"/>
  <c r="N121" i="3" s="1"/>
  <c r="N952" i="3" a="1"/>
  <c r="N952" i="3" s="1"/>
  <c r="N959" i="3" a="1"/>
  <c r="N959" i="3" s="1"/>
  <c r="N461" i="3" a="1"/>
  <c r="N461" i="3" s="1"/>
  <c r="N148" i="3" a="1"/>
  <c r="N148" i="3" s="1"/>
  <c r="N487" i="3" a="1"/>
  <c r="N487" i="3" s="1"/>
  <c r="N938" i="3" a="1"/>
  <c r="N938" i="3" s="1"/>
  <c r="N649" i="3" a="1"/>
  <c r="N649" i="3" s="1"/>
  <c r="N786" i="3" a="1"/>
  <c r="N786" i="3" s="1"/>
  <c r="N931" i="3" a="1"/>
  <c r="N931" i="3" s="1"/>
  <c r="N971" i="3" a="1"/>
  <c r="N971" i="3" s="1"/>
  <c r="N240" i="3" a="1"/>
  <c r="N240" i="3" s="1"/>
  <c r="N347" i="3" a="1"/>
  <c r="N347" i="3" s="1"/>
  <c r="N656" i="3" a="1"/>
  <c r="N656" i="3" s="1"/>
  <c r="N717" i="3" a="1"/>
  <c r="N717" i="3" s="1"/>
  <c r="N324" i="3" a="1"/>
  <c r="N324" i="3" s="1"/>
  <c r="N169" i="3" a="1"/>
  <c r="N169" i="3" s="1"/>
  <c r="N284" i="3" a="1"/>
  <c r="N284" i="3" s="1"/>
  <c r="N431" i="3" a="1"/>
  <c r="N431" i="3" s="1"/>
  <c r="N562" i="3" a="1"/>
  <c r="N562" i="3" s="1"/>
  <c r="N211" i="3" a="1"/>
  <c r="N211" i="3" s="1"/>
  <c r="N854" i="3" a="1"/>
  <c r="N854" i="3" s="1"/>
  <c r="N14" i="3" a="1"/>
  <c r="N14" i="3" s="1"/>
  <c r="N320" i="3" a="1"/>
  <c r="N320" i="3" s="1"/>
  <c r="N501" i="3" a="1"/>
  <c r="N501" i="3" s="1"/>
  <c r="N478" i="3" a="1"/>
  <c r="N478" i="3" s="1"/>
  <c r="N576" i="3" a="1"/>
  <c r="N576" i="3" s="1"/>
  <c r="N937" i="3" a="1"/>
  <c r="N937" i="3" s="1"/>
  <c r="N957" i="3" a="1"/>
  <c r="N957" i="3" s="1"/>
  <c r="N80" i="3" a="1"/>
  <c r="N80" i="3" s="1"/>
  <c r="N663" i="3" a="1"/>
  <c r="N663" i="3" s="1"/>
  <c r="N6" i="3" a="1"/>
  <c r="N6" i="3" s="1"/>
  <c r="N557" i="3" a="1"/>
  <c r="N557" i="3" s="1"/>
  <c r="N124" i="3" a="1"/>
  <c r="N124" i="3" s="1"/>
  <c r="N568" i="3" a="1"/>
  <c r="N568" i="3" s="1"/>
  <c r="N170" i="3" a="1"/>
  <c r="N170" i="3" s="1"/>
  <c r="N156" i="3" a="1"/>
  <c r="N156" i="3" s="1"/>
  <c r="N348" i="3" a="1"/>
  <c r="N348" i="3" s="1"/>
  <c r="N388" i="3" a="1"/>
  <c r="N388" i="3" s="1"/>
  <c r="N626" i="3" a="1"/>
  <c r="N626" i="3" s="1"/>
  <c r="N570" i="3" a="1"/>
  <c r="N570" i="3" s="1"/>
  <c r="N428" i="3" a="1"/>
  <c r="N428" i="3" s="1"/>
  <c r="N746" i="3" a="1"/>
  <c r="N746" i="3" s="1"/>
  <c r="N657" i="3" a="1"/>
  <c r="N657" i="3" s="1"/>
  <c r="N25" i="3" a="1"/>
  <c r="N25" i="3" s="1"/>
  <c r="N796" i="3" a="1"/>
  <c r="N796" i="3" s="1"/>
  <c r="N399" i="3" a="1"/>
  <c r="N399" i="3" s="1"/>
  <c r="N723" i="3" a="1"/>
  <c r="N723" i="3" s="1"/>
  <c r="N4" i="3" a="1"/>
  <c r="N4" i="3" s="1"/>
  <c r="N450" i="3" a="1"/>
  <c r="N450" i="3" s="1"/>
  <c r="N709" i="3" a="1"/>
  <c r="N709" i="3" s="1"/>
  <c r="N839" i="3" a="1"/>
  <c r="N839" i="3" s="1"/>
  <c r="N549" i="3" a="1"/>
  <c r="N549" i="3" s="1"/>
  <c r="N553" i="3" a="1"/>
  <c r="N553" i="3" s="1"/>
  <c r="N466" i="3" a="1"/>
  <c r="N466" i="3" s="1"/>
  <c r="N334" i="3" a="1"/>
  <c r="N334" i="3" s="1"/>
  <c r="N77" i="3" a="1"/>
  <c r="N77" i="3" s="1"/>
  <c r="N700" i="3" a="1"/>
  <c r="N700" i="3" s="1"/>
  <c r="N87" i="3" a="1"/>
  <c r="N87" i="3" s="1"/>
  <c r="N622" i="3" a="1"/>
  <c r="N622" i="3" s="1"/>
  <c r="N910" i="3" a="1"/>
  <c r="N910" i="3" s="1"/>
  <c r="N721" i="3" a="1"/>
  <c r="N721" i="3" s="1"/>
  <c r="N848" i="3" a="1"/>
  <c r="N848" i="3" s="1"/>
  <c r="N606" i="3" a="1"/>
  <c r="N606" i="3" s="1"/>
  <c r="N729" i="3" a="1"/>
  <c r="N729" i="3" s="1"/>
  <c r="N747" i="3" a="1"/>
  <c r="N747" i="3" s="1"/>
  <c r="N285" i="3" a="1"/>
  <c r="N285" i="3" s="1"/>
  <c r="N53" i="3" a="1"/>
  <c r="N53" i="3" s="1"/>
  <c r="N396" i="3" a="1"/>
  <c r="N396" i="3" s="1"/>
  <c r="N250" i="3" a="1"/>
  <c r="N250" i="3" s="1"/>
  <c r="N185" i="3" a="1"/>
  <c r="N185" i="3" s="1"/>
  <c r="N889" i="3" a="1"/>
  <c r="N889" i="3" s="1"/>
  <c r="N520" i="3" a="1"/>
  <c r="N520" i="3" s="1"/>
  <c r="N634" i="3" a="1"/>
  <c r="N634" i="3" s="1"/>
  <c r="N948" i="3" a="1"/>
  <c r="N948" i="3" s="1"/>
  <c r="N74" i="3" a="1"/>
  <c r="N74" i="3" s="1"/>
  <c r="N833" i="3" a="1"/>
  <c r="N833" i="3" s="1"/>
  <c r="N415" i="3" a="1"/>
  <c r="N415" i="3" s="1"/>
  <c r="N237" i="3" a="1"/>
  <c r="N237" i="3" s="1"/>
  <c r="N919" i="3" a="1"/>
  <c r="N919" i="3"/>
  <c r="N381" i="3" a="1"/>
  <c r="N381" i="3" s="1"/>
  <c r="N951" i="3" a="1"/>
  <c r="N951" i="3" s="1"/>
  <c r="N263" i="3" a="1"/>
  <c r="N263" i="3" s="1"/>
  <c r="N227" i="3" a="1"/>
  <c r="N227" i="3" s="1"/>
  <c r="N604" i="3" a="1"/>
  <c r="N604" i="3" s="1"/>
  <c r="N978" i="3" a="1"/>
  <c r="N978" i="3" s="1"/>
  <c r="N896" i="3" a="1"/>
  <c r="N896" i="3" s="1"/>
  <c r="N172" i="3" a="1"/>
  <c r="N172" i="3" s="1"/>
  <c r="N849" i="3" a="1"/>
  <c r="N849" i="3" s="1"/>
  <c r="N537" i="3" a="1"/>
  <c r="N537" i="3" s="1"/>
  <c r="N829" i="3" a="1"/>
  <c r="N829" i="3" s="1"/>
  <c r="N363" i="3" a="1"/>
  <c r="N363" i="3" s="1"/>
  <c r="N306" i="3" a="1"/>
  <c r="N306" i="3" s="1"/>
  <c r="N103" i="3" a="1"/>
  <c r="N103" i="3" s="1"/>
  <c r="N963" i="3" a="1"/>
  <c r="N963" i="3" s="1"/>
  <c r="N223" i="3" a="1"/>
  <c r="N223" i="3" s="1"/>
  <c r="N635" i="3" a="1"/>
  <c r="N635" i="3" s="1"/>
  <c r="N542" i="3" a="1"/>
  <c r="N542" i="3"/>
  <c r="N728" i="3" a="1"/>
  <c r="N728" i="3" s="1"/>
  <c r="N67" i="3" a="1"/>
  <c r="N67" i="3" s="1"/>
  <c r="N667" i="3" a="1"/>
  <c r="N667" i="3" s="1"/>
  <c r="N631" i="3" a="1"/>
  <c r="N631" i="3" s="1"/>
  <c r="N196" i="3" a="1"/>
  <c r="N196" i="3" s="1"/>
  <c r="N403" i="3" a="1"/>
  <c r="N403" i="3" s="1"/>
  <c r="N513" i="3" a="1"/>
  <c r="N513" i="3" s="1"/>
  <c r="N30" i="3" a="1"/>
  <c r="N30" i="3" s="1"/>
  <c r="N241" i="3" a="1"/>
  <c r="N241" i="3" s="1"/>
  <c r="N590" i="3" a="1"/>
  <c r="N590" i="3" s="1"/>
  <c r="N256" i="3" a="1"/>
  <c r="N256" i="3" s="1"/>
  <c r="N149" i="3" a="1"/>
  <c r="N149" i="3" s="1"/>
  <c r="N212" i="3" a="1"/>
  <c r="N212" i="3" s="1"/>
  <c r="N335" i="3" a="1"/>
  <c r="N335" i="3" s="1"/>
  <c r="N213" i="3" a="1"/>
  <c r="N213" i="3" s="1"/>
  <c r="N470" i="3" a="1"/>
  <c r="N470" i="3" s="1"/>
  <c r="N523" i="3" a="1"/>
  <c r="N523" i="3" s="1"/>
  <c r="N54" i="3" a="1"/>
  <c r="N54" i="3" s="1"/>
  <c r="N777" i="3" a="1"/>
  <c r="N777" i="3" s="1"/>
  <c r="N661" i="3" a="1"/>
  <c r="N661" i="3" s="1"/>
  <c r="N7" i="3" a="1"/>
  <c r="N7" i="3" s="1"/>
  <c r="N214" i="3" a="1"/>
  <c r="N214" i="3" s="1"/>
  <c r="N435" i="3" a="1"/>
  <c r="N435" i="3" s="1"/>
  <c r="N410" i="3" a="1"/>
  <c r="N410" i="3" s="1"/>
  <c r="N389" i="3" a="1"/>
  <c r="N389" i="3" s="1"/>
  <c r="N731" i="3" a="1"/>
  <c r="N731" i="3" s="1"/>
  <c r="N790" i="3" a="1"/>
  <c r="N790" i="3" s="1"/>
  <c r="N267" i="3" a="1"/>
  <c r="N267" i="3" s="1"/>
  <c r="N814" i="3" a="1"/>
  <c r="N814" i="3" s="1"/>
  <c r="N132" i="3" a="1"/>
  <c r="N132" i="3" s="1"/>
  <c r="N420" i="3" a="1"/>
  <c r="N420" i="3" s="1"/>
  <c r="N736" i="3" a="1"/>
  <c r="N736" i="3" s="1"/>
  <c r="N770" i="3" a="1"/>
  <c r="N770" i="3" s="1"/>
  <c r="N411" i="3" a="1"/>
  <c r="N411" i="3" s="1"/>
  <c r="N422" i="3" a="1"/>
  <c r="N422" i="3" s="1"/>
  <c r="N996" i="3" a="1"/>
  <c r="N996" i="3" s="1"/>
  <c r="N676" i="3" a="1"/>
  <c r="N676" i="3" s="1"/>
  <c r="N749" i="3" a="1"/>
  <c r="N749" i="3" s="1"/>
  <c r="N360" i="3" a="1"/>
  <c r="N360" i="3" s="1"/>
  <c r="N394" i="3" a="1"/>
  <c r="N394" i="3" s="1"/>
  <c r="N724" i="3" a="1"/>
  <c r="N724" i="3" s="1"/>
  <c r="N144" i="3" a="1"/>
  <c r="N144" i="3" s="1"/>
  <c r="N550" i="3" a="1"/>
  <c r="N550" i="3" s="1"/>
  <c r="N349" i="3" a="1"/>
  <c r="N349" i="3" s="1"/>
  <c r="N888" i="3" a="1"/>
  <c r="N888" i="3" s="1"/>
  <c r="N398" i="3" a="1"/>
  <c r="N398" i="3"/>
  <c r="N641" i="3" a="1"/>
  <c r="N641" i="3" s="1"/>
  <c r="N60" i="3" a="1"/>
  <c r="N60" i="3" s="1"/>
  <c r="N824" i="3" a="1"/>
  <c r="N824" i="3" s="1"/>
  <c r="N305" i="3" a="1"/>
  <c r="N305" i="3" s="1"/>
  <c r="N20" i="3" a="1"/>
  <c r="N20" i="3" s="1"/>
  <c r="N472" i="3" a="1"/>
  <c r="N472" i="3" s="1"/>
  <c r="N479" i="3" a="1"/>
  <c r="N479" i="3" s="1"/>
  <c r="N368" i="3" a="1"/>
  <c r="N368" i="3" s="1"/>
  <c r="N664" i="3" a="1"/>
  <c r="N664" i="3" s="1"/>
  <c r="N79" i="3" a="1"/>
  <c r="N79" i="3" s="1"/>
  <c r="N623" i="3" a="1"/>
  <c r="N623" i="3" s="1"/>
  <c r="N110" i="3" a="1"/>
  <c r="N110" i="3" s="1"/>
  <c r="N331" i="3" a="1"/>
  <c r="N331" i="3" s="1"/>
  <c r="N585" i="3" a="1"/>
  <c r="N585" i="3" s="1"/>
  <c r="N574" i="3" a="1"/>
  <c r="N574" i="3" s="1"/>
  <c r="N350" i="3" a="1"/>
  <c r="N350" i="3" s="1"/>
  <c r="N489" i="3" a="1"/>
  <c r="N489" i="3" s="1"/>
  <c r="N759" i="3" a="1"/>
  <c r="N759" i="3" s="1"/>
  <c r="N109" i="3" a="1"/>
  <c r="N109" i="3" s="1"/>
  <c r="N840" i="3" a="1"/>
  <c r="N840" i="3" s="1"/>
  <c r="N307" i="3" a="1"/>
  <c r="N307" i="3" s="1"/>
  <c r="N1000" i="3" a="1"/>
  <c r="N1000" i="3" s="1"/>
  <c r="N444" i="3" a="1"/>
  <c r="N444" i="3" s="1"/>
  <c r="N748" i="3" a="1"/>
  <c r="N748" i="3" s="1"/>
  <c r="N463" i="3" a="1"/>
  <c r="N463" i="3" s="1"/>
  <c r="N507" i="3" a="1"/>
  <c r="N507" i="3" s="1"/>
  <c r="N486" i="3" a="1"/>
  <c r="N486" i="3" s="1"/>
  <c r="N632" i="3" a="1"/>
  <c r="N632" i="3" s="1"/>
  <c r="N55" i="3" a="1"/>
  <c r="N55" i="3" s="1"/>
  <c r="N451" i="3" a="1"/>
  <c r="N451" i="3" s="1"/>
  <c r="N985" i="3" a="1"/>
  <c r="N985" i="3" s="1"/>
  <c r="N803" i="3" a="1"/>
  <c r="N803" i="3" s="1"/>
  <c r="N875" i="3" a="1"/>
  <c r="N875" i="3" s="1"/>
  <c r="N439" i="3" a="1"/>
  <c r="N439" i="3"/>
  <c r="N438" i="3" a="1"/>
  <c r="N438" i="3" s="1"/>
  <c r="N325" i="3" a="1"/>
  <c r="N325" i="3" s="1"/>
  <c r="N205" i="3" a="1"/>
  <c r="N205" i="3" s="1"/>
  <c r="N75" i="3" a="1"/>
  <c r="N75" i="3" s="1"/>
  <c r="N974" i="3" a="1"/>
  <c r="N974" i="3" s="1"/>
  <c r="N133" i="3" a="1"/>
  <c r="N133" i="3" s="1"/>
  <c r="N508" i="3" a="1"/>
  <c r="N508" i="3" s="1"/>
  <c r="N139" i="3" a="1"/>
  <c r="N139" i="3" s="1"/>
  <c r="N366" i="3" a="1"/>
  <c r="N366" i="3" s="1"/>
  <c r="N800" i="3" a="1"/>
  <c r="N800" i="3" s="1"/>
  <c r="N76" i="3" a="1"/>
  <c r="N76" i="3" s="1"/>
  <c r="N101" i="3" a="1"/>
  <c r="N101" i="3" s="1"/>
  <c r="N480" i="3" a="1"/>
  <c r="N480" i="3" s="1"/>
  <c r="N682" i="3" a="1"/>
  <c r="N682" i="3" s="1"/>
  <c r="N33" i="3" a="1"/>
  <c r="N33" i="3" s="1"/>
  <c r="N475" i="3" a="1"/>
  <c r="N475" i="3" s="1"/>
  <c r="N524" i="3" a="1"/>
  <c r="N524" i="3" s="1"/>
  <c r="N897" i="3" a="1"/>
  <c r="N897" i="3" s="1"/>
  <c r="N737" i="3" a="1"/>
  <c r="N737" i="3" s="1"/>
  <c r="N804" i="3" a="1"/>
  <c r="N804" i="3" s="1"/>
  <c r="N949" i="3" a="1"/>
  <c r="N949" i="3" s="1"/>
  <c r="N894" i="3" a="1"/>
  <c r="N894" i="3" s="1"/>
  <c r="N46" i="3" a="1"/>
  <c r="N46" i="3" s="1"/>
  <c r="N677" i="3" a="1"/>
  <c r="N677" i="3" s="1"/>
  <c r="N328" i="3" a="1"/>
  <c r="N328" i="3" s="1"/>
  <c r="N278" i="3" a="1"/>
  <c r="N278" i="3" s="1"/>
  <c r="N336" i="3" a="1"/>
  <c r="N336" i="3" s="1"/>
  <c r="N738" i="3" a="1"/>
  <c r="N738" i="3" s="1"/>
  <c r="N837" i="3" a="1"/>
  <c r="N837" i="3" s="1"/>
  <c r="N171" i="3" a="1"/>
  <c r="N171" i="3" s="1"/>
  <c r="N266" i="3" a="1"/>
  <c r="N266" i="3" s="1"/>
  <c r="N867" i="3" a="1"/>
  <c r="N867" i="3" s="1"/>
  <c r="N41" i="3" a="1"/>
  <c r="N41" i="3"/>
  <c r="N797" i="3" a="1"/>
  <c r="N797" i="3" s="1"/>
  <c r="N636" i="3" a="1"/>
  <c r="N636" i="3" s="1"/>
  <c r="N175" i="3" a="1"/>
  <c r="N175" i="3" s="1"/>
  <c r="N825" i="3" a="1"/>
  <c r="N825" i="3" s="1"/>
  <c r="N234" i="3" a="1"/>
  <c r="N234" i="3" s="1"/>
  <c r="N915" i="3" a="1"/>
  <c r="N915" i="3" s="1"/>
  <c r="N357" i="3" a="1"/>
  <c r="N357" i="3" s="1"/>
  <c r="N530" i="3" a="1"/>
  <c r="N530" i="3" s="1"/>
  <c r="N744" i="3" a="1"/>
  <c r="N744" i="3" s="1"/>
  <c r="N229" i="3" a="1"/>
  <c r="N229" i="3" s="1"/>
  <c r="N979" i="3" a="1"/>
  <c r="N979" i="3" s="1"/>
  <c r="N538" i="3" a="1"/>
  <c r="N538" i="3" s="1"/>
  <c r="N59" i="3" a="1"/>
  <c r="N59" i="3" s="1"/>
  <c r="N586" i="3" a="1"/>
  <c r="N586" i="3" s="1"/>
  <c r="N231" i="3" a="1"/>
  <c r="N231" i="3" s="1"/>
  <c r="N220" i="3" a="1"/>
  <c r="N220" i="3" s="1"/>
  <c r="N462" i="3" a="1"/>
  <c r="N462" i="3" s="1"/>
  <c r="N338" i="3" a="1"/>
  <c r="N338" i="3" s="1"/>
  <c r="N163" i="3" a="1"/>
  <c r="N163" i="3" s="1"/>
  <c r="N222" i="3" a="1"/>
  <c r="N222" i="3" s="1"/>
  <c r="N624" i="3" a="1"/>
  <c r="N624" i="3" s="1"/>
  <c r="N720" i="3" a="1"/>
  <c r="N720" i="3" s="1"/>
  <c r="N792" i="3" a="1"/>
  <c r="N792" i="3" s="1"/>
  <c r="N658" i="3" a="1"/>
  <c r="N658" i="3" s="1"/>
  <c r="N473" i="3" a="1"/>
  <c r="N473" i="3" s="1"/>
  <c r="N392" i="3" a="1"/>
  <c r="N392" i="3" s="1"/>
  <c r="N99" i="3" a="1"/>
  <c r="N99" i="3" s="1"/>
  <c r="N565" i="3" a="1"/>
  <c r="N565" i="3" s="1"/>
  <c r="N351" i="3" a="1"/>
  <c r="N351" i="3" s="1"/>
  <c r="N374" i="3" a="1"/>
  <c r="N374" i="3" s="1"/>
  <c r="N191" i="3" a="1"/>
  <c r="N191" i="3" s="1"/>
  <c r="N934" i="3" a="1"/>
  <c r="N934" i="3" s="1"/>
  <c r="N917" i="3" a="1"/>
  <c r="N917" i="3" s="1"/>
  <c r="N145" i="3" a="1"/>
  <c r="N145" i="3" s="1"/>
  <c r="N1001" i="3" a="1"/>
  <c r="N1001" i="3" s="1"/>
  <c r="N614" i="3" a="1"/>
  <c r="N614" i="3" s="1"/>
  <c r="N18" i="3" a="1"/>
  <c r="N18" i="3" s="1"/>
  <c r="N440" i="3" a="1"/>
  <c r="N440" i="3" s="1"/>
  <c r="N198" i="3" a="1"/>
  <c r="N198" i="3" s="1"/>
  <c r="N407" i="3" a="1"/>
  <c r="N407" i="3" s="1"/>
  <c r="N235" i="3" a="1"/>
  <c r="N235" i="3" s="1"/>
  <c r="N467" i="3" a="1"/>
  <c r="N467" i="3" s="1"/>
  <c r="N292" i="3" a="1"/>
  <c r="N292" i="3" s="1"/>
  <c r="N599" i="3" a="1"/>
  <c r="N599" i="3" s="1"/>
  <c r="N137" i="3" a="1"/>
  <c r="N137" i="3" s="1"/>
  <c r="N708" i="3" a="1"/>
  <c r="N708" i="3" s="1"/>
  <c r="N842" i="3" a="1"/>
  <c r="N842" i="3" s="1"/>
  <c r="N56" i="3" a="1"/>
  <c r="N56" i="3" s="1"/>
  <c r="N577" i="3" a="1"/>
  <c r="N577" i="3" s="1"/>
  <c r="N911" i="3" a="1"/>
  <c r="N911" i="3" s="1"/>
  <c r="N691" i="3" a="1"/>
  <c r="N691" i="3" s="1"/>
  <c r="N13" i="3" a="1"/>
  <c r="N13" i="3" s="1"/>
  <c r="N986" i="3" a="1"/>
  <c r="N986" i="3" s="1"/>
  <c r="N642" i="3" a="1"/>
  <c r="N642" i="3" s="1"/>
  <c r="N809" i="3" a="1"/>
  <c r="N809" i="3" s="1"/>
  <c r="N215" i="3" a="1"/>
  <c r="N215" i="3" s="1"/>
  <c r="N44" i="3" a="1"/>
  <c r="N44" i="3" s="1"/>
  <c r="N11" i="3" a="1"/>
  <c r="N11" i="3" s="1"/>
  <c r="N189" i="3" a="1"/>
  <c r="N189" i="3" s="1"/>
  <c r="N380" i="3" a="1"/>
  <c r="N380" i="3"/>
  <c r="N104" i="3" a="1"/>
  <c r="N104" i="3" s="1"/>
  <c r="N157" i="3" a="1"/>
  <c r="N157" i="3" s="1"/>
  <c r="N178" i="3" a="1"/>
  <c r="N178" i="3" s="1"/>
  <c r="N602" i="3" a="1"/>
  <c r="N602" i="3" s="1"/>
  <c r="N535" i="3" a="1"/>
  <c r="N535" i="3" s="1"/>
  <c r="N933" i="3" a="1"/>
  <c r="N933" i="3" s="1"/>
  <c r="N458" i="3" a="1"/>
  <c r="N458" i="3" s="1"/>
  <c r="N68" i="3" a="1"/>
  <c r="N68" i="3"/>
  <c r="N819" i="3" a="1"/>
  <c r="N819" i="3"/>
  <c r="N192" i="3" a="1"/>
  <c r="N192" i="3" s="1"/>
  <c r="N492" i="3" a="1"/>
  <c r="N492" i="3" s="1"/>
  <c r="N98" i="3" a="1"/>
  <c r="N98" i="3" s="1"/>
  <c r="N685" i="3" a="1"/>
  <c r="N685" i="3" s="1"/>
  <c r="N595" i="3" a="1"/>
  <c r="N595" i="3" s="1"/>
  <c r="N600" i="3" a="1"/>
  <c r="N600" i="3" s="1"/>
  <c r="N977" i="3" a="1"/>
  <c r="N977" i="3" s="1"/>
  <c r="N615" i="3" a="1"/>
  <c r="N615" i="3" s="1"/>
  <c r="N739" i="3" a="1"/>
  <c r="N739" i="3"/>
  <c r="N107" i="3" a="1"/>
  <c r="N107" i="3" s="1"/>
  <c r="N293" i="3" a="1"/>
  <c r="N293" i="3"/>
  <c r="N890" i="3" a="1"/>
  <c r="N890" i="3" s="1"/>
  <c r="N543" i="3" a="1"/>
  <c r="N543" i="3" s="1"/>
  <c r="N541" i="3" a="1"/>
  <c r="N541" i="3" s="1"/>
  <c r="N122" i="3" a="1"/>
  <c r="N122" i="3"/>
  <c r="N354" i="3" a="1"/>
  <c r="N354" i="3" s="1"/>
  <c r="N997" i="3" a="1"/>
  <c r="N997" i="3" s="1"/>
  <c r="N859" i="3" a="1"/>
  <c r="N859" i="3"/>
  <c r="N618" i="3" a="1"/>
  <c r="N618" i="3" s="1"/>
  <c r="N295" i="3" a="1"/>
  <c r="N295" i="3" s="1"/>
  <c r="N105" i="3" a="1"/>
  <c r="N105" i="3" s="1"/>
  <c r="N826" i="3" a="1"/>
  <c r="N826" i="3" s="1"/>
  <c r="N918" i="3" a="1"/>
  <c r="N918" i="3" s="1"/>
  <c r="N540" i="3" a="1"/>
  <c r="N540" i="3" s="1"/>
  <c r="N533" i="3" a="1"/>
  <c r="N533" i="3" s="1"/>
  <c r="N821" i="3" a="1"/>
  <c r="N821" i="3" s="1"/>
  <c r="N300" i="3" a="1"/>
  <c r="N300" i="3" s="1"/>
  <c r="N279" i="3" a="1"/>
  <c r="N279" i="3" s="1"/>
  <c r="N784" i="3" a="1"/>
  <c r="N784" i="3"/>
  <c r="N877" i="3" a="1"/>
  <c r="N877" i="3" s="1"/>
  <c r="N988" i="3" a="1"/>
  <c r="N988" i="3" s="1"/>
  <c r="N2" i="3" a="1"/>
  <c r="N2" i="3" s="1"/>
  <c r="N989" i="3" a="1"/>
  <c r="N989" i="3" s="1"/>
  <c r="N151" i="3" a="1"/>
  <c r="N151" i="3" s="1"/>
  <c r="N100" i="3" a="1"/>
  <c r="N100" i="3" s="1"/>
  <c r="N221" i="3" a="1"/>
  <c r="N221" i="3" s="1"/>
  <c r="N92" i="3" a="1"/>
  <c r="N92" i="3" s="1"/>
  <c r="N134" i="3" a="1"/>
  <c r="N134" i="3" s="1"/>
  <c r="N173" i="3" a="1"/>
  <c r="N173" i="3" s="1"/>
  <c r="N608" i="3" a="1"/>
  <c r="N608" i="3" s="1"/>
  <c r="N566" i="3" a="1"/>
  <c r="N566" i="3" s="1"/>
  <c r="N255" i="3" a="1"/>
  <c r="N255" i="3" s="1"/>
  <c r="N193" i="3" a="1"/>
  <c r="N193" i="3" s="1"/>
  <c r="N436" i="3" a="1"/>
  <c r="N436" i="3" s="1"/>
  <c r="N332" i="3" a="1"/>
  <c r="N332" i="3" s="1"/>
  <c r="N810" i="3" a="1"/>
  <c r="N810" i="3" s="1"/>
  <c r="N94" i="3" a="1"/>
  <c r="N94" i="3"/>
  <c r="N3" i="3" a="1"/>
  <c r="N3" i="3" s="1"/>
  <c r="N57" i="3" a="1"/>
  <c r="N57" i="3" s="1"/>
  <c r="N994" i="3" a="1"/>
  <c r="N994" i="3" s="1"/>
  <c r="N452" i="3" a="1"/>
  <c r="N452" i="3" s="1"/>
  <c r="N843" i="3" a="1"/>
  <c r="N843" i="3" s="1"/>
  <c r="N956" i="3" a="1"/>
  <c r="N956" i="3" s="1"/>
  <c r="N321" i="3" a="1"/>
  <c r="N321" i="3" s="1"/>
  <c r="N868" i="3" a="1"/>
  <c r="N868" i="3" s="1"/>
  <c r="N995" i="3" a="1"/>
  <c r="N995" i="3" s="1"/>
  <c r="N869" i="3" a="1"/>
  <c r="N869" i="3" s="1"/>
  <c r="N905" i="3" a="1"/>
  <c r="N905" i="3" s="1"/>
  <c r="N445" i="3" a="1"/>
  <c r="N445" i="3" s="1"/>
  <c r="N446" i="3" a="1"/>
  <c r="N446" i="3" s="1"/>
  <c r="N243" i="3" a="1"/>
  <c r="N243" i="3" s="1"/>
  <c r="N582" i="3" a="1"/>
  <c r="N582" i="3" s="1"/>
  <c r="N856" i="3" a="1"/>
  <c r="N856" i="3" s="1"/>
  <c r="N34" i="3" a="1"/>
  <c r="N34" i="3" s="1"/>
  <c r="N525" i="3" a="1"/>
  <c r="N525" i="3" s="1"/>
  <c r="N488" i="3" a="1"/>
  <c r="N488" i="3" s="1"/>
  <c r="N841" i="3" a="1"/>
  <c r="N841" i="3" s="1"/>
  <c r="N358" i="3" a="1"/>
  <c r="N358" i="3" s="1"/>
  <c r="N464" i="3" a="1"/>
  <c r="N464" i="3" s="1"/>
  <c r="N531" i="3" a="1"/>
  <c r="N531" i="3" s="1"/>
  <c r="N224" i="3" a="1"/>
  <c r="N224" i="3" s="1"/>
  <c r="N787" i="3" a="1"/>
  <c r="N787" i="3" s="1"/>
  <c r="N159" i="3" a="1"/>
  <c r="N159" i="3" s="1"/>
  <c r="N564" i="3" a="1"/>
  <c r="N564" i="3" s="1"/>
  <c r="N329" i="3" a="1"/>
  <c r="N329" i="3" s="1"/>
  <c r="N416" i="3" a="1"/>
  <c r="N416" i="3" s="1"/>
  <c r="N457" i="3" a="1"/>
  <c r="N457" i="3" s="1"/>
  <c r="N526" i="3" a="1"/>
  <c r="N526" i="3" s="1"/>
  <c r="N63" i="3" a="1"/>
  <c r="N63" i="3" s="1"/>
  <c r="N495" i="3" a="1"/>
  <c r="N495" i="3" s="1"/>
  <c r="N509" i="3" a="1"/>
  <c r="N509" i="3" s="1"/>
  <c r="N766" i="3" a="1"/>
  <c r="N766" i="3" s="1"/>
  <c r="N740" i="3" a="1"/>
  <c r="N740" i="3" s="1"/>
  <c r="N771" i="3" a="1"/>
  <c r="N771" i="3" s="1"/>
  <c r="N637" i="3" a="1"/>
  <c r="N637" i="3" s="1"/>
  <c r="N857" i="3" a="1"/>
  <c r="N857" i="3" s="1"/>
  <c r="N772" i="3" a="1"/>
  <c r="N772" i="3" s="1"/>
  <c r="N408" i="3" a="1"/>
  <c r="N408" i="3" s="1"/>
  <c r="N158" i="3" a="1"/>
  <c r="N158" i="3" s="1"/>
  <c r="N252" i="3" a="1"/>
  <c r="N252" i="3" s="1"/>
  <c r="N554" i="3" a="1"/>
  <c r="N554" i="3" s="1"/>
  <c r="N805" i="3" a="1"/>
  <c r="N805" i="3" s="1"/>
  <c r="N555" i="3" a="1"/>
  <c r="N555" i="3" s="1"/>
  <c r="N216" i="3" a="1"/>
  <c r="N216" i="3" s="1"/>
  <c r="N490" i="3" a="1"/>
  <c r="N490" i="3" s="1"/>
  <c r="N31" i="3" a="1"/>
  <c r="N31" i="3" s="1"/>
  <c r="N69" i="3" a="1"/>
  <c r="N69" i="3" s="1"/>
  <c r="N732" i="3" a="1"/>
  <c r="N732" i="3" s="1"/>
  <c r="N806" i="3" a="1"/>
  <c r="N806" i="3" s="1"/>
  <c r="N8" i="3" a="1"/>
  <c r="N8" i="3" s="1"/>
  <c r="N364" i="3" a="1"/>
  <c r="N364" i="3" s="1"/>
  <c r="N318" i="3" a="1"/>
  <c r="N318" i="3" s="1"/>
  <c r="N471" i="3" a="1"/>
  <c r="N471" i="3" s="1"/>
  <c r="N236" i="3" a="1"/>
  <c r="N236" i="3" s="1"/>
  <c r="N419" i="3" a="1"/>
  <c r="N419" i="3" s="1"/>
  <c r="N491" i="3" a="1"/>
  <c r="N491" i="3" s="1"/>
  <c r="N345" i="3" a="1"/>
  <c r="N345" i="3" s="1"/>
  <c r="N939" i="3" a="1"/>
  <c r="N939" i="3" s="1"/>
  <c r="N593" i="3" a="1"/>
  <c r="N593" i="3" s="1"/>
  <c r="N225" i="3" a="1"/>
  <c r="N225" i="3" s="1"/>
  <c r="N743" i="3" a="1"/>
  <c r="N743" i="3" s="1"/>
  <c r="N247" i="3" a="1"/>
  <c r="N247" i="3" s="1"/>
  <c r="N521" i="3" a="1"/>
  <c r="N521" i="3" s="1"/>
  <c r="N42" i="3" a="1"/>
  <c r="N42" i="3" s="1"/>
  <c r="N883" i="3" a="1"/>
  <c r="N883" i="3" s="1"/>
  <c r="N953" i="3" a="1"/>
  <c r="N953" i="3" s="1"/>
  <c r="N980" i="3" a="1"/>
  <c r="N980" i="3" s="1"/>
  <c r="N683" i="3" a="1"/>
  <c r="N683" i="3" s="1"/>
  <c r="N88" i="3" a="1"/>
  <c r="N88" i="3" s="1"/>
  <c r="N673" i="3" a="1"/>
  <c r="N673" i="3" s="1"/>
  <c r="N502" i="3" a="1"/>
  <c r="N502" i="3" s="1"/>
  <c r="N862" i="3" a="1"/>
  <c r="N862" i="3" s="1"/>
  <c r="N16" i="3" a="1"/>
  <c r="N16" i="3" s="1"/>
  <c r="N58" i="3" a="1"/>
  <c r="N58" i="3" s="1"/>
  <c r="N136" i="3" a="1"/>
  <c r="N136" i="3" s="1"/>
  <c r="N447" i="3" a="1"/>
  <c r="N447" i="3" s="1"/>
  <c r="T25" i="3"/>
  <c r="T24" i="3"/>
  <c r="T23" i="3"/>
  <c r="T22" i="3"/>
  <c r="T21" i="3"/>
  <c r="T20" i="3"/>
  <c r="T19" i="3"/>
  <c r="T18" i="3"/>
  <c r="U7" i="3"/>
  <c r="R5" i="3"/>
  <c r="R33" i="3"/>
  <c r="R35" i="3"/>
  <c r="R30" i="3"/>
  <c r="R34" i="3"/>
  <c r="R32" i="3"/>
  <c r="R31" i="3"/>
  <c r="R21" i="3"/>
  <c r="R22" i="3"/>
  <c r="R23" i="3"/>
  <c r="R24" i="3"/>
  <c r="R25" i="3"/>
  <c r="R20" i="3"/>
  <c r="R18" i="3"/>
  <c r="R19" i="3"/>
  <c r="O412" i="3"/>
  <c r="O544" i="3"/>
  <c r="O899" i="3"/>
  <c r="O493" i="3"/>
  <c r="O286" i="3"/>
  <c r="O999" i="3"/>
  <c r="O248" i="3"/>
  <c r="O135" i="3"/>
  <c r="O239" i="3"/>
  <c r="O668" i="3"/>
  <c r="O669" i="3"/>
  <c r="O884" i="3"/>
  <c r="O984" i="3"/>
  <c r="O443" i="3"/>
  <c r="O808" i="3"/>
  <c r="O594" i="3"/>
  <c r="O647" i="3"/>
  <c r="O851" i="3"/>
  <c r="O476" i="3"/>
  <c r="O294" i="3"/>
  <c r="O304" i="3"/>
  <c r="O460" i="3"/>
  <c r="O853" i="3"/>
  <c r="O461" i="3"/>
  <c r="O428" i="3"/>
  <c r="O381" i="3"/>
  <c r="O480" i="3"/>
  <c r="O894" i="3"/>
  <c r="O821" i="3"/>
  <c r="O995" i="3"/>
  <c r="O732" i="3"/>
  <c r="O955" i="3"/>
  <c r="O733" i="3"/>
  <c r="O545" i="3"/>
  <c r="O400" i="3"/>
  <c r="O901" i="3"/>
  <c r="O922" i="3"/>
  <c r="O496" i="3"/>
  <c r="O402" i="3"/>
  <c r="O596" i="3"/>
  <c r="O344" i="3"/>
  <c r="O232" i="3"/>
  <c r="O735" i="3"/>
  <c r="O874" i="3"/>
  <c r="O671" i="3"/>
  <c r="O943" i="3"/>
  <c r="O233" i="3"/>
  <c r="O148" i="3"/>
  <c r="O963" i="3"/>
  <c r="O749" i="3"/>
  <c r="O632" i="3"/>
  <c r="O875" i="3"/>
  <c r="O737" i="3"/>
  <c r="O565" i="3"/>
  <c r="O691" i="3"/>
  <c r="O11" i="3"/>
  <c r="O615" i="3"/>
  <c r="O243" i="3"/>
  <c r="O63" i="3"/>
  <c r="O857" i="3"/>
  <c r="O369" i="3"/>
  <c r="O296" i="3"/>
  <c r="O699" i="3"/>
  <c r="O753" i="3"/>
  <c r="O659" i="3"/>
  <c r="O639" i="3"/>
  <c r="O505" i="3"/>
  <c r="O799" i="3"/>
  <c r="O741" i="3"/>
  <c r="O726" i="3"/>
  <c r="O742" i="3"/>
  <c r="O866" i="3"/>
  <c r="O177" i="3"/>
  <c r="O320" i="3"/>
  <c r="O700" i="3"/>
  <c r="O770" i="3"/>
  <c r="O771" i="3"/>
  <c r="O408" i="3"/>
  <c r="O308" i="3"/>
  <c r="O620" i="3"/>
  <c r="O695" i="3"/>
  <c r="O484" i="3"/>
  <c r="O991" i="3"/>
  <c r="O262" i="3"/>
  <c r="O390" i="3"/>
  <c r="O406" i="3"/>
  <c r="O274" i="3"/>
  <c r="O838" i="3"/>
  <c r="O276" i="3"/>
  <c r="O657" i="3"/>
  <c r="O709" i="3"/>
  <c r="O829" i="3"/>
  <c r="O470" i="3"/>
  <c r="O435" i="3"/>
  <c r="O888" i="3"/>
  <c r="O451" i="3"/>
  <c r="O338" i="3"/>
  <c r="O354" i="3"/>
  <c r="O92" i="3"/>
  <c r="O436" i="3"/>
  <c r="O452" i="3"/>
  <c r="O554" i="3"/>
  <c r="O502" i="3"/>
  <c r="O315" i="3"/>
  <c r="O481" i="3"/>
  <c r="O855" i="3"/>
  <c r="O546" i="3"/>
  <c r="O382" i="3"/>
  <c r="O242" i="3"/>
  <c r="O249" i="3"/>
  <c r="O705" i="3"/>
  <c r="O515" i="3"/>
  <c r="O417" i="3"/>
  <c r="O835" i="3"/>
  <c r="O689" i="3"/>
  <c r="O902" i="3"/>
  <c r="O343" i="3"/>
  <c r="O873" i="3"/>
  <c r="O706" i="3"/>
  <c r="O613" i="3"/>
  <c r="O924" i="3"/>
  <c r="O597" i="3"/>
  <c r="O944" i="3"/>
  <c r="O913" i="3"/>
  <c r="O971" i="3"/>
  <c r="O721" i="3"/>
  <c r="O550" i="3"/>
  <c r="O366" i="3"/>
  <c r="O46" i="3"/>
  <c r="O797" i="3"/>
  <c r="O599" i="3"/>
  <c r="O137" i="3"/>
  <c r="O708" i="3"/>
  <c r="O533" i="3"/>
  <c r="O906" i="3"/>
  <c r="O981" i="3"/>
  <c r="O587" i="3"/>
  <c r="O588" i="3"/>
  <c r="O711" i="3"/>
  <c r="O280" i="3"/>
  <c r="O140" i="3"/>
  <c r="O832" i="3"/>
  <c r="O395" i="3"/>
  <c r="O377" i="3"/>
  <c r="O802" i="3"/>
  <c r="O775" i="3"/>
  <c r="O93" i="3"/>
  <c r="O626" i="3"/>
  <c r="O606" i="3"/>
  <c r="O664" i="3"/>
  <c r="O682" i="3"/>
  <c r="O524" i="3"/>
  <c r="O229" i="3"/>
  <c r="O59" i="3"/>
  <c r="O292" i="3"/>
  <c r="O189" i="3"/>
  <c r="O868" i="3"/>
  <c r="O806" i="3"/>
  <c r="O491" i="3"/>
  <c r="O683" i="3"/>
  <c r="O341" i="3"/>
  <c r="O627" i="3"/>
  <c r="O893" i="3"/>
  <c r="O755" i="3"/>
  <c r="O757" i="3"/>
  <c r="O960" i="3"/>
  <c r="O313" i="3"/>
  <c r="O807" i="3"/>
  <c r="O246" i="3"/>
  <c r="O562" i="3"/>
  <c r="O6" i="3"/>
  <c r="O910" i="3"/>
  <c r="O285" i="3"/>
  <c r="O542" i="3"/>
  <c r="O256" i="3"/>
  <c r="O7" i="3"/>
  <c r="O398" i="3"/>
  <c r="O440" i="3"/>
  <c r="O458" i="3"/>
  <c r="O68" i="3"/>
  <c r="O492" i="3"/>
  <c r="O593" i="3"/>
  <c r="O247" i="3"/>
  <c r="O823" i="3"/>
  <c r="O270" i="3"/>
  <c r="O674" i="3"/>
  <c r="O387" i="3"/>
  <c r="O650" i="3"/>
  <c r="O12" i="3"/>
  <c r="O654" i="3"/>
  <c r="O551" i="3"/>
  <c r="O259" i="3"/>
  <c r="O580" i="3"/>
  <c r="O581" i="3"/>
  <c r="O334" i="3"/>
  <c r="O634" i="3"/>
  <c r="O825" i="3"/>
  <c r="O600" i="3"/>
  <c r="O419" i="3"/>
  <c r="O314" i="3"/>
  <c r="O670" i="3"/>
  <c r="O921" i="3"/>
  <c r="O269" i="3"/>
  <c r="O258" i="3"/>
  <c r="O547" i="3"/>
  <c r="O330" i="3"/>
  <c r="O9" i="3"/>
  <c r="O872" i="3"/>
  <c r="O448" i="3"/>
  <c r="O517" i="3"/>
  <c r="O690" i="3"/>
  <c r="O384" i="3"/>
  <c r="O811" i="3"/>
  <c r="O885" i="3"/>
  <c r="O288" i="3"/>
  <c r="O992" i="3"/>
  <c r="O672" i="3"/>
  <c r="O812" i="3"/>
  <c r="O174" i="3"/>
  <c r="O796" i="3"/>
  <c r="O549" i="3"/>
  <c r="O631" i="3"/>
  <c r="O307" i="3"/>
  <c r="O122" i="3"/>
  <c r="O566" i="3"/>
  <c r="O994" i="3"/>
  <c r="O464" i="3"/>
  <c r="O385" i="3"/>
  <c r="O251" i="3"/>
  <c r="O579" i="3"/>
  <c r="O764" i="3"/>
  <c r="O968" i="3"/>
  <c r="O483" i="3"/>
  <c r="O616" i="3"/>
  <c r="O271" i="3"/>
  <c r="O651" i="3"/>
  <c r="O813" i="3"/>
  <c r="O197" i="3"/>
  <c r="O693" i="3"/>
  <c r="O926" i="3"/>
  <c r="O927" i="3"/>
  <c r="O348" i="3"/>
  <c r="O77" i="3"/>
  <c r="O824" i="3"/>
  <c r="O897" i="3"/>
  <c r="O175" i="3"/>
  <c r="O234" i="3"/>
  <c r="O13" i="3"/>
  <c r="O739" i="3"/>
  <c r="O618" i="3"/>
  <c r="O784" i="3"/>
  <c r="O637" i="3"/>
  <c r="O78" i="3"/>
  <c r="O70" i="3"/>
  <c r="O102" i="3"/>
  <c r="O767" i="3"/>
  <c r="O725" i="3"/>
  <c r="O38" i="3"/>
  <c r="O65" i="3"/>
  <c r="O339" i="3"/>
  <c r="O569" i="3"/>
  <c r="O95" i="3"/>
  <c r="O898" i="3"/>
  <c r="O371" i="3"/>
  <c r="O199" i="3"/>
  <c r="O681" i="3"/>
  <c r="O817" i="3"/>
  <c r="O309" i="3"/>
  <c r="O503" i="3"/>
  <c r="O969" i="3"/>
  <c r="O556" i="3"/>
  <c r="O206" i="3"/>
  <c r="O965" i="3"/>
  <c r="O830" i="3"/>
  <c r="O183" i="3"/>
  <c r="O453" i="3"/>
  <c r="O297" i="3"/>
  <c r="O393" i="3"/>
  <c r="O372" i="3"/>
  <c r="O51" i="3"/>
  <c r="O129" i="3"/>
  <c r="O85" i="3"/>
  <c r="O39" i="3"/>
  <c r="O130" i="3"/>
  <c r="O108" i="3"/>
  <c r="O265" i="3"/>
  <c r="O310" i="3"/>
  <c r="O998" i="3"/>
  <c r="O187" i="3"/>
  <c r="O640" i="3"/>
  <c r="O40" i="3"/>
  <c r="O946" i="3"/>
  <c r="O789" i="3"/>
  <c r="O603" i="3"/>
  <c r="O831" i="3"/>
  <c r="O727" i="3"/>
  <c r="O710" i="3"/>
  <c r="O123" i="3"/>
  <c r="O299" i="3"/>
  <c r="O253" i="3"/>
  <c r="O24" i="3"/>
  <c r="O121" i="3"/>
  <c r="O957" i="3"/>
  <c r="O557" i="3"/>
  <c r="O124" i="3"/>
  <c r="O570" i="3"/>
  <c r="O87" i="3"/>
  <c r="O889" i="3"/>
  <c r="O74" i="3"/>
  <c r="O237" i="3"/>
  <c r="O728" i="3"/>
  <c r="O790" i="3"/>
  <c r="O472" i="3"/>
  <c r="O79" i="3"/>
  <c r="O585" i="3"/>
  <c r="O109" i="3"/>
  <c r="O55" i="3"/>
  <c r="O133" i="3"/>
  <c r="O139" i="3"/>
  <c r="O800" i="3"/>
  <c r="O171" i="3"/>
  <c r="O357" i="3"/>
  <c r="O586" i="3"/>
  <c r="O918" i="3"/>
  <c r="O540" i="3"/>
  <c r="O279" i="3"/>
  <c r="O193" i="3"/>
  <c r="O3" i="3"/>
  <c r="O905" i="3"/>
  <c r="O358" i="3"/>
  <c r="O743" i="3"/>
  <c r="O42" i="3"/>
  <c r="O136" i="3"/>
  <c r="O715" i="3"/>
  <c r="O194" i="3"/>
  <c r="O716" i="3"/>
  <c r="O645" i="3"/>
  <c r="O560" i="3"/>
  <c r="O941" i="3"/>
  <c r="O283" i="3"/>
  <c r="O961" i="3"/>
  <c r="O527" i="3"/>
  <c r="O141" i="3"/>
  <c r="O425" i="3"/>
  <c r="O975" i="3"/>
  <c r="O528" i="3"/>
  <c r="O909" i="3"/>
  <c r="O667" i="3"/>
  <c r="O410" i="3"/>
  <c r="O574" i="3"/>
  <c r="O842" i="3"/>
  <c r="O911" i="3"/>
  <c r="O997" i="3"/>
  <c r="O608" i="3"/>
  <c r="O225" i="3"/>
  <c r="O200" i="3"/>
  <c r="O116" i="3"/>
  <c r="O84" i="3"/>
  <c r="O17" i="3"/>
  <c r="O154" i="3"/>
  <c r="O207" i="3"/>
  <c r="O118" i="3"/>
  <c r="O165" i="3"/>
  <c r="O86" i="3"/>
  <c r="O155" i="3"/>
  <c r="O167" i="3"/>
  <c r="O97" i="3"/>
  <c r="O119" i="3"/>
  <c r="O168" i="3"/>
  <c r="O120" i="3"/>
  <c r="O156" i="3"/>
  <c r="O30" i="3"/>
  <c r="O75" i="3"/>
  <c r="O101" i="3"/>
  <c r="O215" i="3"/>
  <c r="O192" i="3"/>
  <c r="O98" i="3"/>
  <c r="O105" i="3"/>
  <c r="O158" i="3"/>
  <c r="O31" i="3"/>
  <c r="O498" i="3"/>
  <c r="O567" i="3"/>
  <c r="O692" i="3"/>
  <c r="O346" i="3"/>
  <c r="O633" i="3"/>
  <c r="O987" i="3"/>
  <c r="O990" i="3"/>
  <c r="O895" i="3"/>
  <c r="O272" i="3"/>
  <c r="O552" i="3"/>
  <c r="O431" i="3"/>
  <c r="O25" i="3"/>
  <c r="O723" i="3"/>
  <c r="O951" i="3"/>
  <c r="O403" i="3"/>
  <c r="O335" i="3"/>
  <c r="O349" i="3"/>
  <c r="O636" i="3"/>
  <c r="O351" i="3"/>
  <c r="O535" i="3"/>
  <c r="O582" i="3"/>
  <c r="O740" i="3"/>
  <c r="O318" i="3"/>
  <c r="O970" i="3"/>
  <c r="O558" i="3"/>
  <c r="O161" i="3"/>
  <c r="O605" i="3"/>
  <c r="O506" i="3"/>
  <c r="O162" i="3"/>
  <c r="O791" i="3"/>
  <c r="O376" i="3"/>
  <c r="O801" i="3"/>
  <c r="O892" i="3"/>
  <c r="O282" i="3"/>
  <c r="O774" i="3"/>
  <c r="O982" i="3"/>
  <c r="O181" i="3"/>
  <c r="O559" i="3"/>
  <c r="O881" i="3"/>
  <c r="O643" i="3"/>
  <c r="O919" i="3"/>
  <c r="O489" i="3"/>
  <c r="O803" i="3"/>
  <c r="O438" i="3"/>
  <c r="O475" i="3"/>
  <c r="O804" i="3"/>
  <c r="O867" i="3"/>
  <c r="O744" i="3"/>
  <c r="O163" i="3"/>
  <c r="O300" i="3"/>
  <c r="O841" i="3"/>
  <c r="O289" i="3"/>
  <c r="O619" i="3"/>
  <c r="O886" i="3"/>
  <c r="O219" i="3"/>
  <c r="O432" i="3"/>
  <c r="O678" i="3"/>
  <c r="O405" i="3"/>
  <c r="O290" i="3"/>
  <c r="O485" i="3"/>
  <c r="O367" i="3"/>
  <c r="O35" i="3"/>
  <c r="O352" i="3"/>
  <c r="O275" i="3"/>
  <c r="O864" i="3"/>
  <c r="O621" i="3"/>
  <c r="O752" i="3"/>
  <c r="O434" i="3"/>
  <c r="O500" i="3"/>
  <c r="O583" i="3"/>
  <c r="O244" i="3"/>
  <c r="O931" i="3"/>
  <c r="O501" i="3"/>
  <c r="O568" i="3"/>
  <c r="O553" i="3"/>
  <c r="O622" i="3"/>
  <c r="O848" i="3"/>
  <c r="O520" i="3"/>
  <c r="O849" i="3"/>
  <c r="O420" i="3"/>
  <c r="O724" i="3"/>
  <c r="O979" i="3"/>
  <c r="O555" i="3"/>
  <c r="O521" i="3"/>
  <c r="O980" i="3"/>
  <c r="O176" i="3"/>
  <c r="O127" i="3"/>
  <c r="O114" i="3"/>
  <c r="O152" i="3"/>
  <c r="O47" i="3"/>
  <c r="O115" i="3"/>
  <c r="O847" i="3"/>
  <c r="O72" i="3"/>
  <c r="O903" i="3"/>
  <c r="O887" i="3"/>
  <c r="O916" i="3"/>
  <c r="O468" i="3"/>
  <c r="O536" i="3"/>
  <c r="O153" i="3"/>
  <c r="O49" i="3"/>
  <c r="O261" i="3"/>
  <c r="O203" i="3"/>
  <c r="O22" i="3"/>
  <c r="O28" i="3"/>
  <c r="O928" i="3"/>
  <c r="O184" i="3"/>
  <c r="O519" i="3"/>
  <c r="O166" i="3"/>
  <c r="O929" i="3"/>
  <c r="O29" i="3"/>
  <c r="O828" i="3"/>
  <c r="O150" i="3"/>
  <c r="O936" i="3"/>
  <c r="O52" i="3"/>
  <c r="O291" i="3"/>
  <c r="O952" i="3"/>
  <c r="O656" i="3"/>
  <c r="O263" i="3"/>
  <c r="O537" i="3"/>
  <c r="O67" i="3"/>
  <c r="O110" i="3"/>
  <c r="O840" i="3"/>
  <c r="O41" i="3"/>
  <c r="O392" i="3"/>
  <c r="O145" i="3"/>
  <c r="O57" i="3"/>
  <c r="O787" i="3"/>
  <c r="O766" i="3"/>
  <c r="O216" i="3"/>
  <c r="O471" i="3"/>
  <c r="O686" i="3"/>
  <c r="O850" i="3"/>
  <c r="O628" i="3"/>
  <c r="O61" i="3"/>
  <c r="O609" i="3"/>
  <c r="O511" i="3"/>
  <c r="O427" i="3"/>
  <c r="O610" i="3"/>
  <c r="O459" i="3"/>
  <c r="O844" i="3"/>
  <c r="O512" i="3"/>
  <c r="O414" i="3"/>
  <c r="O845" i="3"/>
  <c r="O399" i="3"/>
  <c r="O415" i="3"/>
  <c r="O196" i="3"/>
  <c r="O305" i="3"/>
  <c r="O1000" i="3"/>
  <c r="O462" i="3"/>
  <c r="O94" i="3"/>
  <c r="O416" i="3"/>
  <c r="O8" i="3"/>
  <c r="O364" i="3"/>
  <c r="O876" i="3"/>
  <c r="O138" i="3"/>
  <c r="O89" i="3"/>
  <c r="O333" i="3"/>
  <c r="O90" i="3"/>
  <c r="O675" i="3"/>
  <c r="O863" i="3"/>
  <c r="O782" i="3"/>
  <c r="O935" i="3"/>
  <c r="O783" i="3"/>
  <c r="O347" i="3"/>
  <c r="O388" i="3"/>
  <c r="O466" i="3"/>
  <c r="O896" i="3"/>
  <c r="O635" i="3"/>
  <c r="O389" i="3"/>
  <c r="O677" i="3"/>
  <c r="O336" i="3"/>
  <c r="O837" i="3"/>
  <c r="O915" i="3"/>
  <c r="O1001" i="3"/>
  <c r="O235" i="3"/>
  <c r="O467" i="3"/>
  <c r="O826" i="3"/>
  <c r="O877" i="3"/>
  <c r="O510" i="3"/>
  <c r="O760" i="3"/>
  <c r="O426" i="3"/>
  <c r="O342" i="3"/>
  <c r="O361" i="3"/>
  <c r="O646" i="3"/>
  <c r="O442" i="3"/>
  <c r="O529" i="3"/>
  <c r="O704" i="3"/>
  <c r="O718" i="3"/>
  <c r="O611" i="3"/>
  <c r="O993" i="3"/>
  <c r="O920" i="3"/>
  <c r="O780" i="3"/>
  <c r="O494" i="3"/>
  <c r="O820" i="3"/>
  <c r="O761" i="3"/>
  <c r="O900" i="3"/>
  <c r="O852" i="3"/>
  <c r="O575" i="3"/>
  <c r="O217" i="3"/>
  <c r="O362" i="3"/>
  <c r="O854" i="3"/>
  <c r="O478" i="3"/>
  <c r="O576" i="3"/>
  <c r="O731" i="3"/>
  <c r="O328" i="3"/>
  <c r="O577" i="3"/>
  <c r="O986" i="3"/>
  <c r="O446" i="3"/>
  <c r="O564" i="3"/>
  <c r="O113" i="3"/>
  <c r="O201" i="3"/>
  <c r="O179" i="3"/>
  <c r="O48" i="3"/>
  <c r="O82" i="3"/>
  <c r="O83" i="3"/>
  <c r="O202" i="3"/>
  <c r="O21" i="3"/>
  <c r="O73" i="3"/>
  <c r="O26" i="3"/>
  <c r="O96" i="3"/>
  <c r="O15" i="3"/>
  <c r="O23" i="3"/>
  <c r="O186" i="3"/>
  <c r="O131" i="3"/>
  <c r="O190" i="3"/>
  <c r="O169" i="3"/>
  <c r="O170" i="3"/>
  <c r="O103" i="3"/>
  <c r="O212" i="3"/>
  <c r="O54" i="3"/>
  <c r="O132" i="3"/>
  <c r="O144" i="3"/>
  <c r="O76" i="3"/>
  <c r="O18" i="3"/>
  <c r="O104" i="3"/>
  <c r="O134" i="3"/>
  <c r="O945" i="3"/>
  <c r="O694" i="3"/>
  <c r="O878" i="3"/>
  <c r="O815" i="3"/>
  <c r="O273" i="3"/>
  <c r="O679" i="3"/>
  <c r="O638" i="3"/>
  <c r="O601" i="3"/>
  <c r="O785" i="3"/>
  <c r="O91" i="3"/>
  <c r="O469" i="3"/>
  <c r="O930" i="3"/>
  <c r="O391" i="3"/>
  <c r="O786" i="3"/>
  <c r="O839" i="3"/>
  <c r="O978" i="3"/>
  <c r="O368" i="3"/>
  <c r="O658" i="3"/>
  <c r="O99" i="3"/>
  <c r="O917" i="3"/>
  <c r="O198" i="3"/>
  <c r="O407" i="3"/>
  <c r="O859" i="3"/>
  <c r="O159" i="3"/>
  <c r="O252" i="3"/>
  <c r="O514" i="3"/>
  <c r="O482" i="3"/>
  <c r="O147" i="3"/>
  <c r="O612" i="3"/>
  <c r="O688" i="3"/>
  <c r="O762" i="3"/>
  <c r="O942" i="3"/>
  <c r="O578" i="3"/>
  <c r="O912" i="3"/>
  <c r="O497" i="3"/>
  <c r="O648" i="3"/>
  <c r="O429" i="3"/>
  <c r="O794" i="3"/>
  <c r="O630" i="3"/>
  <c r="O532" i="3"/>
  <c r="O795" i="3"/>
  <c r="O598" i="3"/>
  <c r="O649" i="3"/>
  <c r="O614" i="3"/>
  <c r="O295" i="3"/>
  <c r="O332" i="3"/>
  <c r="O856" i="3"/>
  <c r="O345" i="3"/>
  <c r="O88" i="3"/>
  <c r="O673" i="3"/>
  <c r="O370" i="3"/>
  <c r="O437" i="3"/>
  <c r="O355" i="3"/>
  <c r="O264" i="3"/>
  <c r="O976" i="3"/>
  <c r="O504" i="3"/>
  <c r="O584" i="3"/>
  <c r="O373" i="3"/>
  <c r="O245" i="3"/>
  <c r="O455" i="3"/>
  <c r="O298" i="3"/>
  <c r="O625" i="3"/>
  <c r="O487" i="3"/>
  <c r="O604" i="3"/>
  <c r="O523" i="3"/>
  <c r="O394" i="3"/>
  <c r="O278" i="3"/>
  <c r="O473" i="3"/>
  <c r="O374" i="3"/>
  <c r="O2" i="3"/>
  <c r="O488" i="3"/>
  <c r="O81" i="3"/>
  <c r="O71" i="3"/>
  <c r="O164" i="3"/>
  <c r="O64" i="3"/>
  <c r="O142" i="3"/>
  <c r="O66" i="3"/>
  <c r="O50" i="3"/>
  <c r="O117" i="3"/>
  <c r="O128" i="3"/>
  <c r="O180" i="3"/>
  <c r="O204" i="3"/>
  <c r="O182" i="3"/>
  <c r="O143" i="3"/>
  <c r="O27" i="3"/>
  <c r="O208" i="3"/>
  <c r="O209" i="3"/>
  <c r="O210" i="3"/>
  <c r="O188" i="3"/>
  <c r="O106" i="3"/>
  <c r="O211" i="3"/>
  <c r="O53" i="3"/>
  <c r="O213" i="3"/>
  <c r="O214" i="3"/>
  <c r="O33" i="3"/>
  <c r="O191" i="3"/>
  <c r="O56" i="3"/>
  <c r="O157" i="3"/>
  <c r="O107" i="3"/>
  <c r="O100" i="3"/>
  <c r="O34" i="3"/>
  <c r="O58" i="3"/>
  <c r="O37" i="3"/>
  <c r="O750" i="3"/>
  <c r="O722" i="3"/>
  <c r="O518" i="3"/>
  <c r="O914" i="3"/>
  <c r="O386" i="3"/>
  <c r="O465" i="3"/>
  <c r="O449" i="3"/>
  <c r="O846" i="3"/>
  <c r="O218" i="3"/>
  <c r="O316" i="3"/>
  <c r="O925" i="3"/>
  <c r="O858" i="3"/>
  <c r="O499" i="3"/>
  <c r="O534" i="3"/>
  <c r="O430" i="3"/>
  <c r="O652" i="3"/>
  <c r="O317" i="3"/>
  <c r="O653" i="3"/>
  <c r="O617" i="3"/>
  <c r="O655" i="3"/>
  <c r="O972" i="3"/>
  <c r="O836" i="3"/>
  <c r="O227" i="3"/>
  <c r="O149" i="3"/>
  <c r="O814" i="3"/>
  <c r="O676" i="3"/>
  <c r="O350" i="3"/>
  <c r="O738" i="3"/>
  <c r="O16" i="3"/>
  <c r="O745" i="3"/>
  <c r="O591" i="3"/>
  <c r="O195" i="3"/>
  <c r="O423" i="3"/>
  <c r="O378" i="3"/>
  <c r="O644" i="3"/>
  <c r="O778" i="3"/>
  <c r="O666" i="3"/>
  <c r="O301" i="3"/>
  <c r="O238" i="3"/>
  <c r="O302" i="3"/>
  <c r="O80" i="3"/>
  <c r="O223" i="3"/>
  <c r="O439" i="3"/>
  <c r="O949" i="3"/>
  <c r="O934" i="3"/>
  <c r="O44" i="3"/>
  <c r="O685" i="3"/>
  <c r="O843" i="3"/>
  <c r="O862" i="3"/>
  <c r="O751" i="3"/>
  <c r="O404" i="3"/>
  <c r="O765" i="3"/>
  <c r="O827" i="3"/>
  <c r="O260" i="3"/>
  <c r="O337" i="3"/>
  <c r="O433" i="3"/>
  <c r="O696" i="3"/>
  <c r="O816" i="3"/>
  <c r="O697" i="3"/>
  <c r="O353" i="3"/>
  <c r="O865" i="3"/>
  <c r="O698" i="3"/>
  <c r="O14" i="3"/>
  <c r="O937" i="3"/>
  <c r="O450" i="3"/>
  <c r="O623" i="3"/>
  <c r="O486" i="3"/>
  <c r="O538" i="3"/>
  <c r="O220" i="3"/>
  <c r="O624" i="3"/>
  <c r="O602" i="3"/>
  <c r="O221" i="3"/>
  <c r="O956" i="3"/>
  <c r="O236" i="3"/>
  <c r="O441" i="3"/>
  <c r="O36" i="3"/>
  <c r="O146" i="3"/>
  <c r="O326" i="3"/>
  <c r="O226" i="3"/>
  <c r="O834" i="3"/>
  <c r="O730" i="3"/>
  <c r="O287" i="3"/>
  <c r="O967" i="3"/>
  <c r="O477" i="3"/>
  <c r="O240" i="3"/>
  <c r="O363" i="3"/>
  <c r="O241" i="3"/>
  <c r="O479" i="3"/>
  <c r="O444" i="3"/>
  <c r="O977" i="3"/>
  <c r="O989" i="3"/>
  <c r="O810" i="3"/>
  <c r="O445" i="3"/>
  <c r="O495" i="3"/>
  <c r="O954" i="3"/>
  <c r="O940" i="3"/>
  <c r="O882" i="3"/>
  <c r="O702" i="3"/>
  <c r="O573" i="3"/>
  <c r="O607" i="3"/>
  <c r="O561" i="3"/>
  <c r="O665" i="3"/>
  <c r="O861" i="3"/>
  <c r="O908" i="3"/>
  <c r="O779" i="3"/>
  <c r="O703" i="3"/>
  <c r="O379" i="3"/>
  <c r="O284" i="3"/>
  <c r="O729" i="3"/>
  <c r="O172" i="3"/>
  <c r="O411" i="3"/>
  <c r="O60" i="3"/>
  <c r="O231" i="3"/>
  <c r="O69" i="3"/>
  <c r="O883" i="3"/>
  <c r="O662" i="3"/>
  <c r="O160" i="3"/>
  <c r="O880" i="3"/>
  <c r="O891" i="3"/>
  <c r="O125" i="3"/>
  <c r="O958" i="3"/>
  <c r="O281" i="3"/>
  <c r="O712" i="3"/>
  <c r="O713" i="3"/>
  <c r="O19" i="3"/>
  <c r="O322" i="3"/>
  <c r="O589" i="3"/>
  <c r="O776" i="3"/>
  <c r="O959" i="3"/>
  <c r="O4" i="3"/>
  <c r="O590" i="3"/>
  <c r="O325" i="3"/>
  <c r="O508" i="3"/>
  <c r="O266" i="3"/>
  <c r="O933" i="3"/>
  <c r="O541" i="3"/>
  <c r="O151" i="3"/>
  <c r="O869" i="3"/>
  <c r="O509" i="3"/>
  <c r="O805" i="3"/>
  <c r="O939" i="3"/>
  <c r="O953" i="3"/>
  <c r="O950" i="3"/>
  <c r="O871" i="3"/>
  <c r="O793" i="3"/>
  <c r="O401" i="3"/>
  <c r="O383" i="3"/>
  <c r="O923" i="3"/>
  <c r="O822" i="3"/>
  <c r="O734" i="3"/>
  <c r="O10" i="3"/>
  <c r="O516" i="3"/>
  <c r="O418" i="3"/>
  <c r="O763" i="3"/>
  <c r="O781" i="3"/>
  <c r="O548" i="3"/>
  <c r="O365" i="3"/>
  <c r="O707" i="3"/>
  <c r="O250" i="3"/>
  <c r="O306" i="3"/>
  <c r="O736" i="3"/>
  <c r="O331" i="3"/>
  <c r="O463" i="3"/>
  <c r="O964" i="3"/>
  <c r="O932" i="3"/>
  <c r="O680" i="3"/>
  <c r="O277" i="3"/>
  <c r="O798" i="3"/>
  <c r="O522" i="3"/>
  <c r="O904" i="3"/>
  <c r="O818" i="3"/>
  <c r="O454" i="3"/>
  <c r="O356" i="3"/>
  <c r="O660" i="3"/>
  <c r="O319" i="3"/>
  <c r="O43" i="3"/>
  <c r="O539" i="3"/>
  <c r="O788" i="3"/>
  <c r="O768" i="3"/>
  <c r="O769" i="3"/>
  <c r="O879" i="3"/>
  <c r="O456" i="3"/>
  <c r="O938" i="3"/>
  <c r="O661" i="3"/>
  <c r="O996" i="3"/>
  <c r="O641" i="3"/>
  <c r="O205" i="3"/>
  <c r="O642" i="3"/>
  <c r="O178" i="3"/>
  <c r="O890" i="3"/>
  <c r="O321" i="3"/>
  <c r="O457" i="3"/>
  <c r="O772" i="3"/>
  <c r="O359" i="3"/>
  <c r="O474" i="3"/>
  <c r="O773" i="3"/>
  <c r="O572" i="3"/>
  <c r="O907" i="3"/>
  <c r="O860" i="3"/>
  <c r="O126" i="3"/>
  <c r="O311" i="3"/>
  <c r="O409" i="3"/>
  <c r="O228" i="3"/>
  <c r="O323" i="3"/>
  <c r="O948" i="3"/>
  <c r="O777" i="3"/>
  <c r="O422" i="3"/>
  <c r="O507" i="3"/>
  <c r="O222" i="3"/>
  <c r="O988" i="3"/>
  <c r="O525" i="3"/>
  <c r="O490" i="3"/>
  <c r="O947" i="3"/>
  <c r="O754" i="3"/>
  <c r="O375" i="3"/>
  <c r="O966" i="3"/>
  <c r="O571" i="3"/>
  <c r="O254" i="3"/>
  <c r="O111" i="3"/>
  <c r="O973" i="3"/>
  <c r="O421" i="3"/>
  <c r="O701" i="3"/>
  <c r="O340" i="3"/>
  <c r="O714" i="3"/>
  <c r="O324" i="3"/>
  <c r="O663" i="3"/>
  <c r="O396" i="3"/>
  <c r="O185" i="3"/>
  <c r="O360" i="3"/>
  <c r="O974" i="3"/>
  <c r="O792" i="3"/>
  <c r="O819" i="3"/>
  <c r="O255" i="3"/>
  <c r="O526" i="3"/>
  <c r="O684" i="3"/>
  <c r="O983" i="3"/>
  <c r="O592" i="3"/>
  <c r="O112" i="3"/>
  <c r="O756" i="3"/>
  <c r="O758" i="3"/>
  <c r="O230" i="3"/>
  <c r="O312" i="3"/>
  <c r="O424" i="3"/>
  <c r="O5" i="3"/>
  <c r="O32" i="3"/>
  <c r="O397" i="3"/>
  <c r="O717" i="3"/>
  <c r="O746" i="3"/>
  <c r="O747" i="3"/>
  <c r="O833" i="3"/>
  <c r="O267" i="3"/>
  <c r="O759" i="3"/>
  <c r="O748" i="3"/>
  <c r="O985" i="3"/>
  <c r="O380" i="3"/>
  <c r="O293" i="3"/>
  <c r="O543" i="3"/>
  <c r="O224" i="3"/>
  <c r="O687" i="3"/>
  <c r="O268" i="3"/>
  <c r="O257" i="3"/>
  <c r="O413" i="3"/>
  <c r="O563" i="3"/>
  <c r="O962" i="3"/>
  <c r="O303" i="3"/>
  <c r="O45" i="3"/>
  <c r="O62" i="3"/>
  <c r="O629" i="3"/>
  <c r="O719" i="3"/>
  <c r="O870" i="3"/>
  <c r="O327" i="3"/>
  <c r="O513" i="3"/>
  <c r="O20" i="3"/>
  <c r="O530" i="3"/>
  <c r="O720" i="3"/>
  <c r="O809" i="3"/>
  <c r="O595" i="3"/>
  <c r="O173" i="3"/>
  <c r="O531" i="3"/>
  <c r="O329" i="3"/>
  <c r="O447" i="3"/>
  <c r="R13" i="3"/>
  <c r="R12" i="3"/>
  <c r="R11" i="3"/>
  <c r="R8" i="3"/>
  <c r="R7" i="3"/>
  <c r="R6" i="3"/>
  <c r="U9" i="3"/>
  <c r="C2" i="17" s="1"/>
  <c r="U8" i="3"/>
  <c r="U6" i="3"/>
  <c r="F2" i="17" s="1"/>
  <c r="U5" i="3"/>
  <c r="G2" i="17" s="1"/>
  <c r="U4" i="3"/>
  <c r="H2" i="17" s="1"/>
  <c r="U3" i="3"/>
  <c r="R3" i="3"/>
  <c r="I1002" i="3"/>
  <c r="M1002" i="2"/>
  <c r="M1002" i="3"/>
  <c r="Y10" i="3"/>
  <c r="X10" i="3"/>
  <c r="T26" i="3" l="1"/>
  <c r="R36" i="3"/>
  <c r="R26" i="3"/>
  <c r="R10" i="3"/>
  <c r="R9" i="3"/>
  <c r="Z1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<sst xmlns="http://schemas.openxmlformats.org/spreadsheetml/2006/main" count="24220" uniqueCount="1134">
  <si>
    <t>Patient ID</t>
  </si>
  <si>
    <t>Doctor Name</t>
  </si>
  <si>
    <t>Department</t>
  </si>
  <si>
    <t>Patient_Gender</t>
  </si>
  <si>
    <t>Patient_Age</t>
  </si>
  <si>
    <t>Insurance_Type</t>
  </si>
  <si>
    <t>Treatment_Type</t>
  </si>
  <si>
    <t>Patient_Satisfaction_Score</t>
  </si>
  <si>
    <t>Average_Treatment_Cost</t>
  </si>
  <si>
    <t>Readmission_Rate (%)</t>
  </si>
  <si>
    <t>Average_Wait_Time (mins)</t>
  </si>
  <si>
    <t>Staff_Rating</t>
  </si>
  <si>
    <t>Revenue_Generated</t>
  </si>
  <si>
    <t>P-0001</t>
  </si>
  <si>
    <t>Dr. Garcia</t>
  </si>
  <si>
    <t>Cardiology</t>
  </si>
  <si>
    <t>Female</t>
  </si>
  <si>
    <t>Private</t>
  </si>
  <si>
    <t>Routine Checkup</t>
  </si>
  <si>
    <t>P-0002</t>
  </si>
  <si>
    <t>Dr. Lawson</t>
  </si>
  <si>
    <t>Neurology</t>
  </si>
  <si>
    <t>Medicaid</t>
  </si>
  <si>
    <t>Emergency Care</t>
  </si>
  <si>
    <t>P-0003</t>
  </si>
  <si>
    <t>Dr. Reyes</t>
  </si>
  <si>
    <t>Radiology</t>
  </si>
  <si>
    <t>Male</t>
  </si>
  <si>
    <t>P-0004</t>
  </si>
  <si>
    <t>Dr. Rose</t>
  </si>
  <si>
    <t>Emergency</t>
  </si>
  <si>
    <t>Specialist Consultation</t>
  </si>
  <si>
    <t>P-0005</t>
  </si>
  <si>
    <t>Dr. Ward</t>
  </si>
  <si>
    <t>Medicare</t>
  </si>
  <si>
    <t>P-0006</t>
  </si>
  <si>
    <t>Dr. Lara</t>
  </si>
  <si>
    <t>P-0007</t>
  </si>
  <si>
    <t>Dr. Holloway</t>
  </si>
  <si>
    <t>Pediatrics</t>
  </si>
  <si>
    <t>Diagnostics</t>
  </si>
  <si>
    <t>P-0008</t>
  </si>
  <si>
    <t>Dr. Owens</t>
  </si>
  <si>
    <t>P-0009</t>
  </si>
  <si>
    <t>Dr. Smith</t>
  </si>
  <si>
    <t>General Surgery</t>
  </si>
  <si>
    <t>P-0010</t>
  </si>
  <si>
    <t>Dr. Vaughn</t>
  </si>
  <si>
    <t>Orthopedics</t>
  </si>
  <si>
    <t>Therapy</t>
  </si>
  <si>
    <t>P-0011</t>
  </si>
  <si>
    <t>Dr. Pierce</t>
  </si>
  <si>
    <t>Oncology</t>
  </si>
  <si>
    <t>P-0012</t>
  </si>
  <si>
    <t>Dr. Lopez</t>
  </si>
  <si>
    <t>P-0013</t>
  </si>
  <si>
    <t>Dr. Villa</t>
  </si>
  <si>
    <t>P-0014</t>
  </si>
  <si>
    <t>Dr. Bradshaw</t>
  </si>
  <si>
    <t>P-0015</t>
  </si>
  <si>
    <t>Dr. Anderson</t>
  </si>
  <si>
    <t>P-0016</t>
  </si>
  <si>
    <t>Dr. Hamilton</t>
  </si>
  <si>
    <t>P-0017</t>
  </si>
  <si>
    <t>Dr. Hicks</t>
  </si>
  <si>
    <t>P-0018</t>
  </si>
  <si>
    <t>Dr. King</t>
  </si>
  <si>
    <t>P-0019</t>
  </si>
  <si>
    <t>Dr. Webb</t>
  </si>
  <si>
    <t>P-0020</t>
  </si>
  <si>
    <t>Surgery</t>
  </si>
  <si>
    <t>P-0021</t>
  </si>
  <si>
    <t>Other</t>
  </si>
  <si>
    <t>P-0022</t>
  </si>
  <si>
    <t>Dr. Castillo</t>
  </si>
  <si>
    <t>P-0023</t>
  </si>
  <si>
    <t>P-0024</t>
  </si>
  <si>
    <t>P-0025</t>
  </si>
  <si>
    <t>Dr. Mccarty</t>
  </si>
  <si>
    <t>P-0026</t>
  </si>
  <si>
    <t>Dr. Wang</t>
  </si>
  <si>
    <t>P-0027</t>
  </si>
  <si>
    <t>P-0028</t>
  </si>
  <si>
    <t>P-0029</t>
  </si>
  <si>
    <t>Dr. Davis</t>
  </si>
  <si>
    <t>P-0030</t>
  </si>
  <si>
    <t>P-0031</t>
  </si>
  <si>
    <t>P-0032</t>
  </si>
  <si>
    <t>Dr. Kidd</t>
  </si>
  <si>
    <t>P-0033</t>
  </si>
  <si>
    <t>P-0034</t>
  </si>
  <si>
    <t>P-0035</t>
  </si>
  <si>
    <t>P-0036</t>
  </si>
  <si>
    <t>P-0037</t>
  </si>
  <si>
    <t>P-0038</t>
  </si>
  <si>
    <t>Dr. Tran</t>
  </si>
  <si>
    <t>P-0039</t>
  </si>
  <si>
    <t>Dr. Monroe</t>
  </si>
  <si>
    <t>P-0040</t>
  </si>
  <si>
    <t>P-0041</t>
  </si>
  <si>
    <t>P-0042</t>
  </si>
  <si>
    <t>P-0043</t>
  </si>
  <si>
    <t>P-0044</t>
  </si>
  <si>
    <t>Dr. Holmes</t>
  </si>
  <si>
    <t>P-0045</t>
  </si>
  <si>
    <t>P-0046</t>
  </si>
  <si>
    <t>P-0047</t>
  </si>
  <si>
    <t>P-0048</t>
  </si>
  <si>
    <t>P-0049</t>
  </si>
  <si>
    <t>Dr. Lawrence</t>
  </si>
  <si>
    <t>P-0050</t>
  </si>
  <si>
    <t>P-0051</t>
  </si>
  <si>
    <t>P-0052</t>
  </si>
  <si>
    <t>P-0053</t>
  </si>
  <si>
    <t>P-0054</t>
  </si>
  <si>
    <t>P-0055</t>
  </si>
  <si>
    <t>P-0056</t>
  </si>
  <si>
    <t>P-0057</t>
  </si>
  <si>
    <t>P-0058</t>
  </si>
  <si>
    <t>P-0059</t>
  </si>
  <si>
    <t>P-0060</t>
  </si>
  <si>
    <t>P-0061</t>
  </si>
  <si>
    <t>Dr. Mcguire</t>
  </si>
  <si>
    <t>P-0062</t>
  </si>
  <si>
    <t>P-0063</t>
  </si>
  <si>
    <t>P-0064</t>
  </si>
  <si>
    <t>P-0065</t>
  </si>
  <si>
    <t>P-0066</t>
  </si>
  <si>
    <t>P-0067</t>
  </si>
  <si>
    <t>Dr. Wright</t>
  </si>
  <si>
    <t>P-0068</t>
  </si>
  <si>
    <t>P-0069</t>
  </si>
  <si>
    <t>P-0070</t>
  </si>
  <si>
    <t>P-0071</t>
  </si>
  <si>
    <t>P-0072</t>
  </si>
  <si>
    <t>Dr. Cherry</t>
  </si>
  <si>
    <t>P-0073</t>
  </si>
  <si>
    <t>Dr. Byrd</t>
  </si>
  <si>
    <t>P-0074</t>
  </si>
  <si>
    <t>P-0075</t>
  </si>
  <si>
    <t>P-0076</t>
  </si>
  <si>
    <t>P-0077</t>
  </si>
  <si>
    <t>P-0078</t>
  </si>
  <si>
    <t>Dr. Adams</t>
  </si>
  <si>
    <t>P-0079</t>
  </si>
  <si>
    <t>P-0080</t>
  </si>
  <si>
    <t>P-0081</t>
  </si>
  <si>
    <t>P-0082</t>
  </si>
  <si>
    <t>P-0083</t>
  </si>
  <si>
    <t>P-0084</t>
  </si>
  <si>
    <t>Dr. Brooks</t>
  </si>
  <si>
    <t>P-0085</t>
  </si>
  <si>
    <t>P-0086</t>
  </si>
  <si>
    <t>P-0087</t>
  </si>
  <si>
    <t>P-0088</t>
  </si>
  <si>
    <t>P-0089</t>
  </si>
  <si>
    <t>P-0090</t>
  </si>
  <si>
    <t>P-0091</t>
  </si>
  <si>
    <t>P-0092</t>
  </si>
  <si>
    <t>P-0093</t>
  </si>
  <si>
    <t>P-0094</t>
  </si>
  <si>
    <t>P-0095</t>
  </si>
  <si>
    <t>P-0096</t>
  </si>
  <si>
    <t>P-0097</t>
  </si>
  <si>
    <t>P-0098</t>
  </si>
  <si>
    <t>P-0099</t>
  </si>
  <si>
    <t>P-0100</t>
  </si>
  <si>
    <t>P-0101</t>
  </si>
  <si>
    <t>Dr. Horton</t>
  </si>
  <si>
    <t>P-0102</t>
  </si>
  <si>
    <t>P-0103</t>
  </si>
  <si>
    <t>P-0104</t>
  </si>
  <si>
    <t>P-0105</t>
  </si>
  <si>
    <t>P-0106</t>
  </si>
  <si>
    <t>P-0107</t>
  </si>
  <si>
    <t>P-0108</t>
  </si>
  <si>
    <t>P-0109</t>
  </si>
  <si>
    <t>P-0110</t>
  </si>
  <si>
    <t>P-0111</t>
  </si>
  <si>
    <t>P-0112</t>
  </si>
  <si>
    <t>P-0113</t>
  </si>
  <si>
    <t>P-0114</t>
  </si>
  <si>
    <t>P-0115</t>
  </si>
  <si>
    <t>P-0116</t>
  </si>
  <si>
    <t>P-0117</t>
  </si>
  <si>
    <t>Dr. Clark</t>
  </si>
  <si>
    <t>P-0118</t>
  </si>
  <si>
    <t>Dr. Snyder</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</si>
  <si>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</si>
  <si>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</si>
  <si>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</si>
  <si>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</si>
  <si>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</si>
  <si>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</si>
  <si>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</si>
  <si>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</si>
  <si>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</si>
  <si>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</si>
  <si>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</si>
  <si>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</si>
  <si>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</si>
  <si>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</si>
  <si>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</si>
  <si>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</si>
  <si>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</si>
  <si>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</si>
  <si>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</si>
  <si>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</si>
  <si>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</si>
  <si>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</si>
  <si>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</si>
  <si>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</si>
  <si>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</si>
  <si>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</si>
  <si>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</si>
  <si>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</si>
  <si>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</si>
  <si>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</si>
  <si>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</si>
  <si>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</si>
  <si>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</si>
  <si>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</si>
  <si>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</si>
  <si>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</si>
  <si>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</si>
  <si>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</si>
  <si>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</si>
  <si>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</si>
  <si>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</si>
  <si>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</si>
  <si>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</si>
  <si>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</si>
  <si>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</si>
  <si>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</si>
  <si>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</si>
  <si>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</si>
  <si>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</si>
  <si>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</si>
  <si>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</si>
  <si>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</si>
  <si>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</si>
  <si>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</si>
  <si>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</si>
  <si>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</si>
  <si>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</si>
  <si>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</si>
  <si>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</si>
  <si>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</si>
  <si>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</si>
  <si>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</si>
  <si>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</si>
  <si>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</si>
  <si>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</si>
  <si>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</si>
  <si>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</si>
  <si>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</si>
  <si>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</si>
  <si>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</si>
  <si>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</si>
  <si>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</si>
  <si>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</si>
  <si>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</si>
  <si>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</si>
  <si>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</si>
  <si>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</si>
  <si>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</si>
  <si>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</si>
  <si>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</si>
  <si>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</si>
  <si>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</si>
  <si>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</si>
  <si>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</si>
  <si>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</si>
  <si>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</si>
  <si>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</si>
  <si>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</si>
  <si>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</si>
  <si>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</si>
  <si>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</si>
  <si>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</si>
  <si>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</si>
  <si>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</si>
  <si>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</si>
  <si>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</si>
  <si>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</si>
  <si>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</si>
  <si>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</si>
  <si>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</si>
  <si>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</si>
  <si>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</si>
  <si>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</si>
  <si>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</si>
  <si>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</si>
  <si>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</si>
  <si>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</si>
  <si>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</si>
  <si>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</si>
  <si>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</si>
  <si>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</si>
  <si>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</si>
  <si>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</si>
  <si>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</si>
  <si>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</si>
  <si>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</si>
  <si>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</si>
  <si>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</si>
  <si>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</si>
  <si>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</si>
  <si>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</si>
  <si>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</si>
  <si>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</si>
  <si>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</si>
  <si>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</si>
  <si>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</si>
  <si>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</si>
  <si>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</si>
  <si>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</si>
  <si>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</si>
  <si>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</si>
  <si>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</si>
  <si>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</si>
  <si>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</si>
  <si>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</si>
  <si>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</si>
  <si>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</si>
  <si>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</si>
  <si>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</si>
  <si>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</si>
  <si>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</si>
  <si>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</si>
  <si>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</si>
  <si>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</si>
  <si>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</si>
  <si>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</si>
  <si>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</si>
  <si>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</si>
  <si>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</si>
  <si>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</si>
  <si>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</si>
  <si>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</si>
  <si>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</si>
  <si>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</si>
  <si>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</si>
  <si>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</si>
  <si>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</si>
  <si>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</si>
  <si>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</si>
  <si>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</si>
  <si>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</si>
  <si>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</si>
  <si>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</si>
  <si>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</si>
  <si>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</si>
  <si>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</si>
  <si>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</si>
  <si>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</si>
  <si>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</si>
  <si>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</si>
  <si>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</si>
  <si>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</si>
  <si>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</si>
  <si>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</si>
  <si>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</si>
  <si>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</si>
  <si>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</si>
  <si>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</si>
  <si>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</si>
  <si>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</si>
  <si>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</si>
  <si>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</si>
  <si>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</si>
  <si>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</si>
  <si>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</si>
  <si>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</si>
  <si>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</si>
  <si>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</si>
  <si>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</si>
  <si>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</si>
  <si>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</si>
  <si>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</si>
  <si>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</si>
  <si>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</si>
  <si>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</si>
  <si>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</si>
  <si>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</si>
  <si>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</si>
  <si>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</si>
  <si>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</si>
  <si>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</si>
  <si>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</si>
  <si>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</si>
  <si>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</si>
  <si>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</si>
  <si>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</si>
  <si>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</si>
  <si>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</si>
  <si>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</si>
  <si>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</si>
  <si>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</si>
  <si>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</si>
  <si>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</si>
  <si>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</si>
  <si>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</si>
  <si>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</si>
  <si>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</si>
  <si>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</si>
  <si>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</si>
  <si>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</si>
  <si>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</si>
  <si>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</si>
  <si>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</si>
  <si>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</si>
  <si>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</si>
  <si>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</si>
  <si>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</si>
  <si>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</si>
  <si>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</si>
  <si>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</si>
  <si>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</si>
  <si>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</si>
  <si>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</si>
  <si>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</si>
  <si>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</si>
  <si>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</si>
  <si>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</si>
  <si>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</si>
  <si>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</si>
  <si>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</si>
  <si>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</si>
  <si>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</si>
  <si>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</si>
  <si>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</si>
  <si>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</si>
  <si>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</si>
  <si>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</si>
  <si>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</si>
  <si>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</si>
  <si>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</si>
  <si>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</si>
  <si>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</si>
  <si>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</si>
  <si>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</si>
  <si>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</si>
  <si>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</si>
  <si>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</si>
  <si>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</si>
  <si>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</si>
  <si>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</si>
  <si>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</si>
  <si>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</si>
  <si>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</si>
  <si>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</si>
  <si>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</si>
  <si>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</si>
  <si>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</si>
  <si>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</si>
  <si>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</si>
  <si>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</si>
  <si>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</si>
  <si>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</si>
  <si>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</si>
  <si>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</si>
  <si>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</si>
  <si>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</si>
  <si>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</si>
  <si>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</si>
  <si>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</si>
  <si>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</si>
  <si>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</si>
  <si>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</si>
  <si>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</si>
  <si>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</si>
  <si>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</si>
  <si>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</si>
  <si>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</si>
  <si>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</si>
  <si>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</si>
  <si>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</si>
  <si>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</si>
  <si>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</si>
  <si>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</si>
  <si>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</si>
  <si>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</si>
  <si>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</si>
  <si>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</si>
  <si>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</si>
  <si>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</si>
  <si>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</si>
  <si>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</si>
  <si>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</si>
  <si>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</si>
  <si>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</si>
  <si>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</si>
  <si>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</si>
  <si>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</si>
  <si>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</si>
  <si>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</si>
  <si>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</si>
  <si>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</si>
  <si>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</si>
  <si>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</si>
  <si>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</si>
  <si>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</si>
  <si>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</si>
  <si>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</si>
  <si>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</si>
  <si>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</si>
  <si>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</si>
  <si>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</si>
  <si>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</si>
  <si>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</si>
  <si>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</si>
  <si>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</si>
  <si>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</si>
  <si>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</si>
  <si>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</si>
  <si>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</si>
  <si>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</si>
  <si>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</si>
  <si>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</si>
  <si>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</si>
  <si>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</si>
  <si>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</si>
  <si>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</si>
  <si>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</si>
  <si>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</si>
  <si>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</si>
  <si>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</si>
  <si>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</si>
  <si>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</si>
  <si>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</si>
  <si>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</si>
  <si>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</si>
  <si>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</si>
  <si>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</si>
  <si>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</si>
  <si>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</si>
  <si>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</si>
  <si>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</si>
  <si>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</si>
  <si>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</si>
  <si>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</si>
  <si>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</si>
  <si>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</si>
  <si>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</si>
  <si>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</si>
  <si>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</si>
  <si>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</si>
  <si>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</si>
  <si>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</si>
  <si>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</si>
  <si>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</si>
  <si>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</si>
  <si>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</si>
  <si>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</si>
  <si>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</si>
  <si>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</si>
  <si>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</si>
  <si>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</si>
  <si>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</si>
  <si>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</si>
  <si>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</si>
  <si>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</si>
  <si>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</si>
  <si>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</si>
  <si>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</si>
  <si>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</si>
  <si>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</si>
  <si>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</si>
  <si>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</si>
  <si>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</si>
  <si>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</si>
  <si>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</si>
  <si>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</si>
  <si>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</si>
  <si>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</si>
  <si>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</si>
  <si>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</si>
  <si>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</si>
  <si>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</si>
  <si>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</si>
  <si>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</si>
  <si>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</si>
  <si>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</si>
  <si>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</si>
  <si>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</si>
  <si>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</si>
  <si>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</si>
  <si>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</si>
  <si>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</si>
  <si>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</si>
  <si>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</si>
  <si>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</si>
  <si>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</si>
  <si>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</si>
  <si>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</si>
  <si>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</si>
  <si>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</si>
  <si>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</si>
  <si>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</si>
  <si>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</si>
  <si>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</si>
  <si>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</si>
  <si>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</si>
  <si>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</si>
  <si>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</si>
  <si>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</si>
  <si>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</si>
  <si>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</si>
  <si>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</si>
  <si>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</si>
  <si>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</si>
  <si>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</si>
  <si>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</si>
  <si>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</si>
  <si>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</si>
  <si>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</si>
  <si>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</si>
  <si>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</si>
  <si>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</si>
  <si>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</si>
  <si>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</si>
  <si>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</si>
  <si>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</si>
  <si>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</si>
  <si>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</si>
  <si>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</si>
  <si>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</si>
  <si>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</si>
  <si>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</si>
  <si>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</si>
  <si>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</si>
  <si>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</si>
  <si>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</si>
  <si>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</si>
  <si>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</si>
  <si>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</si>
  <si>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</si>
  <si>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</si>
  <si>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</si>
  <si>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</si>
  <si>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</si>
  <si>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</si>
  <si>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</si>
  <si>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</si>
  <si>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</si>
  <si>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</si>
  <si>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</si>
  <si>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</si>
  <si>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</si>
  <si>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</si>
  <si>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</si>
  <si>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</si>
  <si>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</si>
  <si>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</si>
  <si>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</si>
  <si>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</si>
  <si>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</si>
  <si>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</si>
  <si>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</si>
  <si>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</si>
  <si>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</si>
  <si>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</si>
  <si>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</si>
  <si>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</si>
  <si>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</si>
  <si>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</si>
  <si>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</si>
  <si>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</si>
  <si>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</si>
  <si>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</si>
  <si>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</si>
  <si>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</si>
  <si>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</si>
  <si>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</si>
  <si>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</si>
  <si>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</si>
  <si>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</si>
  <si>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</si>
  <si>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</si>
  <si>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</si>
  <si>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</si>
  <si>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</si>
  <si>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</si>
  <si>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</si>
  <si>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</si>
  <si>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</si>
  <si>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</si>
  <si>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</si>
  <si>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</si>
  <si>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</si>
  <si>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</si>
  <si>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</si>
  <si>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</si>
  <si>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</si>
  <si>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</si>
  <si>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</si>
  <si>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</si>
  <si>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</si>
  <si>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</si>
  <si>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</si>
  <si>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</si>
  <si>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</si>
  <si>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</si>
  <si>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</si>
  <si>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</si>
  <si>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</si>
  <si>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</si>
  <si>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</si>
  <si>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</si>
  <si>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</si>
  <si>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</si>
  <si>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</si>
  <si>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</si>
  <si>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</si>
  <si>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</si>
  <si>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</si>
  <si>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</si>
  <si>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</si>
  <si>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</si>
  <si>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</si>
  <si>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</si>
  <si>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</si>
  <si>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</si>
  <si>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</si>
  <si>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</si>
  <si>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</si>
  <si>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</si>
  <si>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</si>
  <si>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</si>
  <si>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</si>
  <si>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</si>
  <si>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</si>
  <si>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</si>
  <si>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</si>
  <si>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</si>
  <si>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</si>
  <si>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</si>
  <si>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</si>
  <si>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</si>
  <si>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</si>
  <si>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</si>
  <si>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</si>
  <si>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</si>
  <si>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</si>
  <si>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</si>
  <si>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</si>
  <si>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</si>
  <si>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</si>
  <si>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</si>
  <si>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</si>
  <si>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</si>
  <si>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</si>
  <si>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</si>
  <si>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</si>
  <si>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</si>
  <si>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</si>
  <si>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</si>
  <si>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</si>
  <si>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</si>
  <si>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</si>
  <si>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</si>
  <si>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</si>
  <si>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</si>
  <si>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</si>
  <si>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</si>
  <si>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</si>
  <si>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</si>
  <si>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</si>
  <si>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</si>
  <si>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</si>
  <si>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</si>
  <si>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</si>
  <si>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</si>
  <si>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</si>
  <si>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</si>
  <si>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</si>
  <si>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</si>
  <si>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</si>
  <si>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</si>
  <si>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</si>
  <si>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</si>
  <si>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</si>
  <si>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</si>
  <si>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</si>
  <si>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</si>
  <si>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</si>
  <si>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</si>
  <si>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</si>
  <si>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</si>
  <si>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</si>
  <si>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</si>
  <si>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</si>
  <si>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</si>
  <si>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</si>
  <si>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</si>
  <si>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</si>
  <si>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</si>
  <si>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</si>
  <si>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</si>
  <si>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</si>
  <si>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</si>
  <si>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</si>
  <si>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</si>
  <si>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</si>
  <si>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</si>
  <si>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</si>
  <si>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</si>
  <si>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</si>
  <si>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</si>
  <si>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</si>
  <si>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</si>
  <si>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</si>
  <si>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</si>
  <si>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</si>
  <si>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</si>
  <si>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</si>
  <si>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</si>
  <si>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</si>
  <si>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</si>
  <si>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</si>
  <si>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</si>
  <si>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</si>
  <si>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</si>
  <si>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</si>
  <si>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</si>
  <si>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</si>
  <si>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</si>
  <si>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</si>
  <si>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</si>
  <si>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</si>
  <si>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</si>
  <si>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</si>
  <si>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</si>
  <si>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</si>
  <si>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</si>
  <si>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</si>
  <si>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</si>
  <si>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</si>
  <si>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</si>
  <si>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</si>
  <si>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</si>
  <si>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</si>
  <si>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</si>
  <si>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</si>
  <si>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</si>
  <si>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</si>
  <si>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</si>
  <si>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</si>
  <si>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</si>
  <si>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</si>
  <si>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</si>
  <si>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</si>
  <si>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</si>
  <si>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</si>
  <si>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</si>
  <si>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</si>
  <si>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</si>
  <si>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</si>
  <si>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</si>
  <si>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</si>
  <si>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</si>
  <si>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</si>
  <si>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</si>
  <si>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</si>
  <si>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</si>
  <si>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</si>
  <si>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</si>
  <si>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</si>
  <si>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</si>
  <si>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</si>
  <si>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</si>
  <si>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</si>
  <si>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</si>
  <si>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</si>
  <si>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</si>
  <si>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</si>
  <si>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</si>
  <si>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</si>
  <si>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</si>
  <si>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</si>
  <si>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</si>
  <si>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</si>
  <si>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</si>
  <si>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</si>
  <si>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</si>
  <si>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</si>
  <si>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</si>
  <si>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</si>
  <si>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</si>
  <si>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</si>
  <si>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</si>
  <si>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</si>
  <si>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</si>
  <si>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</si>
  <si>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</si>
  <si>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</si>
  <si>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</si>
  <si>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</si>
  <si>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</si>
  <si>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</si>
  <si>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</si>
  <si>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</si>
  <si>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</si>
  <si>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</si>
  <si>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</si>
  <si>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</si>
  <si>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</si>
  <si>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</si>
  <si>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</si>
  <si>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</si>
  <si>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</si>
  <si>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</si>
  <si>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</si>
  <si>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</si>
  <si>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</si>
  <si>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</si>
  <si>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</si>
  <si>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</si>
  <si>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</si>
  <si>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</si>
  <si>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</si>
  <si>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</si>
  <si>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</si>
  <si>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</si>
  <si>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</si>
  <si>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</si>
  <si>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</si>
  <si>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</si>
  <si>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</si>
  <si>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</si>
  <si>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</si>
  <si>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</si>
  <si>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</si>
  <si>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</si>
  <si>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</si>
  <si>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</si>
  <si>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</si>
  <si>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</si>
  <si>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</si>
  <si>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</si>
  <si>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</si>
  <si>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</si>
  <si>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</si>
  <si>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</si>
  <si>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</si>
  <si>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</si>
  <si>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</si>
  <si>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</si>
  <si>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</si>
  <si>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</si>
  <si>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</si>
  <si>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</si>
  <si>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</si>
  <si>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</si>
  <si>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</si>
  <si>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</si>
  <si>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</si>
  <si>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</si>
  <si>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</si>
  <si>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</si>
  <si>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</si>
  <si>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</si>
  <si>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</si>
  <si>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</si>
  <si>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</si>
  <si>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</si>
  <si>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</si>
  <si>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</si>
  <si>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</si>
  <si>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</si>
  <si>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</si>
  <si>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</si>
  <si>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</si>
  <si>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</si>
  <si>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</si>
  <si>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</si>
  <si>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</si>
  <si>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</si>
  <si>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</si>
  <si>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</si>
  <si>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</si>
  <si>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</si>
  <si>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</si>
  <si>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</si>
  <si>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</si>
  <si>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</si>
  <si>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</si>
  <si>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</si>
  <si>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</si>
  <si>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</si>
  <si>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</si>
  <si>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</si>
  <si>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</si>
  <si>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</si>
  <si>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</si>
  <si>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</si>
  <si>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</si>
  <si>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</si>
  <si>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</si>
  <si>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</si>
  <si>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</si>
  <si>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</si>
  <si>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</si>
  <si>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</si>
  <si>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</si>
  <si>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</si>
  <si>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</si>
  <si>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</si>
  <si>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</si>
  <si>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</si>
  <si>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</si>
  <si>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</si>
  <si>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</si>
  <si>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</si>
  <si>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</si>
  <si>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</si>
  <si>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</si>
  <si>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</si>
  <si>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</si>
  <si>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</si>
  <si>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</si>
  <si>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</si>
  <si>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</si>
  <si>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</si>
  <si>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</si>
  <si>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</si>
  <si>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</si>
  <si>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</si>
  <si>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</si>
  <si>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</si>
  <si>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</si>
  <si>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</si>
  <si>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</si>
  <si>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</si>
  <si>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</si>
  <si>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</si>
  <si>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</si>
  <si>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</si>
  <si>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</si>
  <si>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</si>
  <si>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</si>
  <si>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</si>
  <si>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</si>
  <si>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</si>
  <si>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</si>
  <si>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</si>
  <si>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</si>
  <si>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</si>
  <si>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</si>
  <si>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</si>
  <si>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</si>
  <si>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</si>
  <si>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</si>
  <si>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</si>
  <si>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</si>
  <si>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</si>
  <si>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</si>
  <si>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</si>
  <si>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</si>
  <si>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</si>
  <si>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</si>
  <si>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</si>
  <si>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</si>
  <si>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</si>
  <si>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</si>
  <si>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</si>
  <si>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</si>
  <si>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</si>
  <si>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</si>
  <si>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Total</t>
  </si>
  <si>
    <t>Average Patient Waiting Time (mins)</t>
  </si>
  <si>
    <t>Sum of Revenue Generated</t>
  </si>
  <si>
    <t>Average of Readmission Rate (%)</t>
  </si>
  <si>
    <t>Average of Treatment Cost</t>
  </si>
  <si>
    <t>Grand Total</t>
  </si>
  <si>
    <t>Patient Gender</t>
  </si>
  <si>
    <t>Patient Age</t>
  </si>
  <si>
    <t>Insurance Type</t>
  </si>
  <si>
    <t>Treatment Type</t>
  </si>
  <si>
    <t>Patient Satisfaction Score</t>
  </si>
  <si>
    <t>Treatment Cost</t>
  </si>
  <si>
    <t>Readmission Rate (%)</t>
  </si>
  <si>
    <t>Wait Time (mins)</t>
  </si>
  <si>
    <t>Staff Rating</t>
  </si>
  <si>
    <t>Revenue Generated</t>
  </si>
  <si>
    <t>Satisfaction score grouping</t>
  </si>
  <si>
    <t xml:space="preserve">Count of Patient </t>
  </si>
  <si>
    <t>Distinct Count of Doctor Name</t>
  </si>
  <si>
    <t>Patient to Doctor ratio</t>
  </si>
  <si>
    <t>Count of Patient ID</t>
  </si>
  <si>
    <t>No duplicates found</t>
  </si>
  <si>
    <t>no blanks</t>
  </si>
  <si>
    <t xml:space="preserve">2 Columns named in correcttly, columns I and K headers renamed </t>
  </si>
  <si>
    <t>Average Treatment cost</t>
  </si>
  <si>
    <t>TOTAL</t>
  </si>
  <si>
    <t>Count Duplicate</t>
  </si>
  <si>
    <t>Count Blank</t>
  </si>
  <si>
    <t>Count Doctors</t>
  </si>
  <si>
    <t>Count Age Adult</t>
  </si>
  <si>
    <t xml:space="preserve">Count Private insurance </t>
  </si>
  <si>
    <t>Count Medicaid Insurance</t>
  </si>
  <si>
    <t>Count Department</t>
  </si>
  <si>
    <t>Count</t>
  </si>
  <si>
    <t>Sum Treatment cost</t>
  </si>
  <si>
    <t>Sum Revenue generated</t>
  </si>
  <si>
    <t>Average Waiting time</t>
  </si>
  <si>
    <t>Average staff rating</t>
  </si>
  <si>
    <t>Count Treatment type</t>
  </si>
  <si>
    <t>SUB TOTAL Average Readmission rate</t>
  </si>
  <si>
    <t xml:space="preserve">                    </t>
  </si>
  <si>
    <t>Count Female</t>
  </si>
  <si>
    <t>Count Male</t>
  </si>
  <si>
    <t>Count Other Gender</t>
  </si>
  <si>
    <t xml:space="preserve">Count Medicare insurance </t>
  </si>
  <si>
    <t>Age Grouping</t>
  </si>
  <si>
    <t>Count Age Pediatric</t>
  </si>
  <si>
    <t>Error in Pediatric age &gt;18years</t>
  </si>
  <si>
    <t>NOTES</t>
  </si>
  <si>
    <t>Using COUNTA(UNIQUE) to count Doctors gave 37 while using Pivot Table, got 39</t>
  </si>
  <si>
    <t>Average Patients satisfaction Score</t>
  </si>
  <si>
    <t>Average Revenue generated per department</t>
  </si>
  <si>
    <t>Row Labels</t>
  </si>
  <si>
    <t>Average of Wait Time (mins)</t>
  </si>
  <si>
    <t>Avereage Peadiatric Age</t>
  </si>
  <si>
    <t>Average of Patient Satisfaction Score</t>
  </si>
  <si>
    <t>TOTAL NUMBER OF PATIENTS</t>
  </si>
  <si>
    <t>TOTAL NUMBER OF DEPARTMENTS</t>
  </si>
  <si>
    <t>AVERAGE PATIENT WAITING TIME</t>
  </si>
  <si>
    <t>AVERAGE PATIENT SATISFACTION RATE</t>
  </si>
  <si>
    <t>SUM TOTAL REVENUE GENERATED</t>
  </si>
  <si>
    <t>Adult</t>
  </si>
  <si>
    <t>Pediatric</t>
  </si>
  <si>
    <t>AVERAGE READMISSION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</si>
</sst>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_);[Red]\(0\)"/>
    <numFmt numFmtId="165" formatCode="&quot;£&quot;#,##0_);[Red]\(&quot;£&quot;#,##0\)"/>
    <numFmt numFmtId="166" formatCode="0.00_);[Red]\(0.00\)"/>
    <numFmt numFmtId="167" formatCode="_-* #,##0.00_-;\-* #,##0.00_-;_-* &quot;-&quot;??.0_-;_-@_-"/>
    <numFmt numFmtId="168" formatCode="_-* #,##0_-;\-* #,##0_-;_-* &quot;-&quot;??_-;_-@_-"/>
    <numFmt numFmtId="169" formatCode="&quot;£&quot;#,##0"/>
    <numFmt numFmtId="170" formatCode="#,##0;[Red]#,##0"/>
  </numFmts>
  <fonts count="11">
    <font>
      <sz val="11"/>
      <color theme="1"/>
      <name val="Calibri"/>
      <charset val="134"/>
      <scheme val="minor"/>
    </font>
    <font>
      <sz val="11"/>
      <color theme="1"/>
      <name val="Calibri"/>
      <family val="2"/>
      <scheme val="minor"/>
    </font>
    <font>
      <sz val="11"/>
      <color theme="1"/>
      <name val="Calibri"/>
      <family val="2"/>
      <scheme val="minor"/>
    </font>
    <font>
      <b/>
      <sz val="11"/>
      <color theme="9" tint="-0.499984740745262"/>
      <name val="Calibri"/>
      <charset val="134"/>
      <scheme val="minor"/>
    </font>
    <font>
      <b/>
      <sz val="11"/>
      <color theme="1"/>
      <name val="Calibri"/>
      <charset val="134"/>
      <scheme val="minor"/>
    </font>
    <font>
      <b/>
      <sz val="11"/>
      <name val="Calibri"/>
      <charset val="134"/>
      <scheme val="minor"/>
    </font>
    <font>
      <sz val="11"/>
      <color theme="1"/>
      <name val="Calibri"/>
      <charset val="134"/>
      <scheme val="minor"/>
    </font>
    <font>
      <b/>
      <sz val="11"/>
      <color theme="1"/>
      <name val="Calibri"/>
      <family val="2"/>
      <scheme val="minor"/>
    </font>
    <font>
      <b/>
      <sz val="12"/>
      <color theme="1"/>
      <name val="Arial"/>
      <family val="2"/>
    </font>
    <font>
      <sz val="12"/>
      <color theme="1"/>
      <name val="Arial"/>
      <family val="2"/>
    </font>
    <font>
      <b/>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alignment vertical="center"/>
    </xf>
    <xf numFmtId="43" fontId="6" fillId="0" borderId="0" applyFont="0" applyFill="0" applyBorder="0" applyAlignment="0" applyProtection="0">
      <alignment vertical="center"/>
    </xf>
  </cellStyleXfs>
  <cellXfs count="58">
    <xf numFmtId="0" fontId="0" fillId="0" borderId="0" xfId="0">
      <alignment vertical="center"/>
    </xf>
    <xf numFmtId="0" fontId="0" fillId="0" borderId="0" xfId="0" applyAlignment="1">
      <alignment vertical="center" wrapText="1"/>
    </xf>
    <xf numFmtId="164" fontId="0" fillId="0" borderId="0" xfId="0" applyNumberFormat="1">
      <alignment vertical="center"/>
    </xf>
    <xf numFmtId="165" fontId="0" fillId="0" borderId="0" xfId="0" applyNumberFormat="1">
      <alignment vertical="center"/>
    </xf>
    <xf numFmtId="166" fontId="0" fillId="0" borderId="0" xfId="0" applyNumberFormat="1">
      <alignment vertical="center"/>
    </xf>
    <xf numFmtId="164" fontId="0" fillId="0" borderId="0" xfId="0" applyNumberFormat="1" applyAlignment="1">
      <alignment vertical="center" wrapText="1"/>
    </xf>
    <xf numFmtId="165" fontId="3" fillId="0" borderId="0" xfId="0" applyNumberFormat="1" applyFont="1" applyAlignment="1">
      <alignment vertical="center" wrapText="1"/>
    </xf>
    <xf numFmtId="166" fontId="0" fillId="0" borderId="0" xfId="0" applyNumberFormat="1" applyAlignment="1">
      <alignment vertical="center" wrapText="1"/>
    </xf>
    <xf numFmtId="164" fontId="3" fillId="0" borderId="0" xfId="0" applyNumberFormat="1" applyFont="1" applyAlignment="1">
      <alignment vertical="center" wrapText="1"/>
    </xf>
    <xf numFmtId="165" fontId="0" fillId="0" borderId="0" xfId="0" applyNumberFormat="1" applyAlignment="1">
      <alignment vertical="center" wrapText="1"/>
    </xf>
    <xf numFmtId="0" fontId="4" fillId="0" borderId="1" xfId="0" applyFont="1" applyBorder="1">
      <alignment vertical="center"/>
    </xf>
    <xf numFmtId="0" fontId="4" fillId="0" borderId="1" xfId="0" applyFont="1" applyBorder="1" applyAlignment="1">
      <alignment vertical="center" wrapText="1"/>
    </xf>
    <xf numFmtId="0" fontId="5" fillId="0" borderId="1" xfId="0" applyFont="1" applyBorder="1" applyAlignment="1">
      <alignment vertical="center" wrapText="1"/>
    </xf>
    <xf numFmtId="167" fontId="4" fillId="0" borderId="1" xfId="1" applyNumberFormat="1" applyFont="1" applyBorder="1">
      <alignment vertical="center"/>
    </xf>
    <xf numFmtId="167" fontId="4" fillId="0" borderId="1" xfId="1" applyNumberFormat="1" applyFont="1" applyBorder="1" applyAlignment="1">
      <alignment vertical="center" wrapText="1"/>
    </xf>
    <xf numFmtId="0" fontId="0" fillId="0" borderId="1" xfId="0" applyBorder="1">
      <alignment vertical="center"/>
    </xf>
    <xf numFmtId="164" fontId="0" fillId="0" borderId="1" xfId="0" applyNumberFormat="1" applyBorder="1">
      <alignment vertical="center"/>
    </xf>
    <xf numFmtId="167" fontId="0" fillId="0" borderId="1" xfId="1" applyNumberFormat="1" applyFont="1" applyBorder="1">
      <alignment vertical="center"/>
    </xf>
    <xf numFmtId="168" fontId="0" fillId="0" borderId="1" xfId="1" applyNumberFormat="1" applyFont="1" applyBorder="1">
      <alignment vertical="center"/>
    </xf>
    <xf numFmtId="164" fontId="4" fillId="0" borderId="1" xfId="0" applyNumberFormat="1" applyFont="1" applyBorder="1">
      <alignment vertical="center"/>
    </xf>
    <xf numFmtId="168" fontId="4" fillId="0" borderId="1" xfId="1" applyNumberFormat="1" applyFont="1" applyBorder="1">
      <alignment vertical="center"/>
    </xf>
    <xf numFmtId="168" fontId="0" fillId="0" borderId="0" xfId="0" applyNumberFormat="1">
      <alignment vertical="center"/>
    </xf>
    <xf numFmtId="43" fontId="0" fillId="0" borderId="0" xfId="1" applyFont="1">
      <alignment vertical="center"/>
    </xf>
    <xf numFmtId="168" fontId="0" fillId="0" borderId="0" xfId="1" applyNumberFormat="1" applyFont="1">
      <alignment vertical="center"/>
    </xf>
    <xf numFmtId="165" fontId="0" fillId="0" borderId="1" xfId="0" applyNumberFormat="1" applyBorder="1">
      <alignment vertical="center"/>
    </xf>
    <xf numFmtId="0" fontId="7" fillId="0" borderId="1" xfId="0" applyFont="1" applyBorder="1">
      <alignment vertical="center"/>
    </xf>
    <xf numFmtId="0" fontId="0" fillId="2" borderId="1" xfId="0" applyFill="1" applyBorder="1">
      <alignment vertical="center"/>
    </xf>
    <xf numFmtId="0" fontId="7" fillId="0" borderId="0" xfId="0" applyFont="1">
      <alignment vertical="center"/>
    </xf>
    <xf numFmtId="0" fontId="2" fillId="0" borderId="0" xfId="0" applyFont="1">
      <alignment vertical="center"/>
    </xf>
    <xf numFmtId="0" fontId="0" fillId="0" borderId="2" xfId="0" applyBorder="1">
      <alignment vertical="center"/>
    </xf>
    <xf numFmtId="0" fontId="7" fillId="0" borderId="3" xfId="0" applyFont="1" applyBorder="1">
      <alignment vertical="center"/>
    </xf>
    <xf numFmtId="0" fontId="7" fillId="0" borderId="4" xfId="0" applyFont="1" applyBorder="1">
      <alignment vertical="center"/>
    </xf>
    <xf numFmtId="0" fontId="0" fillId="0" borderId="4" xfId="0" applyBorder="1">
      <alignment vertical="center"/>
    </xf>
    <xf numFmtId="0" fontId="7" fillId="0" borderId="5" xfId="0" applyFont="1" applyBorder="1">
      <alignment vertical="center"/>
    </xf>
    <xf numFmtId="0" fontId="7" fillId="0" borderId="6" xfId="0" applyFont="1" applyBorder="1">
      <alignment vertical="center"/>
    </xf>
    <xf numFmtId="0" fontId="7" fillId="0" borderId="7" xfId="0" applyFont="1" applyBorder="1">
      <alignment vertical="center"/>
    </xf>
    <xf numFmtId="0" fontId="0" fillId="0" borderId="6" xfId="0" applyBorder="1">
      <alignment vertical="center"/>
    </xf>
    <xf numFmtId="169" fontId="0" fillId="0" borderId="7" xfId="1" applyNumberFormat="1" applyFont="1" applyBorder="1">
      <alignment vertical="center"/>
    </xf>
    <xf numFmtId="169" fontId="0" fillId="0" borderId="7" xfId="0" applyNumberFormat="1" applyBorder="1">
      <alignment vertical="center"/>
    </xf>
    <xf numFmtId="0" fontId="0" fillId="0" borderId="8" xfId="0" applyBorder="1">
      <alignment vertical="center"/>
    </xf>
    <xf numFmtId="0" fontId="0" fillId="0" borderId="9" xfId="0" applyBorder="1">
      <alignment vertical="center"/>
    </xf>
    <xf numFmtId="169" fontId="0" fillId="0" borderId="10" xfId="0" applyNumberFormat="1" applyBorder="1">
      <alignment vertical="center"/>
    </xf>
    <xf numFmtId="0" fontId="0" fillId="3" borderId="1" xfId="0" applyFill="1" applyBorder="1">
      <alignment vertical="center"/>
    </xf>
    <xf numFmtId="0" fontId="4" fillId="3" borderId="1" xfId="0" applyFont="1" applyFill="1" applyBorder="1">
      <alignment vertical="center"/>
    </xf>
    <xf numFmtId="0" fontId="0" fillId="0" borderId="0" xfId="0" pivotButton="1">
      <alignment vertical="center"/>
    </xf>
    <xf numFmtId="0" fontId="0" fillId="0" borderId="0" xfId="0" applyAlignment="1">
      <alignment horizontal="left" vertical="center"/>
    </xf>
    <xf numFmtId="43" fontId="1" fillId="0" borderId="0" xfId="0" applyNumberFormat="1" applyFont="1">
      <alignment vertical="center"/>
    </xf>
    <xf numFmtId="0" fontId="8" fillId="0" borderId="0" xfId="0" applyFont="1" applyAlignment="1">
      <alignment horizontal="justify" vertical="center"/>
    </xf>
    <xf numFmtId="0" fontId="9" fillId="0" borderId="0" xfId="0" applyFont="1" applyAlignment="1">
      <alignment horizontal="justify" vertical="center"/>
    </xf>
    <xf numFmtId="168" fontId="0" fillId="0" borderId="1" xfId="1" applyNumberFormat="1" applyFont="1" applyBorder="1" applyAlignment="1"/>
    <xf numFmtId="168" fontId="0" fillId="0" borderId="0" xfId="1" applyNumberFormat="1" applyFont="1" applyAlignment="1"/>
    <xf numFmtId="168" fontId="0" fillId="0" borderId="1" xfId="1" applyNumberFormat="1" applyFont="1" applyBorder="1" applyAlignment="1">
      <alignment horizontal="center" vertical="center"/>
    </xf>
    <xf numFmtId="168" fontId="1" fillId="0" borderId="1" xfId="1" applyNumberFormat="1" applyFont="1" applyBorder="1" applyAlignment="1">
      <alignment horizontal="center"/>
    </xf>
    <xf numFmtId="0" fontId="10" fillId="0" borderId="0" xfId="0" applyFont="1">
      <alignment vertical="center"/>
    </xf>
    <xf numFmtId="0" fontId="10" fillId="0" borderId="1" xfId="0" applyFont="1" applyBorder="1">
      <alignment vertical="center"/>
    </xf>
    <xf numFmtId="0" fontId="10" fillId="0" borderId="1" xfId="0" applyFont="1" applyBorder="1" applyAlignment="1">
      <alignment horizontal="center" vertical="center" wrapText="1"/>
    </xf>
    <xf numFmtId="168" fontId="0" fillId="0" borderId="0" xfId="1" applyNumberFormat="1" applyFont="1" applyAlignment="1">
      <alignment vertical="center" wrapText="1"/>
    </xf>
    <xf numFmtId="170" fontId="0" fillId="0" borderId="0" xfId="0" applyNumberFormat="1">
      <alignment vertical="center"/>
    </xf>
  </cellXfs>
  <cellStyles count="2">
    <cellStyle name="Comma" xfId="1" builtinId="3"/>
    <cellStyle name="Normal" xfId="0" builtinId="0"/>
  </cellStyles>
  <dxfs count="39">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35" formatCode="_-* #,##0.00_-;\-* #,##0.00_-;_-* &quot;-&quot;??_-;_-@_-"/>
    </dxf>
    <dxf>
      <numFmt numFmtId="165" formatCode="&quot;£&quot;#,##0_);[Red]\(&quot;£&quot;#,##0\)"/>
    </dxf>
    <dxf>
      <numFmt numFmtId="0" formatCode="General"/>
    </dxf>
    <dxf>
      <numFmt numFmtId="0" formatCode="General"/>
    </dxf>
    <dxf>
      <font>
        <b val="0"/>
        <i val="0"/>
        <strike val="0"/>
        <condense val="0"/>
        <extend val="0"/>
        <outline val="0"/>
        <shadow val="0"/>
        <u val="none"/>
        <vertAlign val="baseline"/>
        <sz val="11"/>
        <color theme="1"/>
        <name val="Calibri"/>
        <charset val="134"/>
        <scheme val="minor"/>
      </font>
    </dxf>
    <dxf>
      <numFmt numFmtId="165" formatCode="&quot;£&quot;#,##0_);[Red]\(&quot;£&quot;#,##0\)"/>
    </dxf>
    <dxf>
      <numFmt numFmtId="165" formatCode="&quot;£&quot;#,##0_);[Red]\(&quot;£&quot;#,##0\)"/>
    </dxf>
    <dxf>
      <numFmt numFmtId="164" formatCode="0_);[Red]\(0\)"/>
    </dxf>
    <dxf>
      <numFmt numFmtId="164" formatCode="0_);[Red]\(0\)"/>
    </dxf>
    <dxf>
      <numFmt numFmtId="166" formatCode="0.00_);[Red]\(0.00\)"/>
    </dxf>
    <dxf>
      <numFmt numFmtId="165" formatCode="&quot;£&quot;#,##0_);[Red]\(&quot;£&quot;#,##0\)"/>
    </dxf>
    <dxf>
      <numFmt numFmtId="164" formatCode="0_);[Red]\(0\)"/>
    </dxf>
    <dxf>
      <numFmt numFmtId="164" formatCode="0_);[Red]\(0\)"/>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
      <fill>
        <patternFill patternType="solid">
          <fgColor theme="9" tint="0.79995117038483843"/>
          <bgColor theme="9" tint="0.79995117038483843"/>
        </patternFill>
      </fill>
    </dxf>
    <dxf>
      <fill>
        <patternFill patternType="solid">
          <fgColor theme="9" tint="0.79995117038483843"/>
          <bgColor theme="9" tint="0.79995117038483843"/>
        </patternFill>
      </fill>
    </dxf>
    <dxf>
      <font>
        <b/>
        <color theme="9" tint="-0.249977111117893"/>
      </font>
    </dxf>
    <dxf>
      <font>
        <b/>
        <color theme="9" tint="-0.249977111117893"/>
      </font>
    </dxf>
    <dxf>
      <font>
        <b/>
        <color theme="9" tint="-0.249977111117893"/>
      </font>
      <border>
        <top style="thin">
          <color theme="9"/>
        </top>
      </border>
    </dxf>
    <dxf>
      <font>
        <b/>
        <color theme="9" tint="-0.499984740745262"/>
      </font>
      <border>
        <top style="thin">
          <color theme="9"/>
        </top>
        <bottom style="medium">
          <color theme="9"/>
        </bottom>
      </border>
    </dxf>
    <dxf>
      <font>
        <color theme="9" tint="-0.499984740745262"/>
      </font>
      <border>
        <top style="thin">
          <color theme="9"/>
        </top>
        <bottom style="thin">
          <color theme="9"/>
        </bottom>
      </border>
    </dxf>
  </dxfs>
  <tableStyles count="3" defaultTableStyle="TableStylePreset3_Accent1" defaultPivotStyle="PivotStylePreset2_Accent1">
    <tableStyle name="TableStylePreset1_Accent6" pivot="0" count="7" xr9:uid="{1707A907-7409-4477-A659-9183D35EB64F}">
      <tableStyleElement type="wholeTable" dxfId="38"/>
      <tableStyleElement type="headerRow" dxfId="37"/>
      <tableStyleElement type="totalRow" dxfId="36"/>
      <tableStyleElement type="firstColumn" dxfId="35"/>
      <tableStyleElement type="lastColumn" dxfId="34"/>
      <tableStyleElement type="firstRowStripe" dxfId="33"/>
      <tableStyleElement type="firstColumnStripe" dxfId="32"/>
    </tableStyle>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[MediCare_Data_Excel sheets.xlsx]PIVOT TABLE WORK SHEET!PivotTable1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900" b="1"/>
              <a:t>Department</a:t>
            </a:r>
            <a:r>
              <a:rPr lang="en-GB" sz="900" b="1" baseline="0"/>
              <a:t> Performance</a:t>
            </a:r>
            <a:r>
              <a:rPr lang="en-GB" sz="900" b="1"/>
              <a:t> </a:t>
            </a:r>
            <a:r>
              <a:rPr lang="en-GB" sz="900"/>
              <a:t>) </a:t>
            </a:r>
          </a:p>
        </c:rich>
      </c:tx>
      <c:layout>
        <c:manualLayout>
          <c:xMode val="edge"/>
          <c:yMode val="edge"/>
          <c:x val="0.2087082239720035"/>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accent1"/>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pivotFmt>
      <c:pivotFmt>
        <c:idx val="67"/>
        <c:spPr>
          <a:solidFill>
            <a:schemeClr val="accent1"/>
          </a:solidFill>
          <a:ln>
            <a:noFill/>
          </a:ln>
          <a:effectLst/>
          <a:sp3d/>
        </c:spPr>
      </c:pivotFmt>
      <c:pivotFmt>
        <c:idx val="68"/>
        <c:spPr>
          <a:solidFill>
            <a:schemeClr val="accent1"/>
          </a:solidFill>
          <a:ln>
            <a:noFill/>
          </a:ln>
          <a:effectLst/>
          <a:sp3d/>
        </c:spPr>
      </c:pivotFmt>
      <c:pivotFmt>
        <c:idx val="69"/>
        <c:spPr>
          <a:solidFill>
            <a:schemeClr val="accent1"/>
          </a:solidFill>
          <a:ln>
            <a:noFill/>
          </a:ln>
          <a:effectLst/>
          <a:sp3d/>
        </c:spPr>
      </c:pivotFmt>
      <c:pivotFmt>
        <c:idx val="7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7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pivotFmt>
      <c:pivotFmt>
        <c:idx val="72"/>
        <c:spPr>
          <a:solidFill>
            <a:schemeClr val="accent1"/>
          </a:solidFill>
          <a:ln>
            <a:noFill/>
          </a:ln>
          <a:effectLst/>
          <a:sp3d/>
        </c:spPr>
      </c:pivotFmt>
      <c:pivotFmt>
        <c:idx val="73"/>
        <c:spPr>
          <a:solidFill>
            <a:schemeClr val="accent1"/>
          </a:solidFill>
          <a:ln>
            <a:noFill/>
          </a:ln>
          <a:effectLst/>
          <a:sp3d/>
        </c:spPr>
      </c:pivotFmt>
      <c:pivotFmt>
        <c:idx val="74"/>
        <c:spPr>
          <a:solidFill>
            <a:schemeClr val="accent1"/>
          </a:solidFill>
          <a:ln>
            <a:noFill/>
          </a:ln>
          <a:effectLst/>
          <a:sp3d/>
        </c:spPr>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pivotFmt>
      <c:pivotFmt>
        <c:idx val="77"/>
        <c:spPr>
          <a:solidFill>
            <a:schemeClr val="accent1"/>
          </a:solidFill>
          <a:ln>
            <a:noFill/>
          </a:ln>
          <a:effectLst/>
          <a:sp3d/>
        </c:spPr>
      </c:pivotFmt>
      <c:pivotFmt>
        <c:idx val="78"/>
        <c:spPr>
          <a:solidFill>
            <a:schemeClr val="accent1"/>
          </a:solidFill>
          <a:ln>
            <a:noFill/>
          </a:ln>
          <a:effectLst/>
          <a:sp3d/>
        </c:spPr>
      </c:pivotFmt>
      <c:pivotFmt>
        <c:idx val="79"/>
        <c:spPr>
          <a:solidFill>
            <a:schemeClr val="accent1"/>
          </a:solidFill>
          <a:ln>
            <a:noFill/>
          </a:ln>
          <a:effectLst/>
          <a:sp3d/>
        </c:spPr>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dLbl>
          <c:idx val="0"/>
          <c:layout>
            <c:manualLayout>
              <c:x val="2.3124515318352652E-3"/>
              <c:y val="0.109720310800619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dLbl>
          <c:idx val="0"/>
          <c:layout>
            <c:manualLayout>
              <c:x val="-4.2394455005951311E-17"/>
              <c:y val="9.75291651561057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dLbl>
          <c:idx val="0"/>
          <c:layout>
            <c:manualLayout>
              <c:x val="2.3124515318352652E-3"/>
              <c:y val="8.127430429675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dLbl>
          <c:idx val="0"/>
          <c:layout>
            <c:manualLayout>
              <c:x val="2.3124515318352652E-3"/>
              <c:y val="8.9401734726430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2"/>
          </a:solidFill>
          <a:ln>
            <a:noFill/>
          </a:ln>
          <a:effectLst/>
          <a:sp3d/>
        </c:spPr>
      </c:pivotFmt>
      <c:pivotFmt>
        <c:idx val="87"/>
        <c:spPr>
          <a:solidFill>
            <a:schemeClr val="accent2"/>
          </a:solidFill>
          <a:ln>
            <a:noFill/>
          </a:ln>
          <a:effectLst/>
          <a:sp3d/>
        </c:spPr>
      </c:pivotFmt>
      <c:pivotFmt>
        <c:idx val="88"/>
        <c:spPr>
          <a:solidFill>
            <a:schemeClr val="accent2"/>
          </a:solidFill>
          <a:ln>
            <a:noFill/>
          </a:ln>
          <a:effectLst/>
          <a:sp3d/>
        </c:spPr>
      </c:pivotFmt>
      <c:pivotFmt>
        <c:idx val="89"/>
        <c:spPr>
          <a:solidFill>
            <a:schemeClr val="accent2"/>
          </a:solidFill>
          <a:ln>
            <a:noFill/>
          </a:ln>
          <a:effectLst/>
          <a:sp3d/>
        </c:spPr>
      </c:pivotFmt>
      <c:pivotFmt>
        <c:idx val="90"/>
        <c:spPr>
          <a:solidFill>
            <a:schemeClr val="accent1"/>
          </a:solidFill>
          <a:ln>
            <a:noFill/>
          </a:ln>
          <a:effectLst/>
          <a:sp3d/>
        </c:spPr>
        <c:dLbl>
          <c:idx val="0"/>
          <c:layout>
            <c:manualLayout>
              <c:x val="-6.9373545955057963E-3"/>
              <c:y val="9.34654499412681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dLbl>
          <c:idx val="0"/>
          <c:layout>
            <c:manualLayout>
              <c:x val="6.9373545955057963E-3"/>
              <c:y val="0.105656595585781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dLbl>
          <c:idx val="0"/>
          <c:layout>
            <c:manualLayout>
              <c:x val="4.6249030636705303E-3"/>
              <c:y val="9.34654499412680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a:sp3d/>
        </c:spPr>
        <c:dLbl>
          <c:idx val="0"/>
          <c:layout>
            <c:manualLayout>
              <c:x val="-8.4788910011902622E-17"/>
              <c:y val="8.94017347264303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sp3d/>
        </c:spPr>
        <c:dLbl>
          <c:idx val="0"/>
          <c:layout>
            <c:manualLayout>
              <c:x val="-6.9373545955057963E-3"/>
              <c:y val="9.34654499412681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dLbl>
          <c:idx val="0"/>
          <c:layout>
            <c:manualLayout>
              <c:x val="2.3124515318352652E-3"/>
              <c:y val="0.109720310800619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sp3d/>
        </c:spPr>
        <c:dLbl>
          <c:idx val="0"/>
          <c:layout>
            <c:manualLayout>
              <c:x val="-4.2394455005951311E-17"/>
              <c:y val="9.75291651561057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a:sp3d/>
        </c:spPr>
        <c:dLbl>
          <c:idx val="0"/>
          <c:layout>
            <c:manualLayout>
              <c:x val="6.9373545955057963E-3"/>
              <c:y val="0.105656595585781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sp3d/>
        </c:spPr>
        <c:dLbl>
          <c:idx val="0"/>
          <c:layout>
            <c:manualLayout>
              <c:x val="4.6249030636705303E-3"/>
              <c:y val="9.34654499412680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a:sp3d/>
        </c:spPr>
        <c:dLbl>
          <c:idx val="0"/>
          <c:layout>
            <c:manualLayout>
              <c:x val="-8.4788910011902622E-17"/>
              <c:y val="8.94017347264303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sp3d/>
        </c:spPr>
        <c:dLbl>
          <c:idx val="0"/>
          <c:layout>
            <c:manualLayout>
              <c:x val="2.3124515318352652E-3"/>
              <c:y val="8.127430429675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a:sp3d/>
        </c:spPr>
        <c:dLbl>
          <c:idx val="0"/>
          <c:layout>
            <c:manualLayout>
              <c:x val="2.3124515318352652E-3"/>
              <c:y val="8.9401734726430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2"/>
          </a:solidFill>
          <a:ln>
            <a:noFill/>
          </a:ln>
          <a:effectLst/>
          <a:sp3d/>
        </c:spPr>
      </c:pivotFmt>
      <c:pivotFmt>
        <c:idx val="105"/>
        <c:spPr>
          <a:solidFill>
            <a:schemeClr val="accent2"/>
          </a:solidFill>
          <a:ln>
            <a:noFill/>
          </a:ln>
          <a:effectLst/>
          <a:sp3d/>
        </c:spPr>
      </c:pivotFmt>
      <c:pivotFmt>
        <c:idx val="106"/>
        <c:spPr>
          <a:solidFill>
            <a:schemeClr val="accent2"/>
          </a:solidFill>
          <a:ln>
            <a:noFill/>
          </a:ln>
          <a:effectLst/>
          <a:sp3d/>
        </c:spPr>
      </c:pivotFmt>
      <c:pivotFmt>
        <c:idx val="107"/>
        <c:spPr>
          <a:solidFill>
            <a:schemeClr val="accent2"/>
          </a:solidFill>
          <a:ln>
            <a:noFill/>
          </a:ln>
          <a:effectLst/>
          <a:sp3d/>
        </c:spPr>
      </c:pivotFmt>
      <c:pivotFmt>
        <c:idx val="10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a:sp3d/>
        </c:spPr>
        <c:dLbl>
          <c:idx val="0"/>
          <c:layout>
            <c:manualLayout>
              <c:x val="-6.9373545955057963E-3"/>
              <c:y val="9.34654499412681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a:sp3d/>
        </c:spPr>
        <c:dLbl>
          <c:idx val="0"/>
          <c:layout>
            <c:manualLayout>
              <c:x val="2.3124515318352652E-3"/>
              <c:y val="0.109720310800619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a:sp3d/>
        </c:spPr>
        <c:dLbl>
          <c:idx val="0"/>
          <c:layout>
            <c:manualLayout>
              <c:x val="-4.2394455005951311E-17"/>
              <c:y val="9.75291651561057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sp3d/>
        </c:spPr>
        <c:dLbl>
          <c:idx val="0"/>
          <c:layout>
            <c:manualLayout>
              <c:x val="6.9373545955057963E-3"/>
              <c:y val="0.105656595585781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sp3d/>
        </c:spPr>
        <c:dLbl>
          <c:idx val="0"/>
          <c:layout>
            <c:manualLayout>
              <c:x val="4.6249030636705303E-3"/>
              <c:y val="9.34654499412680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a:sp3d/>
        </c:spPr>
        <c:dLbl>
          <c:idx val="0"/>
          <c:layout>
            <c:manualLayout>
              <c:x val="-8.4788910011902622E-17"/>
              <c:y val="8.94017347264303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a:sp3d/>
        </c:spPr>
        <c:dLbl>
          <c:idx val="0"/>
          <c:layout>
            <c:manualLayout>
              <c:x val="2.3124515318352652E-3"/>
              <c:y val="8.1274304296754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a:sp3d/>
        </c:spPr>
        <c:dLbl>
          <c:idx val="0"/>
          <c:layout>
            <c:manualLayout>
              <c:x val="2.3124515318352652E-3"/>
              <c:y val="8.9401734726430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2"/>
          </a:solidFill>
          <a:ln>
            <a:noFill/>
          </a:ln>
          <a:effectLst/>
          <a:sp3d/>
        </c:spPr>
      </c:pivotFmt>
      <c:pivotFmt>
        <c:idx val="119"/>
        <c:spPr>
          <a:solidFill>
            <a:schemeClr val="accent2"/>
          </a:solidFill>
          <a:ln>
            <a:noFill/>
          </a:ln>
          <a:effectLst/>
          <a:sp3d/>
        </c:spPr>
      </c:pivotFmt>
      <c:pivotFmt>
        <c:idx val="120"/>
        <c:spPr>
          <a:solidFill>
            <a:schemeClr val="accent2"/>
          </a:solidFill>
          <a:ln>
            <a:noFill/>
          </a:ln>
          <a:effectLst/>
          <a:sp3d/>
        </c:spPr>
      </c:pivotFmt>
      <c:pivotFmt>
        <c:idx val="121"/>
        <c:spPr>
          <a:solidFill>
            <a:schemeClr val="accent2"/>
          </a:solidFill>
          <a:ln>
            <a:noFill/>
          </a:ln>
          <a:effectLst/>
          <a:sp3d/>
        </c:spPr>
      </c:pivotFmt>
    </c:pivotFmts>
    <c:view3D>
      <c:rotX val="15"/>
      <c:rotY val="20"/>
      <c:depthPercent val="100"/>
      <c:rAngAx val="1"/>
    </c:view3D>
    <c:floor>
      <c:thickness val="0"/>
      <c:spPr>
        <a:noFill/>
        <a:ln w="6350"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723219402859765E-2"/>
          <c:y val="4.9380294529052141E-2"/>
          <c:w val="0.56443058491123932"/>
          <c:h val="0.59659044116491422"/>
        </c:manualLayout>
      </c:layout>
      <c:bar3DChart>
        <c:barDir val="col"/>
        <c:grouping val="standard"/>
        <c:varyColors val="0"/>
        <c:ser>
          <c:idx val="0"/>
          <c:order val="0"/>
          <c:tx>
            <c:strRef>
              <c:f>'PIVOT TABLE WORK SHEET'!$B$8</c:f>
              <c:strCache>
                <c:ptCount val="1"/>
                <c:pt idx="0">
                  <c:v>Average of Readmission Rate (%)</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9A59-4DE1-83FD-5D8C9A585B9D}"/>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2-9A59-4DE1-83FD-5D8C9A585B9D}"/>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4-9A59-4DE1-83FD-5D8C9A585B9D}"/>
              </c:ext>
            </c:extLst>
          </c:dPt>
          <c:dPt>
            <c:idx val="3"/>
            <c:invertIfNegative val="0"/>
            <c:bubble3D val="0"/>
            <c:extLst>
              <c:ext xmlns:c16="http://schemas.microsoft.com/office/drawing/2014/chart" uri="{C3380CC4-5D6E-409C-BE32-E72D297353CC}">
                <c16:uniqueId val="{00000005-9A59-4DE1-83FD-5D8C9A585B9D}"/>
              </c:ext>
            </c:extLst>
          </c:dPt>
          <c:dPt>
            <c:idx val="4"/>
            <c:invertIfNegative val="0"/>
            <c:bubble3D val="0"/>
            <c:extLst>
              <c:ext xmlns:c16="http://schemas.microsoft.com/office/drawing/2014/chart" uri="{C3380CC4-5D6E-409C-BE32-E72D297353CC}">
                <c16:uniqueId val="{00000006-9A59-4DE1-83FD-5D8C9A585B9D}"/>
              </c:ext>
            </c:extLst>
          </c:dPt>
          <c:dPt>
            <c:idx val="5"/>
            <c:invertIfNegative val="0"/>
            <c:bubble3D val="0"/>
            <c:extLst>
              <c:ext xmlns:c16="http://schemas.microsoft.com/office/drawing/2014/chart" uri="{C3380CC4-5D6E-409C-BE32-E72D297353CC}">
                <c16:uniqueId val="{00000007-9A59-4DE1-83FD-5D8C9A585B9D}"/>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9-9A59-4DE1-83FD-5D8C9A585B9D}"/>
              </c:ext>
            </c:extLst>
          </c:dPt>
          <c:dPt>
            <c:idx val="7"/>
            <c:invertIfNegative val="0"/>
            <c:bubble3D val="0"/>
            <c:spPr>
              <a:solidFill>
                <a:schemeClr val="accent1"/>
              </a:solidFill>
              <a:ln>
                <a:noFill/>
              </a:ln>
              <a:effectLst/>
              <a:sp3d/>
            </c:spPr>
            <c:extLst>
              <c:ext xmlns:c16="http://schemas.microsoft.com/office/drawing/2014/chart" uri="{C3380CC4-5D6E-409C-BE32-E72D297353CC}">
                <c16:uniqueId val="{0000000B-9A59-4DE1-83FD-5D8C9A585B9D}"/>
              </c:ext>
            </c:extLst>
          </c:dPt>
          <c:dLbls>
            <c:dLbl>
              <c:idx val="0"/>
              <c:layout>
                <c:manualLayout>
                  <c:x val="-6.9373545955057963E-3"/>
                  <c:y val="9.34654499412681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59-4DE1-83FD-5D8C9A585B9D}"/>
                </c:ext>
              </c:extLst>
            </c:dLbl>
            <c:dLbl>
              <c:idx val="1"/>
              <c:layout>
                <c:manualLayout>
                  <c:x val="2.3124515318352652E-3"/>
                  <c:y val="0.109720310800619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59-4DE1-83FD-5D8C9A585B9D}"/>
                </c:ext>
              </c:extLst>
            </c:dLbl>
            <c:dLbl>
              <c:idx val="2"/>
              <c:layout>
                <c:manualLayout>
                  <c:x val="-4.2394455005951311E-17"/>
                  <c:y val="9.75291651561057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59-4DE1-83FD-5D8C9A585B9D}"/>
                </c:ext>
              </c:extLst>
            </c:dLbl>
            <c:dLbl>
              <c:idx val="3"/>
              <c:layout>
                <c:manualLayout>
                  <c:x val="6.9373545955057963E-3"/>
                  <c:y val="0.10565659558578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59-4DE1-83FD-5D8C9A585B9D}"/>
                </c:ext>
              </c:extLst>
            </c:dLbl>
            <c:dLbl>
              <c:idx val="4"/>
              <c:layout>
                <c:manualLayout>
                  <c:x val="4.6249030636705303E-3"/>
                  <c:y val="9.34654499412680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A59-4DE1-83FD-5D8C9A585B9D}"/>
                </c:ext>
              </c:extLst>
            </c:dLbl>
            <c:dLbl>
              <c:idx val="5"/>
              <c:layout>
                <c:manualLayout>
                  <c:x val="-8.4788910011902622E-17"/>
                  <c:y val="8.94017347264303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A59-4DE1-83FD-5D8C9A585B9D}"/>
                </c:ext>
              </c:extLst>
            </c:dLbl>
            <c:dLbl>
              <c:idx val="6"/>
              <c:layout>
                <c:manualLayout>
                  <c:x val="2.3124515318352652E-3"/>
                  <c:y val="8.127430429675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A59-4DE1-83FD-5D8C9A585B9D}"/>
                </c:ext>
              </c:extLst>
            </c:dLbl>
            <c:dLbl>
              <c:idx val="7"/>
              <c:layout>
                <c:manualLayout>
                  <c:x val="2.3124515318352652E-3"/>
                  <c:y val="8.940173472643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A59-4DE1-83FD-5D8C9A585B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alpha val="93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 TABLE WORK SHEET'!$A$9:$A$17</c:f>
              <c:strCache>
                <c:ptCount val="8"/>
                <c:pt idx="0">
                  <c:v>Cardiology</c:v>
                </c:pt>
                <c:pt idx="1">
                  <c:v>Emergency</c:v>
                </c:pt>
                <c:pt idx="2">
                  <c:v>General Surgery</c:v>
                </c:pt>
                <c:pt idx="3">
                  <c:v>Neurology</c:v>
                </c:pt>
                <c:pt idx="4">
                  <c:v>Oncology</c:v>
                </c:pt>
                <c:pt idx="5">
                  <c:v>Orthopedics</c:v>
                </c:pt>
                <c:pt idx="6">
                  <c:v>Pediatrics</c:v>
                </c:pt>
                <c:pt idx="7">
                  <c:v>Radiology</c:v>
                </c:pt>
              </c:strCache>
            </c:strRef>
          </c:cat>
          <c:val>
            <c:numRef>
              <c:f>'PIVOT TABLE WORK SHEET'!$B$9:$B$17</c:f>
              <c:numCache>
                <c:formatCode>0.00_);[Red]\(0.00\)</c:formatCode>
                <c:ptCount val="8"/>
                <c:pt idx="0">
                  <c:v>15.67390977443609</c:v>
                </c:pt>
                <c:pt idx="1">
                  <c:v>18.413025210084026</c:v>
                </c:pt>
                <c:pt idx="2">
                  <c:v>17.097164179104482</c:v>
                </c:pt>
                <c:pt idx="3">
                  <c:v>15.223125000000001</c:v>
                </c:pt>
                <c:pt idx="4">
                  <c:v>14.236090909090906</c:v>
                </c:pt>
                <c:pt idx="5">
                  <c:v>12.885655737704916</c:v>
                </c:pt>
                <c:pt idx="6">
                  <c:v>7.8837209302325553</c:v>
                </c:pt>
                <c:pt idx="7">
                  <c:v>4.9837599999999966</c:v>
                </c:pt>
              </c:numCache>
            </c:numRef>
          </c:val>
          <c:extLst>
            <c:ext xmlns:c16="http://schemas.microsoft.com/office/drawing/2014/chart" uri="{C3380CC4-5D6E-409C-BE32-E72D297353CC}">
              <c16:uniqueId val="{0000000C-9A59-4DE1-83FD-5D8C9A585B9D}"/>
            </c:ext>
          </c:extLst>
        </c:ser>
        <c:ser>
          <c:idx val="1"/>
          <c:order val="1"/>
          <c:tx>
            <c:strRef>
              <c:f>'PIVOT TABLE WORK SHEET'!$C$8</c:f>
              <c:strCache>
                <c:ptCount val="1"/>
                <c:pt idx="0">
                  <c:v>Average of Wait Time (mins)</c:v>
                </c:pt>
              </c:strCache>
            </c:strRef>
          </c:tx>
          <c:spPr>
            <a:solidFill>
              <a:schemeClr val="accent2"/>
            </a:solidFill>
            <a:ln>
              <a:noFill/>
            </a:ln>
            <a:effectLst/>
            <a:sp3d/>
          </c:spPr>
          <c:invertIfNegative val="0"/>
          <c:dPt>
            <c:idx val="1"/>
            <c:invertIfNegative val="0"/>
            <c:bubble3D val="0"/>
            <c:spPr>
              <a:solidFill>
                <a:schemeClr val="accent2"/>
              </a:solidFill>
              <a:ln>
                <a:noFill/>
              </a:ln>
              <a:effectLst/>
              <a:sp3d/>
            </c:spPr>
            <c:extLst>
              <c:ext xmlns:c16="http://schemas.microsoft.com/office/drawing/2014/chart" uri="{C3380CC4-5D6E-409C-BE32-E72D297353CC}">
                <c16:uniqueId val="{0000000E-9A59-4DE1-83FD-5D8C9A585B9D}"/>
              </c:ext>
            </c:extLst>
          </c:dPt>
          <c:dPt>
            <c:idx val="2"/>
            <c:invertIfNegative val="0"/>
            <c:bubble3D val="0"/>
            <c:spPr>
              <a:solidFill>
                <a:schemeClr val="accent2"/>
              </a:solidFill>
              <a:ln>
                <a:noFill/>
              </a:ln>
              <a:effectLst/>
              <a:sp3d/>
            </c:spPr>
            <c:extLst>
              <c:ext xmlns:c16="http://schemas.microsoft.com/office/drawing/2014/chart" uri="{C3380CC4-5D6E-409C-BE32-E72D297353CC}">
                <c16:uniqueId val="{00000010-9A59-4DE1-83FD-5D8C9A585B9D}"/>
              </c:ext>
            </c:extLst>
          </c:dPt>
          <c:dPt>
            <c:idx val="6"/>
            <c:invertIfNegative val="0"/>
            <c:bubble3D val="0"/>
            <c:spPr>
              <a:solidFill>
                <a:schemeClr val="accent2"/>
              </a:solidFill>
              <a:ln>
                <a:noFill/>
              </a:ln>
              <a:effectLst/>
              <a:sp3d/>
            </c:spPr>
            <c:extLst>
              <c:ext xmlns:c16="http://schemas.microsoft.com/office/drawing/2014/chart" uri="{C3380CC4-5D6E-409C-BE32-E72D297353CC}">
                <c16:uniqueId val="{00000012-9A59-4DE1-83FD-5D8C9A585B9D}"/>
              </c:ext>
            </c:extLst>
          </c:dPt>
          <c:dPt>
            <c:idx val="7"/>
            <c:invertIfNegative val="0"/>
            <c:bubble3D val="0"/>
            <c:spPr>
              <a:solidFill>
                <a:schemeClr val="accent2"/>
              </a:solidFill>
              <a:ln>
                <a:noFill/>
              </a:ln>
              <a:effectLst/>
              <a:sp3d/>
            </c:spPr>
            <c:extLst>
              <c:ext xmlns:c16="http://schemas.microsoft.com/office/drawing/2014/chart" uri="{C3380CC4-5D6E-409C-BE32-E72D297353CC}">
                <c16:uniqueId val="{00000014-9A59-4DE1-83FD-5D8C9A585B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 TABLE WORK SHEET'!$A$9:$A$17</c:f>
              <c:strCache>
                <c:ptCount val="8"/>
                <c:pt idx="0">
                  <c:v>Cardiology</c:v>
                </c:pt>
                <c:pt idx="1">
                  <c:v>Emergency</c:v>
                </c:pt>
                <c:pt idx="2">
                  <c:v>General Surgery</c:v>
                </c:pt>
                <c:pt idx="3">
                  <c:v>Neurology</c:v>
                </c:pt>
                <c:pt idx="4">
                  <c:v>Oncology</c:v>
                </c:pt>
                <c:pt idx="5">
                  <c:v>Orthopedics</c:v>
                </c:pt>
                <c:pt idx="6">
                  <c:v>Pediatrics</c:v>
                </c:pt>
                <c:pt idx="7">
                  <c:v>Radiology</c:v>
                </c:pt>
              </c:strCache>
            </c:strRef>
          </c:cat>
          <c:val>
            <c:numRef>
              <c:f>'PIVOT TABLE WORK SHEET'!$C$9:$C$17</c:f>
              <c:numCache>
                <c:formatCode>0_);[Red]\(0\)</c:formatCode>
                <c:ptCount val="8"/>
                <c:pt idx="0">
                  <c:v>82.218045112781951</c:v>
                </c:pt>
                <c:pt idx="1">
                  <c:v>108.59663865546219</c:v>
                </c:pt>
                <c:pt idx="2">
                  <c:v>92.865671641791039</c:v>
                </c:pt>
                <c:pt idx="3">
                  <c:v>88.15625</c:v>
                </c:pt>
                <c:pt idx="4">
                  <c:v>78.272727272727266</c:v>
                </c:pt>
                <c:pt idx="5">
                  <c:v>75.729508196721312</c:v>
                </c:pt>
                <c:pt idx="6">
                  <c:v>57.356589147286819</c:v>
                </c:pt>
                <c:pt idx="7">
                  <c:v>45.055999999999997</c:v>
                </c:pt>
              </c:numCache>
            </c:numRef>
          </c:val>
          <c:extLst>
            <c:ext xmlns:c16="http://schemas.microsoft.com/office/drawing/2014/chart" uri="{C3380CC4-5D6E-409C-BE32-E72D297353CC}">
              <c16:uniqueId val="{00000015-9A59-4DE1-83FD-5D8C9A585B9D}"/>
            </c:ext>
          </c:extLst>
        </c:ser>
        <c:dLbls>
          <c:showLegendKey val="0"/>
          <c:showVal val="1"/>
          <c:showCatName val="0"/>
          <c:showSerName val="0"/>
          <c:showPercent val="0"/>
          <c:showBubbleSize val="0"/>
        </c:dLbls>
        <c:gapWidth val="150"/>
        <c:shape val="box"/>
        <c:axId val="1979296816"/>
        <c:axId val="1979308816"/>
        <c:axId val="1971646272"/>
      </c:bar3DChart>
      <c:catAx>
        <c:axId val="1979296816"/>
        <c:scaling>
          <c:orientation val="minMax"/>
        </c:scaling>
        <c:delete val="0"/>
        <c:axPos val="b"/>
        <c:numFmt formatCode="General" sourceLinked="1"/>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308816"/>
        <c:crosses val="autoZero"/>
        <c:auto val="1"/>
        <c:lblAlgn val="ctr"/>
        <c:lblOffset val="100"/>
        <c:noMultiLvlLbl val="0"/>
      </c:catAx>
      <c:valAx>
        <c:axId val="1979308816"/>
        <c:scaling>
          <c:orientation val="minMax"/>
        </c:scaling>
        <c:delete val="1"/>
        <c:axPos val="l"/>
        <c:numFmt formatCode="0.00_);[Red]\(0.00\)" sourceLinked="1"/>
        <c:majorTickMark val="out"/>
        <c:minorTickMark val="none"/>
        <c:tickLblPos val="nextTo"/>
        <c:crossAx val="1979296816"/>
        <c:crosses val="autoZero"/>
        <c:crossBetween val="between"/>
      </c:valAx>
      <c:serAx>
        <c:axId val="1971646272"/>
        <c:scaling>
          <c:orientation val="minMax"/>
        </c:scaling>
        <c:delete val="1"/>
        <c:axPos val="b"/>
        <c:majorTickMark val="out"/>
        <c:minorTickMark val="none"/>
        <c:tickLblPos val="nextTo"/>
        <c:crossAx val="1979308816"/>
        <c:crosses val="autoZero"/>
      </c:serAx>
      <c:spPr>
        <a:noFill/>
        <a:ln>
          <a:noFill/>
        </a:ln>
        <a:effectLst/>
      </c:spPr>
    </c:plotArea>
    <c:legend>
      <c:legendPos val="r"/>
      <c:layout>
        <c:manualLayout>
          <c:xMode val="edge"/>
          <c:yMode val="edge"/>
          <c:x val="0.67023151139487258"/>
          <c:y val="0.34122809499112006"/>
          <c:w val="0.31586028276368094"/>
          <c:h val="0.110779386109670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[MediCare_Data_Excel sheets.xlsx]PIVOT TABLE WORK SHEET!PivotTable2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900" b="1"/>
              <a:t>Patient Satisfaction</a:t>
            </a:r>
            <a:r>
              <a:rPr lang="en-GB" sz="900" b="1" baseline="0"/>
              <a:t> Score</a:t>
            </a:r>
            <a:r>
              <a:rPr lang="en-GB" sz="900" b="1"/>
              <a:t> </a:t>
            </a:r>
            <a:r>
              <a:rPr lang="en-GB" sz="900" b="1" baseline="0"/>
              <a:t> </a:t>
            </a:r>
            <a:r>
              <a:rPr lang="en-GB" sz="9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sp3d/>
        </c:spPr>
      </c:pivotFmt>
      <c:pivotFmt>
        <c:idx val="3"/>
        <c:spPr>
          <a:solidFill>
            <a:schemeClr val="accent6"/>
          </a:solidFill>
          <a:ln>
            <a:noFill/>
          </a:ln>
          <a:effectLst/>
          <a:sp3d/>
        </c:spPr>
      </c:pivotFmt>
      <c:pivotFmt>
        <c:idx val="4"/>
        <c:spPr>
          <a:solidFill>
            <a:srgbClr val="FF0000"/>
          </a:solidFill>
          <a:ln>
            <a:noFill/>
          </a:ln>
          <a:effectLst/>
          <a:sp3d/>
        </c:spPr>
      </c:pivotFmt>
      <c:pivotFmt>
        <c:idx val="5"/>
        <c:spPr>
          <a:solidFill>
            <a:srgbClr val="FF0000"/>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pivotFmt>
      <c:pivotFmt>
        <c:idx val="8"/>
        <c:spPr>
          <a:solidFill>
            <a:srgbClr val="FF0000"/>
          </a:solidFill>
          <a:ln>
            <a:noFill/>
          </a:ln>
          <a:effectLst/>
          <a:sp3d/>
        </c:spPr>
      </c:pivotFmt>
      <c:pivotFmt>
        <c:idx val="9"/>
        <c:spPr>
          <a:solidFill>
            <a:srgbClr val="00B050"/>
          </a:solidFill>
          <a:ln>
            <a:noFill/>
          </a:ln>
          <a:effectLst/>
          <a:sp3d/>
        </c:spPr>
      </c:pivotFmt>
      <c:pivotFmt>
        <c:idx val="10"/>
        <c:spPr>
          <a:solidFill>
            <a:schemeClr val="accent6"/>
          </a:solidFill>
          <a:ln>
            <a:noFill/>
          </a:ln>
          <a:effectLst/>
          <a:sp3d/>
        </c:spPr>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60000"/>
              <a:lumOff val="40000"/>
            </a:schemeClr>
          </a:solidFill>
          <a:ln>
            <a:noFill/>
          </a:ln>
          <a:effectLst/>
          <a:sp3d/>
        </c:spPr>
      </c:pivotFmt>
      <c:pivotFmt>
        <c:idx val="14"/>
        <c:spPr>
          <a:solidFill>
            <a:schemeClr val="tx2">
              <a:lumMod val="60000"/>
              <a:lumOff val="40000"/>
            </a:schemeClr>
          </a:solidFill>
          <a:ln>
            <a:noFill/>
          </a:ln>
          <a:effectLst/>
          <a:sp3d/>
        </c:spPr>
      </c:pivotFmt>
      <c:pivotFmt>
        <c:idx val="15"/>
        <c:spPr>
          <a:solidFill>
            <a:schemeClr val="tx2">
              <a:lumMod val="60000"/>
              <a:lumOff val="40000"/>
            </a:schemeClr>
          </a:solidFill>
          <a:ln>
            <a:noFill/>
          </a:ln>
          <a:effectLst/>
          <a:sp3d/>
        </c:spPr>
      </c:pivotFmt>
      <c:pivotFmt>
        <c:idx val="16"/>
        <c:spPr>
          <a:solidFill>
            <a:schemeClr val="tx2">
              <a:lumMod val="60000"/>
              <a:lumOff val="40000"/>
            </a:schemeClr>
          </a:solidFill>
          <a:ln>
            <a:noFill/>
          </a:ln>
          <a:effectLst/>
          <a:sp3d/>
        </c:spPr>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60000"/>
              <a:lumOff val="40000"/>
            </a:schemeClr>
          </a:solidFill>
          <a:ln>
            <a:noFill/>
          </a:ln>
          <a:effectLst/>
          <a:sp3d/>
        </c:spPr>
      </c:pivotFmt>
      <c:pivotFmt>
        <c:idx val="20"/>
        <c:spPr>
          <a:solidFill>
            <a:schemeClr val="tx2">
              <a:lumMod val="60000"/>
              <a:lumOff val="40000"/>
            </a:schemeClr>
          </a:solidFill>
          <a:ln>
            <a:noFill/>
          </a:ln>
          <a:effectLst/>
          <a:sp3d/>
        </c:spPr>
      </c:pivotFmt>
      <c:pivotFmt>
        <c:idx val="21"/>
        <c:spPr>
          <a:solidFill>
            <a:schemeClr val="tx2">
              <a:lumMod val="60000"/>
              <a:lumOff val="40000"/>
            </a:schemeClr>
          </a:solidFill>
          <a:ln>
            <a:noFill/>
          </a:ln>
          <a:effectLst/>
          <a:sp3d/>
        </c:spPr>
      </c:pivotFmt>
      <c:pivotFmt>
        <c:idx val="22"/>
        <c:spPr>
          <a:solidFill>
            <a:schemeClr val="tx2">
              <a:lumMod val="60000"/>
              <a:lumOff val="40000"/>
            </a:schemeClr>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60000"/>
              <a:lumOff val="40000"/>
            </a:schemeClr>
          </a:solidFill>
          <a:ln>
            <a:noFill/>
          </a:ln>
          <a:effectLst/>
          <a:sp3d/>
        </c:spPr>
      </c:pivotFmt>
      <c:pivotFmt>
        <c:idx val="26"/>
        <c:spPr>
          <a:solidFill>
            <a:schemeClr val="tx2">
              <a:lumMod val="60000"/>
              <a:lumOff val="40000"/>
            </a:schemeClr>
          </a:solidFill>
          <a:ln>
            <a:noFill/>
          </a:ln>
          <a:effectLst/>
          <a:sp3d/>
        </c:spPr>
      </c:pivotFmt>
      <c:pivotFmt>
        <c:idx val="27"/>
        <c:spPr>
          <a:solidFill>
            <a:schemeClr val="tx2">
              <a:lumMod val="60000"/>
              <a:lumOff val="40000"/>
            </a:schemeClr>
          </a:solidFill>
          <a:ln>
            <a:noFill/>
          </a:ln>
          <a:effectLst/>
          <a:sp3d/>
        </c:spPr>
      </c:pivotFmt>
      <c:pivotFmt>
        <c:idx val="28"/>
        <c:spPr>
          <a:solidFill>
            <a:schemeClr val="tx2">
              <a:lumMod val="60000"/>
              <a:lumOff val="40000"/>
            </a:schemeClr>
          </a:solidFill>
          <a:ln>
            <a:noFill/>
          </a:ln>
          <a:effectLst/>
          <a:sp3d/>
        </c:spPr>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60000"/>
              <a:lumOff val="40000"/>
            </a:schemeClr>
          </a:solidFill>
          <a:ln>
            <a:noFill/>
          </a:ln>
          <a:effectLst/>
          <a:sp3d/>
        </c:spPr>
      </c:pivotFmt>
      <c:pivotFmt>
        <c:idx val="32"/>
        <c:spPr>
          <a:solidFill>
            <a:schemeClr val="tx2">
              <a:lumMod val="60000"/>
              <a:lumOff val="40000"/>
            </a:schemeClr>
          </a:solidFill>
          <a:ln>
            <a:noFill/>
          </a:ln>
          <a:effectLst/>
          <a:sp3d/>
        </c:spPr>
      </c:pivotFmt>
      <c:pivotFmt>
        <c:idx val="33"/>
        <c:spPr>
          <a:solidFill>
            <a:schemeClr val="tx2">
              <a:lumMod val="60000"/>
              <a:lumOff val="40000"/>
            </a:schemeClr>
          </a:solidFill>
          <a:ln>
            <a:noFill/>
          </a:ln>
          <a:effectLst/>
          <a:sp3d/>
        </c:spPr>
      </c:pivotFmt>
      <c:pivotFmt>
        <c:idx val="34"/>
        <c:spPr>
          <a:solidFill>
            <a:schemeClr val="tx2">
              <a:lumMod val="60000"/>
              <a:lumOff val="40000"/>
            </a:schemeClr>
          </a:solidFill>
          <a:ln>
            <a:noFill/>
          </a:ln>
          <a:effectLst/>
          <a:sp3d/>
        </c:spPr>
      </c:pivotFmt>
      <c:pivotFmt>
        <c:idx val="35"/>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2">
              <a:lumMod val="60000"/>
              <a:lumOff val="40000"/>
            </a:schemeClr>
          </a:solidFill>
          <a:ln>
            <a:noFill/>
          </a:ln>
          <a:effectLst/>
          <a:sp3d/>
        </c:spPr>
      </c:pivotFmt>
      <c:pivotFmt>
        <c:idx val="37"/>
        <c:spPr>
          <a:solidFill>
            <a:schemeClr val="tx2">
              <a:lumMod val="60000"/>
              <a:lumOff val="40000"/>
            </a:schemeClr>
          </a:solidFill>
          <a:ln>
            <a:noFill/>
          </a:ln>
          <a:effectLst/>
          <a:sp3d/>
        </c:spPr>
      </c:pivotFmt>
      <c:pivotFmt>
        <c:idx val="38"/>
        <c:spPr>
          <a:solidFill>
            <a:schemeClr val="tx2">
              <a:lumMod val="60000"/>
              <a:lumOff val="40000"/>
            </a:schemeClr>
          </a:solidFill>
          <a:ln>
            <a:noFill/>
          </a:ln>
          <a:effectLst/>
          <a:sp3d/>
        </c:spPr>
      </c:pivotFmt>
      <c:pivotFmt>
        <c:idx val="39"/>
        <c:spPr>
          <a:solidFill>
            <a:schemeClr val="tx2">
              <a:lumMod val="60000"/>
              <a:lumOff val="40000"/>
            </a:schemeClr>
          </a:solidFill>
          <a:ln>
            <a:noFill/>
          </a:ln>
          <a:effectLst/>
          <a:sp3d/>
        </c:spPr>
      </c:pivotFmt>
      <c:pivotFmt>
        <c:idx val="40"/>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tx2">
              <a:lumMod val="60000"/>
              <a:lumOff val="40000"/>
            </a:schemeClr>
          </a:solidFill>
          <a:ln>
            <a:noFill/>
          </a:ln>
          <a:effectLst/>
          <a:sp3d/>
        </c:spPr>
      </c:pivotFmt>
      <c:pivotFmt>
        <c:idx val="42"/>
        <c:spPr>
          <a:solidFill>
            <a:schemeClr val="tx2">
              <a:lumMod val="60000"/>
              <a:lumOff val="40000"/>
            </a:schemeClr>
          </a:solidFill>
          <a:ln>
            <a:noFill/>
          </a:ln>
          <a:effectLst/>
          <a:sp3d/>
        </c:spPr>
      </c:pivotFmt>
      <c:pivotFmt>
        <c:idx val="43"/>
        <c:spPr>
          <a:solidFill>
            <a:schemeClr val="tx2">
              <a:lumMod val="60000"/>
              <a:lumOff val="40000"/>
            </a:schemeClr>
          </a:solidFill>
          <a:ln>
            <a:noFill/>
          </a:ln>
          <a:effectLst/>
          <a:sp3d/>
        </c:spPr>
      </c:pivotFmt>
      <c:pivotFmt>
        <c:idx val="44"/>
        <c:spPr>
          <a:solidFill>
            <a:schemeClr val="tx2">
              <a:lumMod val="60000"/>
              <a:lumOff val="40000"/>
            </a:schemeClr>
          </a:solidFill>
          <a:ln>
            <a:noFill/>
          </a:ln>
          <a:effectLst/>
          <a:sp3d/>
        </c:spPr>
      </c:pivotFmt>
      <c:pivotFmt>
        <c:idx val="45"/>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tx2">
              <a:lumMod val="60000"/>
              <a:lumOff val="40000"/>
            </a:schemeClr>
          </a:solidFill>
          <a:ln>
            <a:noFill/>
          </a:ln>
          <a:effectLst/>
          <a:sp3d/>
        </c:spPr>
      </c:pivotFmt>
      <c:pivotFmt>
        <c:idx val="47"/>
        <c:spPr>
          <a:solidFill>
            <a:schemeClr val="tx2">
              <a:lumMod val="60000"/>
              <a:lumOff val="40000"/>
            </a:schemeClr>
          </a:solidFill>
          <a:ln>
            <a:noFill/>
          </a:ln>
          <a:effectLst/>
          <a:sp3d/>
        </c:spPr>
      </c:pivotFmt>
      <c:pivotFmt>
        <c:idx val="48"/>
        <c:spPr>
          <a:solidFill>
            <a:schemeClr val="tx2">
              <a:lumMod val="60000"/>
              <a:lumOff val="40000"/>
            </a:schemeClr>
          </a:solidFill>
          <a:ln>
            <a:noFill/>
          </a:ln>
          <a:effectLst/>
          <a:sp3d/>
        </c:spPr>
      </c:pivotFmt>
      <c:pivotFmt>
        <c:idx val="49"/>
        <c:spPr>
          <a:solidFill>
            <a:schemeClr val="tx2">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solidFill>
            <a:schemeClr val="tx2">
              <a:lumMod val="60000"/>
              <a:lumOff val="40000"/>
            </a:schemeClr>
          </a:solidFill>
        </a:ln>
        <a:effectLst/>
        <a:sp3d>
          <a:contourClr>
            <a:schemeClr val="tx2">
              <a:lumMod val="60000"/>
              <a:lumOff val="40000"/>
            </a:schemeClr>
          </a:contourClr>
        </a:sp3d>
      </c:spPr>
    </c:sideWall>
    <c:backWall>
      <c:thickness val="0"/>
      <c:spPr>
        <a:noFill/>
        <a:ln>
          <a:solidFill>
            <a:schemeClr val="tx2">
              <a:lumMod val="60000"/>
              <a:lumOff val="40000"/>
            </a:schemeClr>
          </a:solidFill>
        </a:ln>
        <a:effectLst/>
        <a:sp3d>
          <a:contourClr>
            <a:schemeClr val="tx2">
              <a:lumMod val="60000"/>
              <a:lumOff val="40000"/>
            </a:schemeClr>
          </a:contourClr>
        </a:sp3d>
      </c:spPr>
    </c:backWall>
    <c:plotArea>
      <c:layout>
        <c:manualLayout>
          <c:layoutTarget val="inner"/>
          <c:xMode val="edge"/>
          <c:yMode val="edge"/>
          <c:x val="0.20473425196850395"/>
          <c:y val="0.18097222222222226"/>
          <c:w val="0.44957239720034997"/>
          <c:h val="0.72088764946048411"/>
        </c:manualLayout>
      </c:layout>
      <c:bar3DChart>
        <c:barDir val="bar"/>
        <c:grouping val="clustered"/>
        <c:varyColors val="0"/>
        <c:ser>
          <c:idx val="0"/>
          <c:order val="0"/>
          <c:tx>
            <c:strRef>
              <c:f>'PIVOT TABLE WORK SHEET'!$B$22</c:f>
              <c:strCache>
                <c:ptCount val="1"/>
                <c:pt idx="0">
                  <c:v>Total</c:v>
                </c:pt>
              </c:strCache>
            </c:strRef>
          </c:tx>
          <c:spPr>
            <a:solidFill>
              <a:schemeClr val="tx2">
                <a:lumMod val="60000"/>
                <a:lumOff val="40000"/>
              </a:schemeClr>
            </a:solidFill>
            <a:ln>
              <a:noFill/>
            </a:ln>
            <a:effectLst/>
            <a:sp3d/>
          </c:spPr>
          <c:invertIfNegative val="0"/>
          <c:dPt>
            <c:idx val="1"/>
            <c:invertIfNegative val="0"/>
            <c:bubble3D val="0"/>
            <c:spPr>
              <a:solidFill>
                <a:schemeClr val="tx2">
                  <a:lumMod val="60000"/>
                  <a:lumOff val="40000"/>
                </a:schemeClr>
              </a:solidFill>
              <a:ln>
                <a:noFill/>
              </a:ln>
              <a:effectLst/>
              <a:sp3d/>
            </c:spPr>
            <c:extLst>
              <c:ext xmlns:c16="http://schemas.microsoft.com/office/drawing/2014/chart" uri="{C3380CC4-5D6E-409C-BE32-E72D297353CC}">
                <c16:uniqueId val="{00000001-C2D2-49A8-BDD3-64915FF18578}"/>
              </c:ext>
            </c:extLst>
          </c:dPt>
          <c:dPt>
            <c:idx val="2"/>
            <c:invertIfNegative val="0"/>
            <c:bubble3D val="0"/>
            <c:spPr>
              <a:solidFill>
                <a:schemeClr val="tx2">
                  <a:lumMod val="60000"/>
                  <a:lumOff val="40000"/>
                </a:schemeClr>
              </a:solidFill>
              <a:ln>
                <a:noFill/>
              </a:ln>
              <a:effectLst/>
              <a:sp3d/>
            </c:spPr>
            <c:extLst>
              <c:ext xmlns:c16="http://schemas.microsoft.com/office/drawing/2014/chart" uri="{C3380CC4-5D6E-409C-BE32-E72D297353CC}">
                <c16:uniqueId val="{00000003-C2D2-49A8-BDD3-64915FF18578}"/>
              </c:ext>
            </c:extLst>
          </c:dPt>
          <c:dPt>
            <c:idx val="6"/>
            <c:invertIfNegative val="0"/>
            <c:bubble3D val="0"/>
            <c:spPr>
              <a:solidFill>
                <a:schemeClr val="tx2">
                  <a:lumMod val="60000"/>
                  <a:lumOff val="40000"/>
                </a:schemeClr>
              </a:solidFill>
              <a:ln>
                <a:noFill/>
              </a:ln>
              <a:effectLst/>
              <a:sp3d/>
            </c:spPr>
            <c:extLst>
              <c:ext xmlns:c16="http://schemas.microsoft.com/office/drawing/2014/chart" uri="{C3380CC4-5D6E-409C-BE32-E72D297353CC}">
                <c16:uniqueId val="{00000005-C2D2-49A8-BDD3-64915FF18578}"/>
              </c:ext>
            </c:extLst>
          </c:dPt>
          <c:dPt>
            <c:idx val="7"/>
            <c:invertIfNegative val="0"/>
            <c:bubble3D val="0"/>
            <c:spPr>
              <a:solidFill>
                <a:schemeClr val="tx2">
                  <a:lumMod val="60000"/>
                  <a:lumOff val="40000"/>
                </a:schemeClr>
              </a:solidFill>
              <a:ln>
                <a:noFill/>
              </a:ln>
              <a:effectLst/>
              <a:sp3d/>
            </c:spPr>
            <c:extLst>
              <c:ext xmlns:c16="http://schemas.microsoft.com/office/drawing/2014/chart" uri="{C3380CC4-5D6E-409C-BE32-E72D297353CC}">
                <c16:uniqueId val="{00000007-C2D2-49A8-BDD3-64915FF185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WORK SHEET'!$A$23:$A$31</c:f>
              <c:strCache>
                <c:ptCount val="8"/>
                <c:pt idx="0">
                  <c:v>Cardiology</c:v>
                </c:pt>
                <c:pt idx="1">
                  <c:v>Emergency</c:v>
                </c:pt>
                <c:pt idx="2">
                  <c:v>General Surgery</c:v>
                </c:pt>
                <c:pt idx="3">
                  <c:v>Neurology</c:v>
                </c:pt>
                <c:pt idx="4">
                  <c:v>Oncology</c:v>
                </c:pt>
                <c:pt idx="5">
                  <c:v>Orthopedics</c:v>
                </c:pt>
                <c:pt idx="6">
                  <c:v>Pediatrics</c:v>
                </c:pt>
                <c:pt idx="7">
                  <c:v>Radiology</c:v>
                </c:pt>
              </c:strCache>
            </c:strRef>
          </c:cat>
          <c:val>
            <c:numRef>
              <c:f>'PIVOT TABLE WORK SHEET'!$B$23:$B$31</c:f>
              <c:numCache>
                <c:formatCode>0_);[Red]\(0\)</c:formatCode>
                <c:ptCount val="8"/>
                <c:pt idx="0">
                  <c:v>76.751879699248121</c:v>
                </c:pt>
                <c:pt idx="1">
                  <c:v>71.798319327731093</c:v>
                </c:pt>
                <c:pt idx="2">
                  <c:v>74.925373134328353</c:v>
                </c:pt>
                <c:pt idx="3">
                  <c:v>76.859375</c:v>
                </c:pt>
                <c:pt idx="4">
                  <c:v>79.318181818181813</c:v>
                </c:pt>
                <c:pt idx="5">
                  <c:v>79.188524590163937</c:v>
                </c:pt>
                <c:pt idx="6">
                  <c:v>84.038759689922486</c:v>
                </c:pt>
                <c:pt idx="7">
                  <c:v>86.736000000000004</c:v>
                </c:pt>
              </c:numCache>
            </c:numRef>
          </c:val>
          <c:extLst>
            <c:ext xmlns:c16="http://schemas.microsoft.com/office/drawing/2014/chart" uri="{C3380CC4-5D6E-409C-BE32-E72D297353CC}">
              <c16:uniqueId val="{00000008-C2D2-49A8-BDD3-64915FF18578}"/>
            </c:ext>
          </c:extLst>
        </c:ser>
        <c:dLbls>
          <c:showLegendKey val="0"/>
          <c:showVal val="1"/>
          <c:showCatName val="0"/>
          <c:showSerName val="0"/>
          <c:showPercent val="0"/>
          <c:showBubbleSize val="0"/>
        </c:dLbls>
        <c:gapWidth val="150"/>
        <c:shape val="box"/>
        <c:axId val="1380102719"/>
        <c:axId val="1380104639"/>
        <c:axId val="0"/>
      </c:bar3DChart>
      <c:catAx>
        <c:axId val="1380102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104639"/>
        <c:crosses val="autoZero"/>
        <c:auto val="1"/>
        <c:lblAlgn val="ctr"/>
        <c:lblOffset val="100"/>
        <c:noMultiLvlLbl val="0"/>
      </c:catAx>
      <c:valAx>
        <c:axId val="1380104639"/>
        <c:scaling>
          <c:orientation val="minMax"/>
        </c:scaling>
        <c:delete val="0"/>
        <c:axPos val="b"/>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1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[MediCare_Data_Excel sheets.xlsx]PIVOT TABLE WORK SHEET!PivotTable14</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900"/>
              <a:t>Average Readmission Rate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267618807552493"/>
          <c:y val="0.13672548317823907"/>
          <c:w val="0.53187375608957577"/>
          <c:h val="0.80660835455150837"/>
        </c:manualLayout>
      </c:layout>
      <c:pieChart>
        <c:varyColors val="1"/>
        <c:ser>
          <c:idx val="0"/>
          <c:order val="0"/>
          <c:tx>
            <c:strRef>
              <c:f>'PIVOT TABLE WORK SHEET'!$G$31</c:f>
              <c:strCache>
                <c:ptCount val="1"/>
                <c:pt idx="0">
                  <c:v>Average of Readmission Rate (%)</c:v>
                </c:pt>
              </c:strCache>
            </c:strRef>
          </c:tx>
          <c:dPt>
            <c:idx val="0"/>
            <c:bubble3D val="0"/>
            <c:explosion val="1"/>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62D-4AAF-A190-0394B5E0EA0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62D-4AAF-A190-0394B5E0EA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WORK SHEET'!$F$32:$F$34</c:f>
              <c:strCache>
                <c:ptCount val="2"/>
                <c:pt idx="0">
                  <c:v>Adult</c:v>
                </c:pt>
                <c:pt idx="1">
                  <c:v>Pediatric</c:v>
                </c:pt>
              </c:strCache>
            </c:strRef>
          </c:cat>
          <c:val>
            <c:numRef>
              <c:f>'PIVOT TABLE WORK SHEET'!$G$32:$G$34</c:f>
              <c:numCache>
                <c:formatCode>0.00_);[Red]\(0.00\)</c:formatCode>
                <c:ptCount val="2"/>
                <c:pt idx="0">
                  <c:v>14.144166666666656</c:v>
                </c:pt>
                <c:pt idx="1">
                  <c:v>10.276818181818188</c:v>
                </c:pt>
              </c:numCache>
            </c:numRef>
          </c:val>
          <c:extLst>
            <c:ext xmlns:c16="http://schemas.microsoft.com/office/drawing/2014/chart" uri="{C3380CC4-5D6E-409C-BE32-E72D297353CC}">
              <c16:uniqueId val="{00000004-662D-4AAF-A190-0394B5E0EA0C}"/>
            </c:ext>
          </c:extLst>
        </c:ser>
        <c:ser>
          <c:idx val="1"/>
          <c:order val="1"/>
          <c:tx>
            <c:strRef>
              <c:f>'PIVOT TABLE WORK SHEET'!$H$31</c:f>
              <c:strCache>
                <c:ptCount val="1"/>
                <c:pt idx="0">
                  <c:v>Average of Wait Time (mins)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662D-4AAF-A190-0394B5E0EA0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662D-4AAF-A190-0394B5E0EA0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WORK SHEET'!$F$32:$F$34</c:f>
              <c:strCache>
                <c:ptCount val="2"/>
                <c:pt idx="0">
                  <c:v>Adult</c:v>
                </c:pt>
                <c:pt idx="1">
                  <c:v>Pediatric</c:v>
                </c:pt>
              </c:strCache>
            </c:strRef>
          </c:cat>
          <c:val>
            <c:numRef>
              <c:f>'PIVOT TABLE WORK SHEET'!$H$32:$H$34</c:f>
              <c:numCache>
                <c:formatCode>0_);[Red]\(0\)</c:formatCode>
                <c:ptCount val="2"/>
                <c:pt idx="0">
                  <c:v>81.557692307692307</c:v>
                </c:pt>
                <c:pt idx="1">
                  <c:v>67.50454545454545</c:v>
                </c:pt>
              </c:numCache>
            </c:numRef>
          </c:val>
          <c:extLst>
            <c:ext xmlns:c16="http://schemas.microsoft.com/office/drawing/2014/chart" uri="{C3380CC4-5D6E-409C-BE32-E72D297353CC}">
              <c16:uniqueId val="{00000009-662D-4AAF-A190-0394B5E0EA0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[MediCare_Data_Excel sheets.xlsx]PIVOT TABLE WORK SHEET!PivotTable4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Revenue</a:t>
            </a:r>
            <a:r>
              <a:rPr lang="en-US" sz="900" b="1" baseline="0"/>
              <a:t> by Departments ($)</a:t>
            </a:r>
            <a:endParaRPr lang="en-US" sz="900" b="1"/>
          </a:p>
        </c:rich>
      </c:tx>
      <c:layout>
        <c:manualLayout>
          <c:xMode val="edge"/>
          <c:yMode val="edge"/>
          <c:x val="0.2659304461942257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layout>
            <c:manualLayout>
              <c:x val="5.1167925292631367E-2"/>
              <c:y val="1.6601467171262729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969714595055501"/>
                  <c:h val="5.8971731685759449E-2"/>
                </c:manualLayout>
              </c15:layout>
            </c:ext>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dLbl>
          <c:idx val="0"/>
          <c:layout>
            <c:manualLayout>
              <c:x val="5.1167925292631367E-2"/>
              <c:y val="1.6601467171262729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969714595055501"/>
                  <c:h val="5.8971731685759449E-2"/>
                </c:manualLayout>
              </c15:layout>
            </c:ext>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dLbl>
          <c:idx val="0"/>
          <c:layout>
            <c:manualLayout>
              <c:x val="5.1167925292631367E-2"/>
              <c:y val="1.6601467171262729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969714595055501"/>
                  <c:h val="5.8971731685759449E-2"/>
                </c:manualLayout>
              </c15:layout>
            </c:ext>
          </c:extLst>
        </c:dLbl>
      </c:pivotFmt>
    </c:pivotFmts>
    <c:plotArea>
      <c:layout>
        <c:manualLayout>
          <c:layoutTarget val="inner"/>
          <c:xMode val="edge"/>
          <c:yMode val="edge"/>
          <c:x val="0.18271128608923884"/>
          <c:y val="0.23045931758530183"/>
          <c:w val="0.40612817147856523"/>
          <c:h val="0.67688028579760873"/>
        </c:manualLayout>
      </c:layout>
      <c:barChart>
        <c:barDir val="col"/>
        <c:grouping val="clustered"/>
        <c:varyColors val="0"/>
        <c:ser>
          <c:idx val="0"/>
          <c:order val="0"/>
          <c:tx>
            <c:strRef>
              <c:f>'PIVOT TABLE WORK SHEET'!$B$36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837C-451B-B796-825322E8DD45}"/>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837C-451B-B796-825322E8DD45}"/>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837C-451B-B796-825322E8DD45}"/>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837C-451B-B796-825322E8DD45}"/>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837C-451B-B796-825322E8DD45}"/>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837C-451B-B796-825322E8DD45}"/>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837C-451B-B796-825322E8DD45}"/>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837C-451B-B796-825322E8DD45}"/>
              </c:ext>
            </c:extLst>
          </c:dPt>
          <c:dLbls>
            <c:dLbl>
              <c:idx val="7"/>
              <c:layout>
                <c:manualLayout>
                  <c:x val="5.1167925292631367E-2"/>
                  <c:y val="1.6601467171262729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0969714595055501"/>
                      <c:h val="5.8971731685759449E-2"/>
                    </c:manualLayout>
                  </c15:layout>
                </c:ext>
                <c:ext xmlns:c16="http://schemas.microsoft.com/office/drawing/2014/chart" uri="{C3380CC4-5D6E-409C-BE32-E72D297353CC}">
                  <c16:uniqueId val="{0000000F-837C-451B-B796-825322E8D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WORK SHEET'!$A$37:$A$45</c:f>
              <c:strCache>
                <c:ptCount val="8"/>
                <c:pt idx="0">
                  <c:v>Cardiology</c:v>
                </c:pt>
                <c:pt idx="1">
                  <c:v>Emergency</c:v>
                </c:pt>
                <c:pt idx="2">
                  <c:v>General Surgery</c:v>
                </c:pt>
                <c:pt idx="3">
                  <c:v>Neurology</c:v>
                </c:pt>
                <c:pt idx="4">
                  <c:v>Oncology</c:v>
                </c:pt>
                <c:pt idx="5">
                  <c:v>Orthopedics</c:v>
                </c:pt>
                <c:pt idx="6">
                  <c:v>Pediatrics</c:v>
                </c:pt>
                <c:pt idx="7">
                  <c:v>Radiology</c:v>
                </c:pt>
              </c:strCache>
            </c:strRef>
          </c:cat>
          <c:val>
            <c:numRef>
              <c:f>'PIVOT TABLE WORK SHEET'!$B$37:$B$45</c:f>
              <c:numCache>
                <c:formatCode>"£"#,##0_);[Red]\("£"#,##0\)</c:formatCode>
                <c:ptCount val="8"/>
                <c:pt idx="0">
                  <c:v>4129265</c:v>
                </c:pt>
                <c:pt idx="1">
                  <c:v>1767111</c:v>
                </c:pt>
                <c:pt idx="2">
                  <c:v>5071782</c:v>
                </c:pt>
                <c:pt idx="3">
                  <c:v>3490702</c:v>
                </c:pt>
                <c:pt idx="4">
                  <c:v>3549146</c:v>
                </c:pt>
                <c:pt idx="5">
                  <c:v>3055281</c:v>
                </c:pt>
                <c:pt idx="6">
                  <c:v>1616504</c:v>
                </c:pt>
                <c:pt idx="7">
                  <c:v>1276426</c:v>
                </c:pt>
              </c:numCache>
            </c:numRef>
          </c:val>
          <c:extLst>
            <c:ext xmlns:c16="http://schemas.microsoft.com/office/drawing/2014/chart" uri="{C3380CC4-5D6E-409C-BE32-E72D297353CC}">
              <c16:uniqueId val="{00000010-837C-451B-B796-825322E8DD45}"/>
            </c:ext>
          </c:extLst>
        </c:ser>
        <c:dLbls>
          <c:dLblPos val="outEnd"/>
          <c:showLegendKey val="0"/>
          <c:showVal val="1"/>
          <c:showCatName val="0"/>
          <c:showSerName val="0"/>
          <c:showPercent val="0"/>
          <c:showBubbleSize val="0"/>
        </c:dLbls>
        <c:gapWidth val="100"/>
        <c:axId val="102230191"/>
        <c:axId val="102227791"/>
      </c:barChart>
      <c:valAx>
        <c:axId val="102227791"/>
        <c:scaling>
          <c:orientation val="minMax"/>
        </c:scaling>
        <c:delete val="1"/>
        <c:axPos val="l"/>
        <c:numFmt formatCode="&quot;£&quot;#,##0_);[Red]\(&quot;£&quot;#,##0\)" sourceLinked="1"/>
        <c:majorTickMark val="out"/>
        <c:minorTickMark val="none"/>
        <c:tickLblPos val="nextTo"/>
        <c:crossAx val="102230191"/>
        <c:crosses val="autoZero"/>
        <c:crossBetween val="between"/>
      </c:valAx>
      <c:catAx>
        <c:axId val="102230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277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[MediCare_Data_Excel sheets.xlsx]PIVOT TABLE WORK SHEET!PivotTable13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Treatment cost vs Patients Satisfaction </a:t>
            </a:r>
          </a:p>
        </c:rich>
      </c:tx>
      <c:layout>
        <c:manualLayout>
          <c:xMode val="edge"/>
          <c:yMode val="edge"/>
          <c:x val="0.1774860017497812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 WORK SHEET'!$G$38</c:f>
              <c:strCache>
                <c:ptCount val="1"/>
                <c:pt idx="0">
                  <c:v>Average of Treatment Cost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WORK SHEET'!$F$39:$F$47</c:f>
              <c:strCache>
                <c:ptCount val="8"/>
                <c:pt idx="0">
                  <c:v>Cardiology</c:v>
                </c:pt>
                <c:pt idx="1">
                  <c:v>Emergency</c:v>
                </c:pt>
                <c:pt idx="2">
                  <c:v>General Surgery</c:v>
                </c:pt>
                <c:pt idx="3">
                  <c:v>Neurology</c:v>
                </c:pt>
                <c:pt idx="4">
                  <c:v>Oncology</c:v>
                </c:pt>
                <c:pt idx="5">
                  <c:v>Orthopedics</c:v>
                </c:pt>
                <c:pt idx="6">
                  <c:v>Pediatrics</c:v>
                </c:pt>
                <c:pt idx="7">
                  <c:v>Radiology</c:v>
                </c:pt>
              </c:strCache>
            </c:strRef>
          </c:cat>
          <c:val>
            <c:numRef>
              <c:f>'PIVOT TABLE WORK SHEET'!$G$39:$G$47</c:f>
              <c:numCache>
                <c:formatCode>#,##0;[Red]#,##0</c:formatCode>
                <c:ptCount val="8"/>
                <c:pt idx="0">
                  <c:v>7154.4210526315792</c:v>
                </c:pt>
                <c:pt idx="1">
                  <c:v>3531.1260504201682</c:v>
                </c:pt>
                <c:pt idx="2">
                  <c:v>9032.4701492537315</c:v>
                </c:pt>
                <c:pt idx="3">
                  <c:v>6468.28125</c:v>
                </c:pt>
                <c:pt idx="4">
                  <c:v>7779.8090909090906</c:v>
                </c:pt>
                <c:pt idx="5">
                  <c:v>5930</c:v>
                </c:pt>
                <c:pt idx="6">
                  <c:v>3036.0232558139537</c:v>
                </c:pt>
                <c:pt idx="7">
                  <c:v>2475.8960000000002</c:v>
                </c:pt>
              </c:numCache>
            </c:numRef>
          </c:val>
          <c:extLst>
            <c:ext xmlns:c16="http://schemas.microsoft.com/office/drawing/2014/chart" uri="{C3380CC4-5D6E-409C-BE32-E72D297353CC}">
              <c16:uniqueId val="{00000000-8B7A-4EA2-992B-33D4DA44DE6D}"/>
            </c:ext>
          </c:extLst>
        </c:ser>
        <c:ser>
          <c:idx val="1"/>
          <c:order val="1"/>
          <c:tx>
            <c:strRef>
              <c:f>'PIVOT TABLE WORK SHEET'!$H$38</c:f>
              <c:strCache>
                <c:ptCount val="1"/>
                <c:pt idx="0">
                  <c:v>Average of Patient Satisfaction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WORK SHEET'!$F$39:$F$47</c:f>
              <c:strCache>
                <c:ptCount val="8"/>
                <c:pt idx="0">
                  <c:v>Cardiology</c:v>
                </c:pt>
                <c:pt idx="1">
                  <c:v>Emergency</c:v>
                </c:pt>
                <c:pt idx="2">
                  <c:v>General Surgery</c:v>
                </c:pt>
                <c:pt idx="3">
                  <c:v>Neurology</c:v>
                </c:pt>
                <c:pt idx="4">
                  <c:v>Oncology</c:v>
                </c:pt>
                <c:pt idx="5">
                  <c:v>Orthopedics</c:v>
                </c:pt>
                <c:pt idx="6">
                  <c:v>Pediatrics</c:v>
                </c:pt>
                <c:pt idx="7">
                  <c:v>Radiology</c:v>
                </c:pt>
              </c:strCache>
            </c:strRef>
          </c:cat>
          <c:val>
            <c:numRef>
              <c:f>'PIVOT TABLE WORK SHEET'!$H$39:$H$47</c:f>
              <c:numCache>
                <c:formatCode>0_);[Red]\(0\)</c:formatCode>
                <c:ptCount val="8"/>
                <c:pt idx="0">
                  <c:v>76.751879699248121</c:v>
                </c:pt>
                <c:pt idx="1">
                  <c:v>71.798319327731093</c:v>
                </c:pt>
                <c:pt idx="2">
                  <c:v>74.925373134328353</c:v>
                </c:pt>
                <c:pt idx="3">
                  <c:v>76.859375</c:v>
                </c:pt>
                <c:pt idx="4">
                  <c:v>79.318181818181813</c:v>
                </c:pt>
                <c:pt idx="5">
                  <c:v>79.188524590163937</c:v>
                </c:pt>
                <c:pt idx="6">
                  <c:v>84.038759689922486</c:v>
                </c:pt>
                <c:pt idx="7">
                  <c:v>86.736000000000004</c:v>
                </c:pt>
              </c:numCache>
            </c:numRef>
          </c:val>
          <c:extLst>
            <c:ext xmlns:c16="http://schemas.microsoft.com/office/drawing/2014/chart" uri="{C3380CC4-5D6E-409C-BE32-E72D297353CC}">
              <c16:uniqueId val="{00000001-8B7A-4EA2-992B-33D4DA44DE6D}"/>
            </c:ext>
          </c:extLst>
        </c:ser>
        <c:dLbls>
          <c:dLblPos val="ctr"/>
          <c:showLegendKey val="0"/>
          <c:showVal val="1"/>
          <c:showCatName val="0"/>
          <c:showSerName val="0"/>
          <c:showPercent val="0"/>
          <c:showBubbleSize val="0"/>
        </c:dLbls>
        <c:gapWidth val="150"/>
        <c:overlap val="100"/>
        <c:axId val="513779312"/>
        <c:axId val="513777872"/>
      </c:barChart>
      <c:catAx>
        <c:axId val="51377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777872"/>
        <c:crosses val="autoZero"/>
        <c:auto val="1"/>
        <c:lblAlgn val="ctr"/>
        <c:lblOffset val="100"/>
        <c:noMultiLvlLbl val="0"/>
      </c:catAx>
      <c:valAx>
        <c:axId val="513777872"/>
        <c:scaling>
          <c:orientation val="minMax"/>
        </c:scaling>
        <c:delete val="1"/>
        <c:axPos val="b"/>
        <c:numFmt formatCode="0%" sourceLinked="1"/>
        <c:majorTickMark val="none"/>
        <c:minorTickMark val="none"/>
        <c:tickLblPos val="nextTo"/>
        <c:crossAx val="5137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[MediCare_Data_Excel sheets.xlsx]PIVOT TABLE WORK SHEET!PivotTable3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Doctors</a:t>
            </a:r>
            <a:r>
              <a:rPr lang="en-US" sz="900" b="1" baseline="0"/>
              <a:t> Performance per Department</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WORK SHEET'!$G$8</c:f>
              <c:strCache>
                <c:ptCount val="1"/>
                <c:pt idx="0">
                  <c:v>Average of Wait Time (mins)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WORK SHEET'!$F$9:$F$14</c:f>
              <c:strCache>
                <c:ptCount val="5"/>
                <c:pt idx="0">
                  <c:v>Dr. Adams</c:v>
                </c:pt>
                <c:pt idx="1">
                  <c:v>Dr. Davis</c:v>
                </c:pt>
                <c:pt idx="2">
                  <c:v>Dr. Lara</c:v>
                </c:pt>
                <c:pt idx="3">
                  <c:v>Dr. Lawson</c:v>
                </c:pt>
                <c:pt idx="4">
                  <c:v>Dr. Wright</c:v>
                </c:pt>
              </c:strCache>
            </c:strRef>
          </c:cat>
          <c:val>
            <c:numRef>
              <c:f>'PIVOT TABLE WORK SHEET'!$G$9:$G$14</c:f>
              <c:numCache>
                <c:formatCode>0_);[Red]\(0\)</c:formatCode>
                <c:ptCount val="5"/>
                <c:pt idx="0">
                  <c:v>84.391304347826093</c:v>
                </c:pt>
                <c:pt idx="1">
                  <c:v>88.7</c:v>
                </c:pt>
                <c:pt idx="2">
                  <c:v>90.064516129032256</c:v>
                </c:pt>
                <c:pt idx="3">
                  <c:v>90.521739130434781</c:v>
                </c:pt>
                <c:pt idx="4">
                  <c:v>86.935483870967744</c:v>
                </c:pt>
              </c:numCache>
            </c:numRef>
          </c:val>
          <c:extLst>
            <c:ext xmlns:c16="http://schemas.microsoft.com/office/drawing/2014/chart" uri="{C3380CC4-5D6E-409C-BE32-E72D297353CC}">
              <c16:uniqueId val="{00000000-9F97-4679-ACF3-E1FBA7E50D4C}"/>
            </c:ext>
          </c:extLst>
        </c:ser>
        <c:ser>
          <c:idx val="1"/>
          <c:order val="1"/>
          <c:tx>
            <c:strRef>
              <c:f>'PIVOT TABLE WORK SHEET'!$H$8</c:f>
              <c:strCache>
                <c:ptCount val="1"/>
                <c:pt idx="0">
                  <c:v>Average of Patient Satisfaction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WORK SHEET'!$F$9:$F$14</c:f>
              <c:strCache>
                <c:ptCount val="5"/>
                <c:pt idx="0">
                  <c:v>Dr. Adams</c:v>
                </c:pt>
                <c:pt idx="1">
                  <c:v>Dr. Davis</c:v>
                </c:pt>
                <c:pt idx="2">
                  <c:v>Dr. Lara</c:v>
                </c:pt>
                <c:pt idx="3">
                  <c:v>Dr. Lawson</c:v>
                </c:pt>
                <c:pt idx="4">
                  <c:v>Dr. Wright</c:v>
                </c:pt>
              </c:strCache>
            </c:strRef>
          </c:cat>
          <c:val>
            <c:numRef>
              <c:f>'PIVOT TABLE WORK SHEET'!$H$9:$H$14</c:f>
              <c:numCache>
                <c:formatCode>0_);[Red]\(0\)</c:formatCode>
                <c:ptCount val="5"/>
                <c:pt idx="0">
                  <c:v>76.478260869565219</c:v>
                </c:pt>
                <c:pt idx="1">
                  <c:v>75.849999999999994</c:v>
                </c:pt>
                <c:pt idx="2">
                  <c:v>77.483870967741936</c:v>
                </c:pt>
                <c:pt idx="3">
                  <c:v>77</c:v>
                </c:pt>
                <c:pt idx="4">
                  <c:v>77.064516129032256</c:v>
                </c:pt>
              </c:numCache>
            </c:numRef>
          </c:val>
          <c:extLst>
            <c:ext xmlns:c16="http://schemas.microsoft.com/office/drawing/2014/chart" uri="{C3380CC4-5D6E-409C-BE32-E72D297353CC}">
              <c16:uniqueId val="{00000001-9F97-4679-ACF3-E1FBA7E50D4C}"/>
            </c:ext>
          </c:extLst>
        </c:ser>
        <c:dLbls>
          <c:dLblPos val="outEnd"/>
          <c:showLegendKey val="0"/>
          <c:showVal val="1"/>
          <c:showCatName val="0"/>
          <c:showSerName val="0"/>
          <c:showPercent val="0"/>
          <c:showBubbleSize val="0"/>
        </c:dLbls>
        <c:gapWidth val="182"/>
        <c:axId val="1622922927"/>
        <c:axId val="1622923887"/>
      </c:barChart>
      <c:catAx>
        <c:axId val="162292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23887"/>
        <c:crosses val="autoZero"/>
        <c:auto val="1"/>
        <c:lblAlgn val="ctr"/>
        <c:lblOffset val="100"/>
        <c:noMultiLvlLbl val="0"/>
      </c:catAx>
      <c:valAx>
        <c:axId val="1622923887"/>
        <c:scaling>
          <c:orientation val="minMax"/>
        </c:scaling>
        <c:delete val="0"/>
        <c:axPos val="b"/>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2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29</xdr:row>
      <xdr:rowOff>127000</xdr:rowOff>
    </xdr:from>
    <xdr:to>
      <xdr:col>23</xdr:col>
      <xdr:colOff>584200</xdr:colOff>
      <xdr:row>66</xdr:row>
      <xdr:rowOff>165100</xdr:rowOff>
    </xdr:to>
    <xdr:sp macro="" textlink="">
      <xdr:nvSpPr>
        <xdr:cNvPr id="2" name="Rectangle 1">
          <a:extLst>
            <a:ext uri="{FF2B5EF4-FFF2-40B4-BE49-F238E27FC236}">
              <a16:creationId xmlns:a16="http://schemas.microsoft.com/office/drawing/2014/main" id="{046CD383-C444-59D7-8181-E1686D5C59D0}"/>
            </a:ext>
          </a:extLst>
        </xdr:cNvPr>
        <xdr:cNvSpPr/>
      </xdr:nvSpPr>
      <xdr:spPr>
        <a:xfrm>
          <a:off x="0" y="3860800"/>
          <a:ext cx="13995400" cy="6616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416560</xdr:colOff>
      <xdr:row>15</xdr:row>
      <xdr:rowOff>165100</xdr:rowOff>
    </xdr:from>
    <xdr:to>
      <xdr:col>6</xdr:col>
      <xdr:colOff>43180</xdr:colOff>
      <xdr:row>23</xdr:row>
      <xdr:rowOff>33020</xdr:rowOff>
    </xdr:to>
    <xdr:sp macro="" textlink="">
      <xdr:nvSpPr>
        <xdr:cNvPr id="3" name="Rectangle: Rounded Corners 2">
          <a:extLst>
            <a:ext uri="{FF2B5EF4-FFF2-40B4-BE49-F238E27FC236}">
              <a16:creationId xmlns:a16="http://schemas.microsoft.com/office/drawing/2014/main" id="{DF5E0850-BA78-7B9A-E848-BB35B0F77820}"/>
            </a:ext>
          </a:extLst>
        </xdr:cNvPr>
        <xdr:cNvSpPr/>
      </xdr:nvSpPr>
      <xdr:spPr>
        <a:xfrm>
          <a:off x="1026160" y="1409700"/>
          <a:ext cx="2065020" cy="1290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mn-lt"/>
              <a:ea typeface="+mn-ea"/>
              <a:cs typeface="+mn-cs"/>
            </a:rPr>
            <a:t>          PATIENT</a:t>
          </a:r>
          <a:r>
            <a:rPr lang="en-GB" sz="1100" b="1" baseline="0">
              <a:solidFill>
                <a:schemeClr val="lt1"/>
              </a:solidFill>
              <a:effectLst/>
              <a:latin typeface="+mn-lt"/>
              <a:ea typeface="+mn-ea"/>
              <a:cs typeface="+mn-cs"/>
            </a:rPr>
            <a:t> COUNT</a:t>
          </a:r>
          <a:endParaRPr lang="en-GB">
            <a:effectLst/>
          </a:endParaRPr>
        </a:p>
        <a:p>
          <a:pPr algn="ctr"/>
          <a:endParaRPr lang="en-GB" sz="1100"/>
        </a:p>
      </xdr:txBody>
    </xdr:sp>
    <xdr:clientData/>
  </xdr:twoCellAnchor>
  <xdr:twoCellAnchor>
    <xdr:from>
      <xdr:col>17</xdr:col>
      <xdr:colOff>304800</xdr:colOff>
      <xdr:row>16</xdr:row>
      <xdr:rowOff>22860</xdr:rowOff>
    </xdr:from>
    <xdr:to>
      <xdr:col>20</xdr:col>
      <xdr:colOff>541020</xdr:colOff>
      <xdr:row>23</xdr:row>
      <xdr:rowOff>68580</xdr:rowOff>
    </xdr:to>
    <xdr:sp macro="" textlink="">
      <xdr:nvSpPr>
        <xdr:cNvPr id="4" name="Rectangle: Rounded Corners 3">
          <a:extLst>
            <a:ext uri="{FF2B5EF4-FFF2-40B4-BE49-F238E27FC236}">
              <a16:creationId xmlns:a16="http://schemas.microsoft.com/office/drawing/2014/main" id="{F62C0320-ADAC-4F49-AFB6-86E3FD584ABA}"/>
            </a:ext>
          </a:extLst>
        </xdr:cNvPr>
        <xdr:cNvSpPr/>
      </xdr:nvSpPr>
      <xdr:spPr>
        <a:xfrm>
          <a:off x="10058400" y="388620"/>
          <a:ext cx="2065020" cy="1325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mn-lt"/>
              <a:ea typeface="+mn-ea"/>
              <a:cs typeface="+mn-cs"/>
            </a:rPr>
            <a:t>AVERAGE PATIENT SATISFACTION RATE</a:t>
          </a:r>
          <a:endParaRPr lang="en-GB">
            <a:effectLst/>
          </a:endParaRPr>
        </a:p>
        <a:p>
          <a:pPr algn="ctr"/>
          <a:endParaRPr lang="en-GB" sz="1100"/>
        </a:p>
      </xdr:txBody>
    </xdr:sp>
    <xdr:clientData/>
  </xdr:twoCellAnchor>
  <xdr:twoCellAnchor>
    <xdr:from>
      <xdr:col>6</xdr:col>
      <xdr:colOff>358140</xdr:colOff>
      <xdr:row>16</xdr:row>
      <xdr:rowOff>45720</xdr:rowOff>
    </xdr:from>
    <xdr:to>
      <xdr:col>9</xdr:col>
      <xdr:colOff>594360</xdr:colOff>
      <xdr:row>23</xdr:row>
      <xdr:rowOff>91440</xdr:rowOff>
    </xdr:to>
    <xdr:sp macro="" textlink="">
      <xdr:nvSpPr>
        <xdr:cNvPr id="5" name="Rectangle: Rounded Corners 4">
          <a:extLst>
            <a:ext uri="{FF2B5EF4-FFF2-40B4-BE49-F238E27FC236}">
              <a16:creationId xmlns:a16="http://schemas.microsoft.com/office/drawing/2014/main" id="{A7B2D929-4C00-4D18-AACA-F2990E80EEE4}"/>
            </a:ext>
          </a:extLst>
        </xdr:cNvPr>
        <xdr:cNvSpPr/>
      </xdr:nvSpPr>
      <xdr:spPr>
        <a:xfrm>
          <a:off x="3406140" y="411480"/>
          <a:ext cx="2065020" cy="1325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mn-lt"/>
              <a:ea typeface="+mn-ea"/>
              <a:cs typeface="+mn-cs"/>
            </a:rPr>
            <a:t>SUM TOTAL REVENUE GENERATED</a:t>
          </a:r>
          <a:endParaRPr lang="en-GB">
            <a:effectLst/>
          </a:endParaRPr>
        </a:p>
        <a:p>
          <a:pPr algn="ctr"/>
          <a:endParaRPr lang="en-GB" sz="1100"/>
        </a:p>
      </xdr:txBody>
    </xdr:sp>
    <xdr:clientData/>
  </xdr:twoCellAnchor>
  <xdr:twoCellAnchor>
    <xdr:from>
      <xdr:col>10</xdr:col>
      <xdr:colOff>114300</xdr:colOff>
      <xdr:row>16</xdr:row>
      <xdr:rowOff>15240</xdr:rowOff>
    </xdr:from>
    <xdr:to>
      <xdr:col>13</xdr:col>
      <xdr:colOff>350520</xdr:colOff>
      <xdr:row>23</xdr:row>
      <xdr:rowOff>60960</xdr:rowOff>
    </xdr:to>
    <xdr:sp macro="" textlink="">
      <xdr:nvSpPr>
        <xdr:cNvPr id="6" name="Rectangle: Rounded Corners 5">
          <a:extLst>
            <a:ext uri="{FF2B5EF4-FFF2-40B4-BE49-F238E27FC236}">
              <a16:creationId xmlns:a16="http://schemas.microsoft.com/office/drawing/2014/main" id="{6891DCB1-DF85-40B3-9778-C8AD3E99A87C}"/>
            </a:ext>
          </a:extLst>
        </xdr:cNvPr>
        <xdr:cNvSpPr/>
      </xdr:nvSpPr>
      <xdr:spPr>
        <a:xfrm>
          <a:off x="5600700" y="381000"/>
          <a:ext cx="2065020" cy="1325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mn-lt"/>
              <a:ea typeface="+mn-ea"/>
              <a:cs typeface="+mn-cs"/>
            </a:rPr>
            <a:t>AVERAGE READMISSION RATE (%)</a:t>
          </a:r>
          <a:endParaRPr lang="en-GB">
            <a:effectLst/>
          </a:endParaRPr>
        </a:p>
        <a:p>
          <a:pPr algn="ctr"/>
          <a:endParaRPr lang="en-GB" sz="1100"/>
        </a:p>
      </xdr:txBody>
    </xdr:sp>
    <xdr:clientData/>
  </xdr:twoCellAnchor>
  <xdr:twoCellAnchor>
    <xdr:from>
      <xdr:col>13</xdr:col>
      <xdr:colOff>525780</xdr:colOff>
      <xdr:row>15</xdr:row>
      <xdr:rowOff>167640</xdr:rowOff>
    </xdr:from>
    <xdr:to>
      <xdr:col>17</xdr:col>
      <xdr:colOff>152400</xdr:colOff>
      <xdr:row>23</xdr:row>
      <xdr:rowOff>35560</xdr:rowOff>
    </xdr:to>
    <xdr:sp macro="" textlink="">
      <xdr:nvSpPr>
        <xdr:cNvPr id="7" name="Rectangle: Rounded Corners 6">
          <a:extLst>
            <a:ext uri="{FF2B5EF4-FFF2-40B4-BE49-F238E27FC236}">
              <a16:creationId xmlns:a16="http://schemas.microsoft.com/office/drawing/2014/main" id="{E951D7F5-CC5E-4364-9A15-9827E0466050}"/>
            </a:ext>
          </a:extLst>
        </xdr:cNvPr>
        <xdr:cNvSpPr/>
      </xdr:nvSpPr>
      <xdr:spPr>
        <a:xfrm>
          <a:off x="7840980" y="2834640"/>
          <a:ext cx="2065020" cy="1290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mn-lt"/>
              <a:ea typeface="+mn-ea"/>
              <a:cs typeface="+mn-cs"/>
            </a:rPr>
            <a:t>AVERAGE PATIENT WAITING TIME (MIN)</a:t>
          </a:r>
          <a:endParaRPr lang="en-GB">
            <a:effectLst/>
          </a:endParaRPr>
        </a:p>
        <a:p>
          <a:pPr algn="ctr"/>
          <a:endParaRPr lang="en-GB" sz="1100"/>
        </a:p>
      </xdr:txBody>
    </xdr:sp>
    <xdr:clientData/>
  </xdr:twoCellAnchor>
  <xdr:twoCellAnchor>
    <xdr:from>
      <xdr:col>1</xdr:col>
      <xdr:colOff>63500</xdr:colOff>
      <xdr:row>24</xdr:row>
      <xdr:rowOff>165100</xdr:rowOff>
    </xdr:from>
    <xdr:to>
      <xdr:col>24</xdr:col>
      <xdr:colOff>0</xdr:colOff>
      <xdr:row>28</xdr:row>
      <xdr:rowOff>167640</xdr:rowOff>
    </xdr:to>
    <xdr:sp macro="" textlink="">
      <xdr:nvSpPr>
        <xdr:cNvPr id="8" name="Rectangle 7">
          <a:extLst>
            <a:ext uri="{FF2B5EF4-FFF2-40B4-BE49-F238E27FC236}">
              <a16:creationId xmlns:a16="http://schemas.microsoft.com/office/drawing/2014/main" id="{E5332A5C-AC28-D0B0-7EB4-60CDA234E618}"/>
            </a:ext>
          </a:extLst>
        </xdr:cNvPr>
        <xdr:cNvSpPr/>
      </xdr:nvSpPr>
      <xdr:spPr>
        <a:xfrm>
          <a:off x="63500" y="3009900"/>
          <a:ext cx="13957300" cy="713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22860</xdr:colOff>
      <xdr:row>10</xdr:row>
      <xdr:rowOff>175260</xdr:rowOff>
    </xdr:from>
    <xdr:to>
      <xdr:col>21</xdr:col>
      <xdr:colOff>22860</xdr:colOff>
      <xdr:row>15</xdr:row>
      <xdr:rowOff>0</xdr:rowOff>
    </xdr:to>
    <xdr:sp macro="" textlink="">
      <xdr:nvSpPr>
        <xdr:cNvPr id="9" name="Rectangle 8">
          <a:extLst>
            <a:ext uri="{FF2B5EF4-FFF2-40B4-BE49-F238E27FC236}">
              <a16:creationId xmlns:a16="http://schemas.microsoft.com/office/drawing/2014/main" id="{130C46F7-00D8-0162-5C47-6061D1C69BE4}"/>
            </a:ext>
          </a:extLst>
        </xdr:cNvPr>
        <xdr:cNvSpPr/>
      </xdr:nvSpPr>
      <xdr:spPr>
        <a:xfrm>
          <a:off x="1242060" y="541020"/>
          <a:ext cx="10972800" cy="739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4000">
              <a:solidFill>
                <a:schemeClr val="lt1"/>
              </a:solidFill>
              <a:effectLst/>
              <a:latin typeface="+mn-lt"/>
              <a:ea typeface="+mn-ea"/>
              <a:cs typeface="+mn-cs"/>
            </a:rPr>
            <a:t>MEDICARE HOSPITAL PERFORMANCE DASHBOARD</a:t>
          </a:r>
          <a:endParaRPr lang="en-GB" sz="4000">
            <a:effectLst/>
          </a:endParaRPr>
        </a:p>
        <a:p>
          <a:pPr algn="l"/>
          <a:endParaRPr lang="en-GB" sz="1100"/>
        </a:p>
      </xdr:txBody>
    </xdr:sp>
    <xdr:clientData/>
  </xdr:twoCellAnchor>
  <xdr:twoCellAnchor>
    <xdr:from>
      <xdr:col>1</xdr:col>
      <xdr:colOff>162560</xdr:colOff>
      <xdr:row>30</xdr:row>
      <xdr:rowOff>137160</xdr:rowOff>
    </xdr:from>
    <xdr:to>
      <xdr:col>8</xdr:col>
      <xdr:colOff>228600</xdr:colOff>
      <xdr:row>46</xdr:row>
      <xdr:rowOff>139700</xdr:rowOff>
    </xdr:to>
    <xdr:graphicFrame macro="">
      <xdr:nvGraphicFramePr>
        <xdr:cNvPr id="10" name="Chart 9">
          <a:extLst>
            <a:ext uri="{FF2B5EF4-FFF2-40B4-BE49-F238E27FC236}">
              <a16:creationId xmlns:a16="http://schemas.microsoft.com/office/drawing/2014/main" id="{FA867ABA-4D81-4456-BFB8-DD0C0E0BA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355601</xdr:colOff>
      <xdr:row>30</xdr:row>
      <xdr:rowOff>127000</xdr:rowOff>
    </xdr:from>
    <xdr:to>
      <xdr:col>16</xdr:col>
      <xdr:colOff>88901</xdr:colOff>
      <xdr:row>46</xdr:row>
      <xdr:rowOff>99350</xdr:rowOff>
    </xdr:to>
    <xdr:graphicFrame macro="">
      <xdr:nvGraphicFramePr>
        <xdr:cNvPr id="11" name="Chart 10">
          <a:extLst>
            <a:ext uri="{FF2B5EF4-FFF2-40B4-BE49-F238E27FC236}">
              <a16:creationId xmlns:a16="http://schemas.microsoft.com/office/drawing/2014/main" id="{ABDD77A2-FE1E-457C-AA64-E3DE43ADB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241300</xdr:colOff>
      <xdr:row>30</xdr:row>
      <xdr:rowOff>139701</xdr:rowOff>
    </xdr:from>
    <xdr:to>
      <xdr:col>23</xdr:col>
      <xdr:colOff>306232</xdr:colOff>
      <xdr:row>46</xdr:row>
      <xdr:rowOff>88901</xdr:rowOff>
    </xdr:to>
    <xdr:graphicFrame macro="">
      <xdr:nvGraphicFramePr>
        <xdr:cNvPr id="13" name="Chart 12">
          <a:extLst>
            <a:ext uri="{FF2B5EF4-FFF2-40B4-BE49-F238E27FC236}">
              <a16:creationId xmlns:a16="http://schemas.microsoft.com/office/drawing/2014/main" id="{F28900F5-4E7D-4451-BD8C-2F21D6D1F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177800</xdr:colOff>
      <xdr:row>48</xdr:row>
      <xdr:rowOff>12700</xdr:rowOff>
    </xdr:from>
    <xdr:to>
      <xdr:col>8</xdr:col>
      <xdr:colOff>190500</xdr:colOff>
      <xdr:row>63</xdr:row>
      <xdr:rowOff>116793</xdr:rowOff>
    </xdr:to>
    <xdr:graphicFrame macro="">
      <xdr:nvGraphicFramePr>
        <xdr:cNvPr id="14" name="Chart 13">
          <a:extLst>
            <a:ext uri="{FF2B5EF4-FFF2-40B4-BE49-F238E27FC236}">
              <a16:creationId xmlns:a16="http://schemas.microsoft.com/office/drawing/2014/main" id="{37CA4F2A-C56B-4E8A-BDFB-FE2150BC6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330200</xdr:colOff>
      <xdr:row>48</xdr:row>
      <xdr:rowOff>0</xdr:rowOff>
    </xdr:from>
    <xdr:to>
      <xdr:col>16</xdr:col>
      <xdr:colOff>114300</xdr:colOff>
      <xdr:row>63</xdr:row>
      <xdr:rowOff>114300</xdr:rowOff>
    </xdr:to>
    <xdr:graphicFrame macro="">
      <xdr:nvGraphicFramePr>
        <xdr:cNvPr id="15" name="Chart 14">
          <a:extLst>
            <a:ext uri="{FF2B5EF4-FFF2-40B4-BE49-F238E27FC236}">
              <a16:creationId xmlns:a16="http://schemas.microsoft.com/office/drawing/2014/main" id="{BECE8571-B469-4EB4-BF67-C1DC547EB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317500</xdr:colOff>
      <xdr:row>48</xdr:row>
      <xdr:rowOff>12700</xdr:rowOff>
    </xdr:from>
    <xdr:to>
      <xdr:col>23</xdr:col>
      <xdr:colOff>317500</xdr:colOff>
      <xdr:row>64</xdr:row>
      <xdr:rowOff>25400</xdr:rowOff>
    </xdr:to>
    <xdr:graphicFrame macro="">
      <xdr:nvGraphicFramePr>
        <xdr:cNvPr id="16" name="Chart 15">
          <a:extLst>
            <a:ext uri="{FF2B5EF4-FFF2-40B4-BE49-F238E27FC236}">
              <a16:creationId xmlns:a16="http://schemas.microsoft.com/office/drawing/2014/main" id="{087DE7DB-4071-4F8E-AA4B-A713192B2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586740</xdr:colOff>
      <xdr:row>25</xdr:row>
      <xdr:rowOff>43180</xdr:rowOff>
    </xdr:from>
    <xdr:to>
      <xdr:col>4</xdr:col>
      <xdr:colOff>586740</xdr:colOff>
      <xdr:row>28</xdr:row>
      <xdr:rowOff>117927</xdr:rowOff>
    </xdr:to>
    <mc:AlternateContent xmlns:mc="http://schemas.openxmlformats.org/markup-compatibility/2006" xmlns:a14="http://schemas.microsoft.com/office/drawing/2010/main">
      <mc:Choice Requires="a14">
        <xdr:graphicFrame macro="">
          <xdr:nvGraphicFramePr>
            <xdr:cNvPr id="18" name="Patient Gender 3">
              <a:extLst>
                <a:ext uri="{FF2B5EF4-FFF2-40B4-BE49-F238E27FC236}">
                  <a16:creationId xmlns:a16="http://schemas.microsoft.com/office/drawing/2014/main" id="{683A698E-E1BF-46B2-84DD-61E71F0A1392}"/>
                </a:ext>
              </a:extLst>
            </xdr:cNvPr>
            <xdr:cNvGraphicFramePr/>
          </xdr:nvGraphicFramePr>
          <xdr:xfrm>
            <a:off x="0" y="0"/>
            <a:ext cx="0" cy="0"/>
          </xdr:xfrm>
          <a:graphic>
            <a:graphicData uri="http://schemas.microsoft.com/office/drawing/2010/slicer">
              <sle:slicer xmlns:sle="http://schemas.microsoft.com/office/drawing/2010/slicer" name="Patient Gender 3"/>
            </a:graphicData>
          </a:graphic>
        </xdr:graphicFrame>
      </mc:Choice>
      <mc:Fallback xmlns="">
        <xdr:sp macro="" textlink="">
          <xdr:nvSpPr>
            <xdr:cNvPr id="0" name=""/>
            <xdr:cNvSpPr>
              <a:spLocks noTextEdit="1"/>
            </xdr:cNvSpPr>
          </xdr:nvSpPr>
          <xdr:spPr>
            <a:xfrm>
              <a:off x="1196340" y="4488180"/>
              <a:ext cx="1828800" cy="6081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53340</xdr:colOff>
      <xdr:row>25</xdr:row>
      <xdr:rowOff>43180</xdr:rowOff>
    </xdr:from>
    <xdr:to>
      <xdr:col>18</xdr:col>
      <xdr:colOff>323170</xdr:colOff>
      <xdr:row>28</xdr:row>
      <xdr:rowOff>132472</xdr:rowOff>
    </xdr:to>
    <mc:AlternateContent xmlns:mc="http://schemas.openxmlformats.org/markup-compatibility/2006" xmlns:a14="http://schemas.microsoft.com/office/drawing/2010/main">
      <mc:Choice Requires="a14">
        <xdr:graphicFrame macro="">
          <xdr:nvGraphicFramePr>
            <xdr:cNvPr id="20" name="Treatment Type 3">
              <a:extLst>
                <a:ext uri="{FF2B5EF4-FFF2-40B4-BE49-F238E27FC236}">
                  <a16:creationId xmlns:a16="http://schemas.microsoft.com/office/drawing/2014/main" id="{A705342A-6B60-4572-A127-CD4B0D616D01}"/>
                </a:ext>
              </a:extLst>
            </xdr:cNvPr>
            <xdr:cNvGraphicFramePr/>
          </xdr:nvGraphicFramePr>
          <xdr:xfrm>
            <a:off x="0" y="0"/>
            <a:ext cx="0" cy="0"/>
          </xdr:xfrm>
          <a:graphic>
            <a:graphicData uri="http://schemas.microsoft.com/office/drawing/2010/slicer">
              <sle:slicer xmlns:sle="http://schemas.microsoft.com/office/drawing/2010/slicer" name="Treatment Type 3"/>
            </a:graphicData>
          </a:graphic>
        </xdr:graphicFrame>
      </mc:Choice>
      <mc:Fallback xmlns="">
        <xdr:sp macro="" textlink="">
          <xdr:nvSpPr>
            <xdr:cNvPr id="0" name=""/>
            <xdr:cNvSpPr>
              <a:spLocks noTextEdit="1"/>
            </xdr:cNvSpPr>
          </xdr:nvSpPr>
          <xdr:spPr>
            <a:xfrm>
              <a:off x="3710940" y="4488180"/>
              <a:ext cx="7585030" cy="6226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304800</xdr:colOff>
      <xdr:row>25</xdr:row>
      <xdr:rowOff>25400</xdr:rowOff>
    </xdr:from>
    <xdr:to>
      <xdr:col>23</xdr:col>
      <xdr:colOff>293688</xdr:colOff>
      <xdr:row>28</xdr:row>
      <xdr:rowOff>117684</xdr:rowOff>
    </xdr:to>
    <mc:AlternateContent xmlns:mc="http://schemas.openxmlformats.org/markup-compatibility/2006" xmlns:a14="http://schemas.microsoft.com/office/drawing/2010/main">
      <mc:Choice Requires="a14">
        <xdr:graphicFrame macro="">
          <xdr:nvGraphicFramePr>
            <xdr:cNvPr id="22" name="Insurance Type 1">
              <a:extLst>
                <a:ext uri="{FF2B5EF4-FFF2-40B4-BE49-F238E27FC236}">
                  <a16:creationId xmlns:a16="http://schemas.microsoft.com/office/drawing/2014/main" id="{10F16703-D7BF-4041-9180-BD1F748B4A1A}"/>
                </a:ext>
              </a:extLst>
            </xdr:cNvPr>
            <xdr:cNvGraphicFramePr/>
          </xdr:nvGraphicFramePr>
          <xdr:xfrm>
            <a:off x="0" y="0"/>
            <a:ext cx="0" cy="0"/>
          </xdr:xfrm>
          <a:graphic>
            <a:graphicData uri="http://schemas.microsoft.com/office/drawing/2010/slicer">
              <sle:slicer xmlns:sle="http://schemas.microsoft.com/office/drawing/2010/slicer" name="Insurance Type 1"/>
            </a:graphicData>
          </a:graphic>
        </xdr:graphicFrame>
      </mc:Choice>
      <mc:Fallback xmlns="">
        <xdr:sp macro="" textlink="">
          <xdr:nvSpPr>
            <xdr:cNvPr id="0" name=""/>
            <xdr:cNvSpPr>
              <a:spLocks noTextEdit="1"/>
            </xdr:cNvSpPr>
          </xdr:nvSpPr>
          <xdr:spPr>
            <a:xfrm>
              <a:off x="11887200" y="4470400"/>
              <a:ext cx="2427288" cy="6256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342900</xdr:colOff>
      <xdr:row>17</xdr:row>
      <xdr:rowOff>114300</xdr:rowOff>
    </xdr:from>
    <xdr:ext cx="952500" cy="530658"/>
    <xdr:sp macro="" textlink="'PIVOT TABLE WORK SHEET'!$A$51">
      <xdr:nvSpPr>
        <xdr:cNvPr id="23" name="TextBox 22">
          <a:extLst>
            <a:ext uri="{FF2B5EF4-FFF2-40B4-BE49-F238E27FC236}">
              <a16:creationId xmlns:a16="http://schemas.microsoft.com/office/drawing/2014/main" id="{5EED41A1-8011-FDBE-6A57-CC5A939B4407}"/>
            </a:ext>
          </a:extLst>
        </xdr:cNvPr>
        <xdr:cNvSpPr txBox="1"/>
      </xdr:nvSpPr>
      <xdr:spPr>
        <a:xfrm>
          <a:off x="1562100" y="1714500"/>
          <a:ext cx="9525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8F98421-4DB1-470F-B096-B6A80B7B22A1}" type="TxLink">
            <a:rPr lang="en-US" sz="2800" b="1" i="0" u="none" strike="noStrike">
              <a:solidFill>
                <a:schemeClr val="bg1"/>
              </a:solidFill>
              <a:latin typeface="Calibri"/>
              <a:ea typeface="Calibri"/>
              <a:cs typeface="Calibri"/>
            </a:rPr>
            <a:pPr/>
            <a:t>1000</a:t>
          </a:fld>
          <a:endParaRPr lang="en-GB" sz="2800" b="1">
            <a:solidFill>
              <a:schemeClr val="bg1"/>
            </a:solidFill>
          </a:endParaRPr>
        </a:p>
      </xdr:txBody>
    </xdr:sp>
    <xdr:clientData/>
  </xdr:oneCellAnchor>
  <xdr:oneCellAnchor>
    <xdr:from>
      <xdr:col>6</xdr:col>
      <xdr:colOff>355600</xdr:colOff>
      <xdr:row>17</xdr:row>
      <xdr:rowOff>50800</xdr:rowOff>
    </xdr:from>
    <xdr:ext cx="1993900" cy="530658"/>
    <xdr:sp macro="" textlink="'PIVOT TABLE WORK SHEET'!$A$54">
      <xdr:nvSpPr>
        <xdr:cNvPr id="24" name="TextBox 23">
          <a:extLst>
            <a:ext uri="{FF2B5EF4-FFF2-40B4-BE49-F238E27FC236}">
              <a16:creationId xmlns:a16="http://schemas.microsoft.com/office/drawing/2014/main" id="{EE8E5512-9520-C73A-2347-2F78EE7FB2C1}"/>
            </a:ext>
          </a:extLst>
        </xdr:cNvPr>
        <xdr:cNvSpPr txBox="1"/>
      </xdr:nvSpPr>
      <xdr:spPr>
        <a:xfrm>
          <a:off x="3403600" y="1651000"/>
          <a:ext cx="19939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333766D-0A9E-42B1-8FC9-E7263B10BBCD}" type="TxLink">
            <a:rPr lang="en-US" sz="2800" b="1" i="0" u="none" strike="noStrike">
              <a:solidFill>
                <a:schemeClr val="bg1"/>
              </a:solidFill>
              <a:latin typeface="Calibri"/>
              <a:ea typeface="Calibri"/>
              <a:cs typeface="Calibri"/>
            </a:rPr>
            <a:pPr/>
            <a:t>£23,956,217 </a:t>
          </a:fld>
          <a:endParaRPr lang="en-GB" sz="2800" b="1">
            <a:solidFill>
              <a:schemeClr val="bg1"/>
            </a:solidFill>
          </a:endParaRPr>
        </a:p>
      </xdr:txBody>
    </xdr:sp>
    <xdr:clientData/>
  </xdr:oneCellAnchor>
  <xdr:oneCellAnchor>
    <xdr:from>
      <xdr:col>10</xdr:col>
      <xdr:colOff>596900</xdr:colOff>
      <xdr:row>17</xdr:row>
      <xdr:rowOff>63500</xdr:rowOff>
    </xdr:from>
    <xdr:ext cx="1143000" cy="530658"/>
    <xdr:sp macro="" textlink="'PIVOT TABLE WORK SHEET'!$C$54">
      <xdr:nvSpPr>
        <xdr:cNvPr id="26" name="TextBox 25">
          <a:extLst>
            <a:ext uri="{FF2B5EF4-FFF2-40B4-BE49-F238E27FC236}">
              <a16:creationId xmlns:a16="http://schemas.microsoft.com/office/drawing/2014/main" id="{090EEEBB-434E-C02B-5E8C-6A187180923A}"/>
            </a:ext>
          </a:extLst>
        </xdr:cNvPr>
        <xdr:cNvSpPr txBox="1"/>
      </xdr:nvSpPr>
      <xdr:spPr>
        <a:xfrm>
          <a:off x="6083300" y="1663700"/>
          <a:ext cx="11430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6037E95-52F2-43D0-8F80-5DCBEE6FF7C5}" type="TxLink">
            <a:rPr lang="en-US" sz="2800" b="1" i="0" u="none" strike="noStrike">
              <a:solidFill>
                <a:schemeClr val="bg1"/>
              </a:solidFill>
              <a:latin typeface="Calibri"/>
              <a:ea typeface="Calibri"/>
              <a:cs typeface="Calibri"/>
            </a:rPr>
            <a:pPr/>
            <a:t>13.29 </a:t>
          </a:fld>
          <a:endParaRPr lang="en-GB" sz="2800" b="1">
            <a:solidFill>
              <a:schemeClr val="bg1"/>
            </a:solidFill>
          </a:endParaRPr>
        </a:p>
      </xdr:txBody>
    </xdr:sp>
    <xdr:clientData/>
  </xdr:oneCellAnchor>
  <xdr:oneCellAnchor>
    <xdr:from>
      <xdr:col>14</xdr:col>
      <xdr:colOff>457200</xdr:colOff>
      <xdr:row>17</xdr:row>
      <xdr:rowOff>0</xdr:rowOff>
    </xdr:from>
    <xdr:ext cx="749300" cy="530658"/>
    <xdr:sp macro="" textlink="'PIVOT TABLE WORK SHEET'!$A$57">
      <xdr:nvSpPr>
        <xdr:cNvPr id="28" name="TextBox 27">
          <a:extLst>
            <a:ext uri="{FF2B5EF4-FFF2-40B4-BE49-F238E27FC236}">
              <a16:creationId xmlns:a16="http://schemas.microsoft.com/office/drawing/2014/main" id="{E9E1F031-D80F-5E2C-9E78-2DA4F58C6A87}"/>
            </a:ext>
          </a:extLst>
        </xdr:cNvPr>
        <xdr:cNvSpPr txBox="1"/>
      </xdr:nvSpPr>
      <xdr:spPr>
        <a:xfrm>
          <a:off x="8382000" y="1600200"/>
          <a:ext cx="7493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78F1D83-DA1C-408E-A6BC-506C79B77CAD}" type="TxLink">
            <a:rPr lang="en-US" sz="2800" b="1" i="0" u="none" strike="noStrike">
              <a:solidFill>
                <a:schemeClr val="bg1"/>
              </a:solidFill>
              <a:latin typeface="Calibri"/>
              <a:ea typeface="Calibri"/>
              <a:cs typeface="Calibri"/>
            </a:rPr>
            <a:pPr/>
            <a:t>78 </a:t>
          </a:fld>
          <a:endParaRPr lang="en-GB" sz="2800" b="1">
            <a:solidFill>
              <a:schemeClr val="bg1"/>
            </a:solidFill>
          </a:endParaRPr>
        </a:p>
      </xdr:txBody>
    </xdr:sp>
    <xdr:clientData/>
  </xdr:oneCellAnchor>
  <xdr:oneCellAnchor>
    <xdr:from>
      <xdr:col>18</xdr:col>
      <xdr:colOff>355600</xdr:colOff>
      <xdr:row>17</xdr:row>
      <xdr:rowOff>12700</xdr:rowOff>
    </xdr:from>
    <xdr:ext cx="939800" cy="530658"/>
    <xdr:sp macro="" textlink="'PIVOT TABLE WORK SHEET'!$C$51">
      <xdr:nvSpPr>
        <xdr:cNvPr id="31" name="TextBox 30">
          <a:extLst>
            <a:ext uri="{FF2B5EF4-FFF2-40B4-BE49-F238E27FC236}">
              <a16:creationId xmlns:a16="http://schemas.microsoft.com/office/drawing/2014/main" id="{298A07D2-C81A-F63E-8CD4-BE7CEAF1C545}"/>
            </a:ext>
          </a:extLst>
        </xdr:cNvPr>
        <xdr:cNvSpPr txBox="1"/>
      </xdr:nvSpPr>
      <xdr:spPr>
        <a:xfrm>
          <a:off x="11328400" y="3035300"/>
          <a:ext cx="9398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31240C9-6B15-4B85-A61B-F0E0328DCCCB}" type="TxLink">
            <a:rPr lang="en-US" sz="2800" b="1" i="0" u="none" strike="noStrike">
              <a:solidFill>
                <a:schemeClr val="bg1"/>
              </a:solidFill>
              <a:latin typeface="Calibri"/>
              <a:ea typeface="Calibri"/>
              <a:cs typeface="Calibri"/>
            </a:rPr>
            <a:pPr/>
            <a:t>79 </a:t>
          </a:fld>
          <a:endParaRPr lang="en-GB" sz="2800" b="1">
            <a:solidFill>
              <a:schemeClr val="bg1"/>
            </a:solidFill>
          </a:endParaRPr>
        </a:p>
      </xdr:txBody>
    </xdr:sp>
    <xdr:clientData/>
  </xdr:oneCellAnchor>
  <xdr:twoCellAnchor editAs="oneCell">
    <xdr:from>
      <xdr:col>21</xdr:col>
      <xdr:colOff>190500</xdr:colOff>
      <xdr:row>15</xdr:row>
      <xdr:rowOff>139700</xdr:rowOff>
    </xdr:from>
    <xdr:to>
      <xdr:col>23</xdr:col>
      <xdr:colOff>190500</xdr:colOff>
      <xdr:row>22</xdr:row>
      <xdr:rowOff>114300</xdr:rowOff>
    </xdr:to>
    <xdr:pic>
      <xdr:nvPicPr>
        <xdr:cNvPr id="34" name="Picture 33">
          <a:extLst>
            <a:ext uri="{FF2B5EF4-FFF2-40B4-BE49-F238E27FC236}">
              <a16:creationId xmlns:a16="http://schemas.microsoft.com/office/drawing/2014/main" id="{47DFFD02-FB74-41AE-A8CE-9E664A6BC43D}"/>
            </a:ext>
          </a:extLst>
        </xdr:cNvPr>
        <xdr:cNvPicPr>
          <a:picLocks noChangeAspect="1"/>
        </xdr:cNvPicPr>
      </xdr:nvPicPr>
      <xdr:blipFill>
        <a:blip xmlns:r="http://schemas.openxmlformats.org/officeDocument/2006/relationships" r:embed="rId7"/>
        <a:stretch>
          <a:fillRect/>
        </a:stretch>
      </xdr:blipFill>
      <xdr:spPr>
        <a:xfrm>
          <a:off x="12382500" y="2806700"/>
          <a:ext cx="1219200" cy="1219200"/>
        </a:xfrm>
        <a:prstGeom prst="rect">
          <a:avLst/>
        </a:prstGeom>
      </xdr:spPr>
    </xdr:pic>
    <xdr:clientData/>
  </xdr:twoCellAnchor>
  <xdr:twoCellAnchor editAs="oneCell">
    <xdr:from>
      <xdr:col>0</xdr:col>
      <xdr:colOff>190500</xdr:colOff>
      <xdr:row>15</xdr:row>
      <xdr:rowOff>12700</xdr:rowOff>
    </xdr:from>
    <xdr:to>
      <xdr:col>2</xdr:col>
      <xdr:colOff>190500</xdr:colOff>
      <xdr:row>21</xdr:row>
      <xdr:rowOff>165100</xdr:rowOff>
    </xdr:to>
    <xdr:pic>
      <xdr:nvPicPr>
        <xdr:cNvPr id="35" name="Picture 34">
          <a:extLst>
            <a:ext uri="{FF2B5EF4-FFF2-40B4-BE49-F238E27FC236}">
              <a16:creationId xmlns:a16="http://schemas.microsoft.com/office/drawing/2014/main" id="{90D121BA-2915-4577-B734-DD06498AB3F1}"/>
            </a:ext>
          </a:extLst>
        </xdr:cNvPr>
        <xdr:cNvPicPr>
          <a:picLocks noChangeAspect="1"/>
        </xdr:cNvPicPr>
      </xdr:nvPicPr>
      <xdr:blipFill>
        <a:blip xmlns:r="http://schemas.openxmlformats.org/officeDocument/2006/relationships" r:embed="rId7"/>
        <a:stretch>
          <a:fillRect/>
        </a:stretch>
      </xdr:blipFill>
      <xdr:spPr>
        <a:xfrm>
          <a:off x="190500" y="2679700"/>
          <a:ext cx="1219200" cy="1219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ila Iriogbe" refreshedDate="46195.946681365742" createdVersion="8" refreshedVersion="8" minRefreshableVersion="3" recordCount="1000" xr:uid="{F8632265-0354-400D-B680-FF5B1F154901}">
  <cacheSource type="worksheet">
    <worksheetSource name="Table1_36"/>
  </cacheSource>
  <cacheFields count="15">
    <cacheField name="Patient ID" numFmtId="0">
      <sharedItems/>
    </cacheField>
    <cacheField name="Doctor Name" numFmtId="0">
      <sharedItems/>
    </cacheField>
    <cacheField name="Department" numFmtId="0">
      <sharedItems/>
    </cacheField>
    <cacheField name="Patient Gender" numFmtId="0">
      <sharedItems count="3">
        <s v="Female"/>
        <s v="Male"/>
        <s v="Other"/>
      </sharedItems>
    </cacheField>
    <cacheField name="Patient Age" numFmtId="164">
      <sharedItems containsSemiMixedTypes="0" containsString="0" containsNumber="1" containsInteger="1" minValue="1" maxValue="90"/>
    </cacheField>
    <cacheField name="Insurance Type" numFmtId="0">
      <sharedItems/>
    </cacheField>
    <cacheField name="Treatment Type" numFmtId="0">
      <sharedItems/>
    </cacheField>
    <cacheField name="Patient Satisfaction Score" numFmtId="164">
      <sharedItems containsSemiMixedTypes="0" containsString="0" containsNumber="1" containsInteger="1" minValue="57" maxValue="99" count="43">
        <n v="73"/>
        <n v="72"/>
        <n v="83"/>
        <n v="71"/>
        <n v="84"/>
        <n v="87"/>
        <n v="88"/>
        <n v="76"/>
        <n v="58"/>
        <n v="77"/>
        <n v="78"/>
        <n v="66"/>
        <n v="80"/>
        <n v="69"/>
        <n v="81"/>
        <n v="86"/>
        <n v="62"/>
        <n v="82"/>
        <n v="74"/>
        <n v="99"/>
        <n v="68"/>
        <n v="90"/>
        <n v="85"/>
        <n v="79"/>
        <n v="75"/>
        <n v="64"/>
        <n v="70"/>
        <n v="89"/>
        <n v="94"/>
        <n v="67"/>
        <n v="57"/>
        <n v="65"/>
        <n v="96"/>
        <n v="91"/>
        <n v="93"/>
        <n v="92"/>
        <n v="95"/>
        <n v="97"/>
        <n v="60"/>
        <n v="59"/>
        <n v="61"/>
        <n v="63"/>
        <n v="98"/>
      </sharedItems>
    </cacheField>
    <cacheField name="Treatment Cost" numFmtId="165">
      <sharedItems containsSemiMixedTypes="0" containsString="0" containsNumber="1" containsInteger="1" minValue="964" maxValue="14003"/>
    </cacheField>
    <cacheField name="Readmission Rate (%)" numFmtId="166">
      <sharedItems containsSemiMixedTypes="0" containsString="0" containsNumber="1" minValue="0" maxValue="28.74"/>
    </cacheField>
    <cacheField name="Wait Time (mins)" numFmtId="164">
      <sharedItems containsSemiMixedTypes="0" containsString="0" containsNumber="1" containsInteger="1" minValue="5" maxValue="151"/>
    </cacheField>
    <cacheField name="Staff Rating" numFmtId="164">
      <sharedItems containsSemiMixedTypes="0" containsString="0" containsNumber="1" containsInteger="1" minValue="2" maxValue="5" count="4">
        <n v="4"/>
        <n v="3"/>
        <n v="5"/>
        <n v="2"/>
      </sharedItems>
    </cacheField>
    <cacheField name="Revenue Generated" numFmtId="165">
      <sharedItems containsSemiMixedTypes="0" containsString="0" containsNumber="1" containsInteger="1" minValue="3251" maxValue="81501"/>
    </cacheField>
    <cacheField name="Satisfaction score grouping" numFmtId="0">
      <sharedItems count="3">
        <s v="Low"/>
        <s v="High"/>
        <s v="Moderate"/>
      </sharedItems>
    </cacheField>
    <cacheField name="Age Grouping" numFmtId="0">
      <sharedItems count="2">
        <s v="Adult"/>
        <s v="Pediatric"/>
      </sharedItems>
    </cacheField>
  </cacheFields>
  <extLst>
    <ext xmlns:x14="http://schemas.microsoft.com/office/spreadsheetml/2009/9/main" uri="{725AE2AE-9491-48be-B2B4-4EB974FC3084}">
      <x14:pivotCacheDefinition pivotCacheId="2310479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mila Iriogbe" refreshedDate="46198.554355902779" createdVersion="5" refreshedVersion="8" minRefreshableVersion="3" recordCount="1000" xr:uid="{00000000-000A-0000-FFFF-FFFF00000000}">
  <cacheSource type="worksheet">
    <worksheetSource name="Table1_3"/>
  </cacheSource>
  <cacheFields count="15">
    <cacheField name="Patient ID" numFmtId="0">
      <sharedItems/>
    </cacheField>
    <cacheField name="Doctor Name" numFmtId="0">
      <sharedItems count="37">
        <s v="Dr. Holmes"/>
        <s v="Dr. Reyes"/>
        <s v="Dr. Cherry"/>
        <s v="Dr. Anderson"/>
        <s v="Dr. Tran"/>
        <s v="Dr. Lawson"/>
        <s v="Dr. Smith"/>
        <s v="Dr. Castillo"/>
        <s v="Dr. Webb"/>
        <s v="Dr. Snyder"/>
        <s v="Dr. Rose"/>
        <s v="Dr. Garcia"/>
        <s v="Dr. King"/>
        <s v="Dr. Hicks"/>
        <s v="Dr. Owens"/>
        <s v="Dr. Adams"/>
        <s v="Dr. Lopez"/>
        <s v="Dr. Monroe"/>
        <s v="Dr. Holloway"/>
        <s v="Dr. Mccarty"/>
        <s v="Dr. Davis"/>
        <s v="Dr. Byrd"/>
        <s v="Dr. Hamilton"/>
        <s v="Dr. Villa"/>
        <s v="Dr. Vaughn"/>
        <s v="Dr. Clark"/>
        <s v="Dr. Horton"/>
        <s v="Dr. Lawrence"/>
        <s v="Dr. Kidd"/>
        <s v="Dr. Wang"/>
        <s v="Dr. Bradshaw"/>
        <s v="Dr. Brooks"/>
        <s v="Dr. Wright"/>
        <s v="Dr. Pierce"/>
        <s v="Dr. Mcguire"/>
        <s v="Dr. Ward"/>
        <s v="Dr. Lara"/>
      </sharedItems>
    </cacheField>
    <cacheField name="Department" numFmtId="0">
      <sharedItems count="8">
        <s v="Radiology"/>
        <s v="Orthopedics"/>
        <s v="Oncology"/>
        <s v="Neurology"/>
        <s v="General Surgery"/>
        <s v="Emergency"/>
        <s v="Cardiology"/>
        <s v="Pediatrics"/>
      </sharedItems>
    </cacheField>
    <cacheField name="Patient Gender" numFmtId="0">
      <sharedItems count="3">
        <s v="Female"/>
        <s v="Male"/>
        <s v="Other"/>
      </sharedItems>
    </cacheField>
    <cacheField name="Patient Age" numFmtId="164">
      <sharedItems containsSemiMixedTypes="0" containsString="0" containsNumber="1" containsInteger="1" minValue="1" maxValue="90"/>
    </cacheField>
    <cacheField name="Insurance Type" numFmtId="0">
      <sharedItems count="3">
        <s v="Private"/>
        <s v="Medicaid"/>
        <s v="Medicare"/>
      </sharedItems>
    </cacheField>
    <cacheField name="Treatment Type" numFmtId="0">
      <sharedItems count="6">
        <s v="Surgery"/>
        <s v="Specialist Consultation"/>
        <s v="Diagnostics"/>
        <s v="Routine Checkup"/>
        <s v="Therapy"/>
        <s v="Emergency Care"/>
      </sharedItems>
    </cacheField>
    <cacheField name="Patient Satisfaction Score" numFmtId="164">
      <sharedItems containsSemiMixedTypes="0" containsString="0" containsNumber="1" containsInteger="1" minValue="57" maxValue="99"/>
    </cacheField>
    <cacheField name="Treatment Cost" numFmtId="165">
      <sharedItems containsSemiMixedTypes="0" containsString="0" containsNumber="1" containsInteger="1" minValue="964" maxValue="14003"/>
    </cacheField>
    <cacheField name="Readmission Rate (%)" numFmtId="166">
      <sharedItems containsSemiMixedTypes="0" containsString="0" containsNumber="1" minValue="0" maxValue="28.74"/>
    </cacheField>
    <cacheField name="Wait Time (mins)" numFmtId="164">
      <sharedItems containsSemiMixedTypes="0" containsString="0" containsNumber="1" containsInteger="1" minValue="5" maxValue="151"/>
    </cacheField>
    <cacheField name="Staff Rating" numFmtId="164">
      <sharedItems containsSemiMixedTypes="0" containsString="0" containsNumber="1" containsInteger="1" minValue="2" maxValue="5"/>
    </cacheField>
    <cacheField name="Revenue Generated" numFmtId="165">
      <sharedItems containsSemiMixedTypes="0" containsString="0" containsNumber="1" containsInteger="1" minValue="3251" maxValue="81501"/>
    </cacheField>
    <cacheField name="Satisfaction score grouping" numFmtId="0">
      <sharedItems/>
    </cacheField>
    <cacheField name="Age Grouping" numFmtId="0">
      <sharedItems/>
    </cacheField>
  </cacheFields>
  <extLst>
    <ext xmlns:x14="http://schemas.microsoft.com/office/spreadsheetml/2009/9/main" uri="{725AE2AE-9491-48be-B2B4-4EB974FC3084}">
      <x14:pivotCacheDefinition pivotCacheId="1281406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s v="Dr. Garcia"/>
    <s v="Cardiology"/>
    <x v="0"/>
    <n v="54"/>
    <s v="Private"/>
    <s v="Routine Checkup"/>
    <x v="0"/>
    <n v="7906"/>
    <n v="22.09"/>
    <n v="82"/>
    <x v="0"/>
    <n v="21372"/>
    <x v="0"/>
    <x v="0"/>
  </r>
  <r>
    <s v="P-0002"/>
    <s v="Dr. Lawson"/>
    <s v="Neurology"/>
    <x v="0"/>
    <n v="50"/>
    <s v="Medicaid"/>
    <s v="Emergency Care"/>
    <x v="1"/>
    <n v="5744"/>
    <n v="12.9"/>
    <n v="110"/>
    <x v="1"/>
    <n v="24909"/>
    <x v="0"/>
    <x v="0"/>
  </r>
  <r>
    <s v="P-0003"/>
    <s v="Dr. Reyes"/>
    <s v="Radiology"/>
    <x v="1"/>
    <n v="10"/>
    <s v="Private"/>
    <s v="Routine Checkup"/>
    <x v="2"/>
    <n v="1993"/>
    <n v="6.26"/>
    <n v="33"/>
    <x v="0"/>
    <n v="8163"/>
    <x v="1"/>
    <x v="1"/>
  </r>
  <r>
    <s v="P-0004"/>
    <s v="Dr. Rose"/>
    <s v="Emergency"/>
    <x v="1"/>
    <n v="32"/>
    <s v="Medicaid"/>
    <s v="Specialist Consultation"/>
    <x v="3"/>
    <n v="5291"/>
    <n v="19.579999999999998"/>
    <n v="121"/>
    <x v="1"/>
    <n v="16385"/>
    <x v="0"/>
    <x v="0"/>
  </r>
  <r>
    <s v="P-0005"/>
    <s v="Dr. Ward"/>
    <s v="Radiology"/>
    <x v="1"/>
    <n v="32"/>
    <s v="Medicare"/>
    <s v="Emergency Care"/>
    <x v="4"/>
    <n v="2199"/>
    <n v="12.41"/>
    <n v="39"/>
    <x v="0"/>
    <n v="5762"/>
    <x v="1"/>
    <x v="0"/>
  </r>
  <r>
    <s v="P-0006"/>
    <s v="Dr. Lara"/>
    <s v="Neurology"/>
    <x v="1"/>
    <n v="40"/>
    <s v="Private"/>
    <s v="Routine Checkup"/>
    <x v="5"/>
    <n v="4855"/>
    <n v="19.37"/>
    <n v="97"/>
    <x v="2"/>
    <n v="15278"/>
    <x v="1"/>
    <x v="0"/>
  </r>
  <r>
    <s v="P-0008"/>
    <s v="Dr. Owens"/>
    <s v="Pediatrics"/>
    <x v="1"/>
    <n v="18"/>
    <s v="Private"/>
    <s v="Specialist Consultation"/>
    <x v="6"/>
    <n v="2321"/>
    <n v="8.5399999999999991"/>
    <n v="42"/>
    <x v="2"/>
    <n v="11724"/>
    <x v="1"/>
    <x v="1"/>
  </r>
  <r>
    <s v="P-0021"/>
    <s v="Dr. King"/>
    <s v="Pediatrics"/>
    <x v="2"/>
    <n v="18"/>
    <s v="Private"/>
    <s v="Therapy"/>
    <x v="4"/>
    <n v="2530"/>
    <n v="6.71"/>
    <n v="90"/>
    <x v="0"/>
    <n v="13561"/>
    <x v="1"/>
    <x v="1"/>
  </r>
  <r>
    <s v="P-0009"/>
    <s v="Dr. Smith"/>
    <s v="General Surgery"/>
    <x v="1"/>
    <n v="28"/>
    <s v="Medicare"/>
    <s v="Emergency Care"/>
    <x v="3"/>
    <n v="9596"/>
    <n v="20.9"/>
    <n v="88"/>
    <x v="1"/>
    <n v="34434"/>
    <x v="0"/>
    <x v="0"/>
  </r>
  <r>
    <s v="P-0010"/>
    <s v="Dr. Vaughn"/>
    <s v="Orthopedics"/>
    <x v="0"/>
    <n v="68"/>
    <s v="Medicare"/>
    <s v="Therapy"/>
    <x v="7"/>
    <n v="7001"/>
    <n v="13.19"/>
    <n v="57"/>
    <x v="0"/>
    <n v="34979"/>
    <x v="2"/>
    <x v="0"/>
  </r>
  <r>
    <s v="P-0011"/>
    <s v="Dr. Pierce"/>
    <s v="Oncology"/>
    <x v="1"/>
    <n v="52"/>
    <s v="Private"/>
    <s v="Diagnostics"/>
    <x v="8"/>
    <n v="7942"/>
    <n v="20.260000000000002"/>
    <n v="110"/>
    <x v="1"/>
    <n v="20561"/>
    <x v="0"/>
    <x v="0"/>
  </r>
  <r>
    <s v="P-0012"/>
    <s v="Dr. Lopez"/>
    <s v="Cardiology"/>
    <x v="0"/>
    <n v="16"/>
    <s v="Medicare"/>
    <s v="Diagnostics"/>
    <x v="3"/>
    <n v="8264"/>
    <n v="16.079999999999998"/>
    <n v="105"/>
    <x v="1"/>
    <n v="42513"/>
    <x v="0"/>
    <x v="1"/>
  </r>
  <r>
    <s v="P-0013"/>
    <s v="Dr. Villa"/>
    <s v="General Surgery"/>
    <x v="1"/>
    <n v="28"/>
    <s v="Medicare"/>
    <s v="Routine Checkup"/>
    <x v="0"/>
    <n v="10647"/>
    <n v="18.32"/>
    <n v="84"/>
    <x v="0"/>
    <n v="59878"/>
    <x v="0"/>
    <x v="0"/>
  </r>
  <r>
    <s v="P-0014"/>
    <s v="Dr. Bradshaw"/>
    <s v="Orthopedics"/>
    <x v="0"/>
    <n v="72"/>
    <s v="Private"/>
    <s v="Therapy"/>
    <x v="9"/>
    <n v="5628"/>
    <n v="14.69"/>
    <n v="78"/>
    <x v="0"/>
    <n v="22483"/>
    <x v="2"/>
    <x v="0"/>
  </r>
  <r>
    <s v="P-0015"/>
    <s v="Dr. Anderson"/>
    <s v="Oncology"/>
    <x v="1"/>
    <n v="50"/>
    <s v="Medicare"/>
    <s v="Specialist Consultation"/>
    <x v="3"/>
    <n v="8008"/>
    <n v="13.06"/>
    <n v="85"/>
    <x v="1"/>
    <n v="23379"/>
    <x v="0"/>
    <x v="0"/>
  </r>
  <r>
    <s v="P-0016"/>
    <s v="Dr. Hamilton"/>
    <s v="Oncology"/>
    <x v="0"/>
    <n v="54"/>
    <s v="Private"/>
    <s v="Routine Checkup"/>
    <x v="10"/>
    <n v="8343"/>
    <n v="5.91"/>
    <n v="76"/>
    <x v="0"/>
    <n v="49234"/>
    <x v="2"/>
    <x v="0"/>
  </r>
  <r>
    <s v="P-0017"/>
    <s v="Dr. Hicks"/>
    <s v="Emergency"/>
    <x v="1"/>
    <n v="6"/>
    <s v="Private"/>
    <s v="Routine Checkup"/>
    <x v="11"/>
    <n v="3542"/>
    <n v="27.85"/>
    <n v="109"/>
    <x v="1"/>
    <n v="10651"/>
    <x v="0"/>
    <x v="1"/>
  </r>
  <r>
    <s v="P-0196"/>
    <s v="Dr. King"/>
    <s v="Pediatrics"/>
    <x v="2"/>
    <n v="18"/>
    <s v="Private"/>
    <s v="Therapy"/>
    <x v="12"/>
    <n v="2922"/>
    <n v="11.96"/>
    <n v="55"/>
    <x v="0"/>
    <n v="11540"/>
    <x v="2"/>
    <x v="1"/>
  </r>
  <r>
    <s v="P-0019"/>
    <s v="Dr. Webb"/>
    <s v="General Surgery"/>
    <x v="1"/>
    <n v="73"/>
    <s v="Private"/>
    <s v="Specialist Consultation"/>
    <x v="13"/>
    <n v="10056"/>
    <n v="25.76"/>
    <n v="66"/>
    <x v="1"/>
    <n v="26575"/>
    <x v="0"/>
    <x v="0"/>
  </r>
  <r>
    <s v="P-0020"/>
    <s v="Dr. Vaughn"/>
    <s v="Orthopedics"/>
    <x v="1"/>
    <n v="79"/>
    <s v="Medicaid"/>
    <s v="Surgery"/>
    <x v="14"/>
    <n v="6010"/>
    <n v="10.54"/>
    <n v="92"/>
    <x v="0"/>
    <n v="18692"/>
    <x v="2"/>
    <x v="0"/>
  </r>
  <r>
    <s v="P-0256"/>
    <s v="Dr. Lopez"/>
    <s v="Pediatrics"/>
    <x v="2"/>
    <n v="18"/>
    <s v="Medicaid"/>
    <s v="Diagnostics"/>
    <x v="15"/>
    <n v="1913"/>
    <n v="5.25"/>
    <n v="113"/>
    <x v="0"/>
    <n v="8812"/>
    <x v="1"/>
    <x v="1"/>
  </r>
  <r>
    <s v="P-0022"/>
    <s v="Dr. Castillo"/>
    <s v="General Surgery"/>
    <x v="0"/>
    <n v="72"/>
    <s v="Private"/>
    <s v="Routine Checkup"/>
    <x v="16"/>
    <n v="8415"/>
    <n v="16.18"/>
    <n v="145"/>
    <x v="0"/>
    <n v="31322"/>
    <x v="0"/>
    <x v="0"/>
  </r>
  <r>
    <s v="P-0023"/>
    <s v="Dr. Lara"/>
    <s v="Neurology"/>
    <x v="0"/>
    <n v="55"/>
    <s v="Medicare"/>
    <s v="Surgery"/>
    <x v="1"/>
    <n v="6825"/>
    <n v="16.39"/>
    <n v="95"/>
    <x v="0"/>
    <n v="20923"/>
    <x v="0"/>
    <x v="0"/>
  </r>
  <r>
    <s v="P-0024"/>
    <s v="Dr. Smith"/>
    <s v="General Surgery"/>
    <x v="1"/>
    <n v="49"/>
    <s v="Medicaid"/>
    <s v="Emergency Care"/>
    <x v="12"/>
    <n v="9314"/>
    <n v="12.13"/>
    <n v="111"/>
    <x v="2"/>
    <n v="30595"/>
    <x v="2"/>
    <x v="0"/>
  </r>
  <r>
    <s v="P-0025"/>
    <s v="Dr. Mccarty"/>
    <s v="Cardiology"/>
    <x v="0"/>
    <n v="25"/>
    <s v="Medicaid"/>
    <s v="Diagnostics"/>
    <x v="14"/>
    <n v="8622"/>
    <n v="12.72"/>
    <n v="100"/>
    <x v="0"/>
    <n v="41399"/>
    <x v="2"/>
    <x v="0"/>
  </r>
  <r>
    <s v="P-0026"/>
    <s v="Dr. Wang"/>
    <s v="Cardiology"/>
    <x v="1"/>
    <n v="27"/>
    <s v="Medicare"/>
    <s v="Emergency Care"/>
    <x v="17"/>
    <n v="5082"/>
    <n v="12.91"/>
    <n v="87"/>
    <x v="0"/>
    <n v="23931"/>
    <x v="2"/>
    <x v="0"/>
  </r>
  <r>
    <s v="P-0027"/>
    <s v="Dr. Vaughn"/>
    <s v="Orthopedics"/>
    <x v="0"/>
    <n v="45"/>
    <s v="Medicaid"/>
    <s v="Emergency Care"/>
    <x v="18"/>
    <n v="5682"/>
    <n v="22.88"/>
    <n v="104"/>
    <x v="1"/>
    <n v="19788"/>
    <x v="0"/>
    <x v="0"/>
  </r>
  <r>
    <s v="P-0028"/>
    <s v="Dr. Vaughn"/>
    <s v="Orthopedics"/>
    <x v="0"/>
    <n v="45"/>
    <s v="Private"/>
    <s v="Diagnostics"/>
    <x v="7"/>
    <n v="5851"/>
    <n v="14.96"/>
    <n v="72"/>
    <x v="0"/>
    <n v="22513"/>
    <x v="2"/>
    <x v="0"/>
  </r>
  <r>
    <s v="P-0029"/>
    <s v="Dr. Davis"/>
    <s v="Neurology"/>
    <x v="0"/>
    <n v="36"/>
    <s v="Medicaid"/>
    <s v="Emergency Care"/>
    <x v="9"/>
    <n v="6778"/>
    <n v="10.02"/>
    <n v="107"/>
    <x v="0"/>
    <n v="30468"/>
    <x v="2"/>
    <x v="0"/>
  </r>
  <r>
    <s v="P-0284"/>
    <s v="Dr. Holloway"/>
    <s v="Pediatrics"/>
    <x v="1"/>
    <n v="18"/>
    <s v="Medicaid"/>
    <s v="Emergency Care"/>
    <x v="19"/>
    <n v="3144"/>
    <n v="0"/>
    <n v="45"/>
    <x v="2"/>
    <n v="17384"/>
    <x v="1"/>
    <x v="1"/>
  </r>
  <r>
    <s v="P-0031"/>
    <s v="Dr. Pierce"/>
    <s v="Oncology"/>
    <x v="1"/>
    <n v="17"/>
    <s v="Medicaid"/>
    <s v="Emergency Care"/>
    <x v="17"/>
    <n v="8824"/>
    <n v="16.059999999999999"/>
    <n v="61"/>
    <x v="2"/>
    <n v="46714"/>
    <x v="2"/>
    <x v="1"/>
  </r>
  <r>
    <s v="P-0032"/>
    <s v="Dr. Kidd"/>
    <s v="Cardiology"/>
    <x v="0"/>
    <n v="71"/>
    <s v="Medicaid"/>
    <s v="Routine Checkup"/>
    <x v="20"/>
    <n v="7325"/>
    <n v="16.7"/>
    <n v="104"/>
    <x v="1"/>
    <n v="20721"/>
    <x v="0"/>
    <x v="0"/>
  </r>
  <r>
    <s v="P-0033"/>
    <s v="Dr. Lara"/>
    <s v="Neurology"/>
    <x v="0"/>
    <n v="35"/>
    <s v="Private"/>
    <s v="Diagnostics"/>
    <x v="2"/>
    <n v="9509"/>
    <n v="7.53"/>
    <n v="91"/>
    <x v="0"/>
    <n v="24787"/>
    <x v="1"/>
    <x v="0"/>
  </r>
  <r>
    <s v="P-0034"/>
    <s v="Dr. Ward"/>
    <s v="Radiology"/>
    <x v="0"/>
    <n v="27"/>
    <s v="Medicaid"/>
    <s v="Specialist Consultation"/>
    <x v="21"/>
    <n v="3280"/>
    <n v="5.51"/>
    <n v="38"/>
    <x v="0"/>
    <n v="9179"/>
    <x v="1"/>
    <x v="0"/>
  </r>
  <r>
    <s v="P-0035"/>
    <s v="Dr. Hamilton"/>
    <s v="Oncology"/>
    <x v="1"/>
    <n v="45"/>
    <s v="Medicaid"/>
    <s v="Specialist Consultation"/>
    <x v="20"/>
    <n v="11430"/>
    <n v="16.54"/>
    <n v="66"/>
    <x v="1"/>
    <n v="60386"/>
    <x v="0"/>
    <x v="0"/>
  </r>
  <r>
    <s v="P-0299"/>
    <s v="Dr. Reyes"/>
    <s v="Pediatrics"/>
    <x v="1"/>
    <n v="18"/>
    <s v="Private"/>
    <s v="Therapy"/>
    <x v="22"/>
    <n v="2714"/>
    <n v="11.5"/>
    <n v="43"/>
    <x v="0"/>
    <n v="10905"/>
    <x v="1"/>
    <x v="1"/>
  </r>
  <r>
    <s v="P-0037"/>
    <s v="Dr. Anderson"/>
    <s v="Oncology"/>
    <x v="1"/>
    <n v="80"/>
    <s v="Private"/>
    <s v="Therapy"/>
    <x v="15"/>
    <n v="5982"/>
    <n v="17.670000000000002"/>
    <n v="88"/>
    <x v="2"/>
    <n v="23740"/>
    <x v="1"/>
    <x v="0"/>
  </r>
  <r>
    <s v="P-0038"/>
    <s v="Dr. Tran"/>
    <s v="Oncology"/>
    <x v="1"/>
    <n v="30"/>
    <s v="Private"/>
    <s v="Specialist Consultation"/>
    <x v="9"/>
    <n v="7620"/>
    <n v="21.49"/>
    <n v="54"/>
    <x v="1"/>
    <n v="31677"/>
    <x v="2"/>
    <x v="0"/>
  </r>
  <r>
    <s v="P-0039"/>
    <s v="Dr. Monroe"/>
    <s v="Emergency"/>
    <x v="1"/>
    <n v="39"/>
    <s v="Private"/>
    <s v="Diagnostics"/>
    <x v="7"/>
    <n v="4642"/>
    <n v="12.28"/>
    <n v="85"/>
    <x v="0"/>
    <n v="17691"/>
    <x v="2"/>
    <x v="0"/>
  </r>
  <r>
    <s v="P-0040"/>
    <s v="Dr. Mccarty"/>
    <s v="Cardiology"/>
    <x v="1"/>
    <n v="46"/>
    <s v="Medicaid"/>
    <s v="Surgery"/>
    <x v="20"/>
    <n v="7566"/>
    <n v="19.64"/>
    <n v="131"/>
    <x v="1"/>
    <n v="34426"/>
    <x v="0"/>
    <x v="0"/>
  </r>
  <r>
    <s v="P-0041"/>
    <s v="Dr. Tran"/>
    <s v="Oncology"/>
    <x v="1"/>
    <n v="47"/>
    <s v="Medicaid"/>
    <s v="Therapy"/>
    <x v="21"/>
    <n v="10537"/>
    <n v="9.0500000000000007"/>
    <n v="93"/>
    <x v="0"/>
    <n v="61063"/>
    <x v="1"/>
    <x v="0"/>
  </r>
  <r>
    <s v="P-0042"/>
    <s v="Dr. Webb"/>
    <s v="General Surgery"/>
    <x v="0"/>
    <n v="53"/>
    <s v="Medicare"/>
    <s v="Routine Checkup"/>
    <x v="23"/>
    <n v="8124"/>
    <n v="17.829999999999998"/>
    <n v="92"/>
    <x v="0"/>
    <n v="20971"/>
    <x v="2"/>
    <x v="0"/>
  </r>
  <r>
    <s v="P-0043"/>
    <s v="Dr. Garcia"/>
    <s v="Cardiology"/>
    <x v="0"/>
    <n v="33"/>
    <s v="Medicare"/>
    <s v="Surgery"/>
    <x v="12"/>
    <n v="7499"/>
    <n v="13.23"/>
    <n v="101"/>
    <x v="0"/>
    <n v="38040"/>
    <x v="2"/>
    <x v="0"/>
  </r>
  <r>
    <s v="P-0044"/>
    <s v="Dr. Holmes"/>
    <s v="Radiology"/>
    <x v="0"/>
    <n v="32"/>
    <s v="Private"/>
    <s v="Specialist Consultation"/>
    <x v="9"/>
    <n v="2775"/>
    <n v="2.16"/>
    <n v="62"/>
    <x v="1"/>
    <n v="14478"/>
    <x v="2"/>
    <x v="0"/>
  </r>
  <r>
    <s v="P-0045"/>
    <s v="Dr. Garcia"/>
    <s v="Cardiology"/>
    <x v="1"/>
    <n v="55"/>
    <s v="Medicare"/>
    <s v="Emergency Care"/>
    <x v="23"/>
    <n v="6695"/>
    <n v="20.399999999999999"/>
    <n v="80"/>
    <x v="0"/>
    <n v="19153"/>
    <x v="2"/>
    <x v="0"/>
  </r>
  <r>
    <s v="P-0046"/>
    <s v="Dr. Anderson"/>
    <s v="Oncology"/>
    <x v="1"/>
    <n v="45"/>
    <s v="Medicare"/>
    <s v="Routine Checkup"/>
    <x v="0"/>
    <n v="7162"/>
    <n v="17.8"/>
    <n v="98"/>
    <x v="0"/>
    <n v="18176"/>
    <x v="0"/>
    <x v="0"/>
  </r>
  <r>
    <s v="P-0047"/>
    <s v="Dr. Ward"/>
    <s v="Radiology"/>
    <x v="1"/>
    <n v="51"/>
    <s v="Private"/>
    <s v="Emergency Care"/>
    <x v="17"/>
    <n v="2548"/>
    <n v="7.38"/>
    <n v="42"/>
    <x v="2"/>
    <n v="8984"/>
    <x v="2"/>
    <x v="0"/>
  </r>
  <r>
    <s v="P-0048"/>
    <s v="Dr. Smith"/>
    <s v="General Surgery"/>
    <x v="1"/>
    <n v="69"/>
    <s v="Medicaid"/>
    <s v="Therapy"/>
    <x v="0"/>
    <n v="10387"/>
    <n v="19.670000000000002"/>
    <n v="71"/>
    <x v="0"/>
    <n v="45945"/>
    <x v="0"/>
    <x v="0"/>
  </r>
  <r>
    <s v="P-0049"/>
    <s v="Dr. Lawrence"/>
    <s v="Emergency"/>
    <x v="0"/>
    <n v="64"/>
    <s v="Private"/>
    <s v="Routine Checkup"/>
    <x v="24"/>
    <n v="2922"/>
    <n v="16.71"/>
    <n v="107"/>
    <x v="0"/>
    <n v="13627"/>
    <x v="0"/>
    <x v="0"/>
  </r>
  <r>
    <s v="P-0050"/>
    <s v="Dr. Holmes"/>
    <s v="Radiology"/>
    <x v="0"/>
    <n v="36"/>
    <s v="Medicare"/>
    <s v="Emergency Care"/>
    <x v="21"/>
    <n v="2779"/>
    <n v="8.49"/>
    <n v="49"/>
    <x v="0"/>
    <n v="16160"/>
    <x v="1"/>
    <x v="0"/>
  </r>
  <r>
    <s v="P-0051"/>
    <s v="Dr. Lara"/>
    <s v="Neurology"/>
    <x v="1"/>
    <n v="30"/>
    <s v="Medicare"/>
    <s v="Diagnostics"/>
    <x v="10"/>
    <n v="6904"/>
    <n v="20.9"/>
    <n v="85"/>
    <x v="0"/>
    <n v="19946"/>
    <x v="2"/>
    <x v="0"/>
  </r>
  <r>
    <s v="P-0052"/>
    <s v="Dr. Villa"/>
    <s v="General Surgery"/>
    <x v="1"/>
    <n v="38"/>
    <s v="Medicaid"/>
    <s v="Therapy"/>
    <x v="14"/>
    <n v="7771"/>
    <n v="16.809999999999999"/>
    <n v="94"/>
    <x v="0"/>
    <n v="35294"/>
    <x v="2"/>
    <x v="0"/>
  </r>
  <r>
    <s v="P-0053"/>
    <s v="Dr. Webb"/>
    <s v="General Surgery"/>
    <x v="1"/>
    <n v="42"/>
    <s v="Private"/>
    <s v="Emergency Care"/>
    <x v="7"/>
    <n v="10242"/>
    <n v="15.4"/>
    <n v="103"/>
    <x v="0"/>
    <n v="28250"/>
    <x v="2"/>
    <x v="0"/>
  </r>
  <r>
    <s v="P-0054"/>
    <s v="Dr. Hicks"/>
    <s v="Emergency"/>
    <x v="1"/>
    <n v="54"/>
    <s v="Medicaid"/>
    <s v="Surgery"/>
    <x v="13"/>
    <n v="5093"/>
    <n v="19.62"/>
    <n v="111"/>
    <x v="0"/>
    <n v="23919"/>
    <x v="0"/>
    <x v="0"/>
  </r>
  <r>
    <s v="P-0055"/>
    <s v="Dr. Lawson"/>
    <s v="Neurology"/>
    <x v="2"/>
    <n v="62"/>
    <s v="Private"/>
    <s v="Routine Checkup"/>
    <x v="0"/>
    <n v="9346"/>
    <n v="11.77"/>
    <n v="93"/>
    <x v="1"/>
    <n v="38533"/>
    <x v="0"/>
    <x v="0"/>
  </r>
  <r>
    <s v="P-0056"/>
    <s v="Dr. Mccarty"/>
    <s v="Cardiology"/>
    <x v="1"/>
    <n v="65"/>
    <s v="Private"/>
    <s v="Surgery"/>
    <x v="2"/>
    <n v="4322"/>
    <n v="17.45"/>
    <n v="48"/>
    <x v="2"/>
    <n v="13264"/>
    <x v="1"/>
    <x v="0"/>
  </r>
  <r>
    <s v="P-0057"/>
    <s v="Dr. Mccarty"/>
    <s v="Cardiology"/>
    <x v="1"/>
    <n v="18"/>
    <s v="Medicaid"/>
    <s v="Emergency Care"/>
    <x v="25"/>
    <n v="8651"/>
    <n v="14.12"/>
    <n v="121"/>
    <x v="0"/>
    <n v="50995"/>
    <x v="0"/>
    <x v="1"/>
  </r>
  <r>
    <s v="P-0058"/>
    <s v="Dr. Kidd"/>
    <s v="Cardiology"/>
    <x v="0"/>
    <n v="50"/>
    <s v="Medicaid"/>
    <s v="Therapy"/>
    <x v="9"/>
    <n v="3566"/>
    <n v="12.39"/>
    <n v="90"/>
    <x v="0"/>
    <n v="19707"/>
    <x v="2"/>
    <x v="0"/>
  </r>
  <r>
    <s v="P-0322"/>
    <s v="Dr. Owens"/>
    <s v="Pediatrics"/>
    <x v="2"/>
    <n v="18"/>
    <s v="Medicare"/>
    <s v="Diagnostics"/>
    <x v="2"/>
    <n v="2907"/>
    <n v="4.51"/>
    <n v="74"/>
    <x v="0"/>
    <n v="14007"/>
    <x v="1"/>
    <x v="1"/>
  </r>
  <r>
    <s v="P-0060"/>
    <s v="Dr. Hamilton"/>
    <s v="Oncology"/>
    <x v="1"/>
    <n v="17"/>
    <s v="Medicaid"/>
    <s v="Specialist Consultation"/>
    <x v="26"/>
    <n v="9696"/>
    <n v="20.170000000000002"/>
    <n v="90"/>
    <x v="1"/>
    <n v="47030"/>
    <x v="0"/>
    <x v="1"/>
  </r>
  <r>
    <s v="P-0061"/>
    <s v="Dr. Mcguire"/>
    <s v="Orthopedics"/>
    <x v="1"/>
    <n v="76"/>
    <s v="Private"/>
    <s v="Emergency Care"/>
    <x v="21"/>
    <n v="7415"/>
    <n v="12.27"/>
    <n v="77"/>
    <x v="2"/>
    <n v="41288"/>
    <x v="1"/>
    <x v="0"/>
  </r>
  <r>
    <s v="P-0062"/>
    <s v="Dr. Smith"/>
    <s v="General Surgery"/>
    <x v="2"/>
    <n v="24"/>
    <s v="Private"/>
    <s v="Emergency Care"/>
    <x v="3"/>
    <n v="11680"/>
    <n v="20.51"/>
    <n v="89"/>
    <x v="1"/>
    <n v="29794"/>
    <x v="0"/>
    <x v="0"/>
  </r>
  <r>
    <s v="P-0063"/>
    <s v="Dr. Tran"/>
    <s v="Oncology"/>
    <x v="1"/>
    <n v="66"/>
    <s v="Medicare"/>
    <s v="Emergency Care"/>
    <x v="22"/>
    <n v="6106"/>
    <n v="5.84"/>
    <n v="44"/>
    <x v="2"/>
    <n v="26249"/>
    <x v="1"/>
    <x v="0"/>
  </r>
  <r>
    <s v="P-0064"/>
    <s v="Dr. Hamilton"/>
    <s v="Oncology"/>
    <x v="1"/>
    <n v="35"/>
    <s v="Medicare"/>
    <s v="Therapy"/>
    <x v="18"/>
    <n v="9570"/>
    <n v="15.32"/>
    <n v="106"/>
    <x v="0"/>
    <n v="32574"/>
    <x v="0"/>
    <x v="0"/>
  </r>
  <r>
    <s v="P-0065"/>
    <s v="Dr. Vaughn"/>
    <s v="Orthopedics"/>
    <x v="2"/>
    <n v="52"/>
    <s v="Medicaid"/>
    <s v="Therapy"/>
    <x v="0"/>
    <n v="3519"/>
    <n v="11.64"/>
    <n v="74"/>
    <x v="0"/>
    <n v="9731"/>
    <x v="0"/>
    <x v="0"/>
  </r>
  <r>
    <s v="P-0066"/>
    <s v="Dr. Rose"/>
    <s v="Emergency"/>
    <x v="1"/>
    <n v="22"/>
    <s v="Medicaid"/>
    <s v="Emergency Care"/>
    <x v="17"/>
    <n v="4023"/>
    <n v="16.84"/>
    <n v="119"/>
    <x v="0"/>
    <n v="12483"/>
    <x v="2"/>
    <x v="0"/>
  </r>
  <r>
    <s v="P-0067"/>
    <s v="Dr. Wright"/>
    <s v="Neurology"/>
    <x v="1"/>
    <n v="34"/>
    <s v="Private"/>
    <s v="Specialist Consultation"/>
    <x v="10"/>
    <n v="6360"/>
    <n v="10.86"/>
    <n v="74"/>
    <x v="1"/>
    <n v="27106"/>
    <x v="2"/>
    <x v="0"/>
  </r>
  <r>
    <s v="P-0068"/>
    <s v="Dr. Wright"/>
    <s v="Neurology"/>
    <x v="1"/>
    <n v="42"/>
    <s v="Private"/>
    <s v="Specialist Consultation"/>
    <x v="10"/>
    <n v="7168"/>
    <n v="19.82"/>
    <n v="90"/>
    <x v="0"/>
    <n v="36692"/>
    <x v="2"/>
    <x v="0"/>
  </r>
  <r>
    <s v="P-0399"/>
    <s v="Dr. Holloway"/>
    <s v="Pediatrics"/>
    <x v="1"/>
    <n v="18"/>
    <s v="Medicare"/>
    <s v="Therapy"/>
    <x v="4"/>
    <n v="3738"/>
    <n v="14.74"/>
    <n v="50"/>
    <x v="0"/>
    <n v="15300"/>
    <x v="1"/>
    <x v="1"/>
  </r>
  <r>
    <s v="P-0070"/>
    <s v="Dr. Villa"/>
    <s v="General Surgery"/>
    <x v="0"/>
    <n v="62"/>
    <s v="Private"/>
    <s v="Emergency Care"/>
    <x v="26"/>
    <n v="9051"/>
    <n v="20.87"/>
    <n v="75"/>
    <x v="0"/>
    <n v="36800"/>
    <x v="0"/>
    <x v="0"/>
  </r>
  <r>
    <s v="P-0071"/>
    <s v="Dr. Reyes"/>
    <s v="Radiology"/>
    <x v="1"/>
    <n v="12"/>
    <s v="Medicare"/>
    <s v="Routine Checkup"/>
    <x v="15"/>
    <n v="2121"/>
    <n v="0"/>
    <n v="49"/>
    <x v="0"/>
    <n v="6191"/>
    <x v="1"/>
    <x v="1"/>
  </r>
  <r>
    <s v="P-0072"/>
    <s v="Dr. Cherry"/>
    <s v="Orthopedics"/>
    <x v="0"/>
    <n v="49"/>
    <s v="Medicaid"/>
    <s v="Specialist Consultation"/>
    <x v="1"/>
    <n v="7266"/>
    <n v="14.61"/>
    <n v="93"/>
    <x v="0"/>
    <n v="31824"/>
    <x v="0"/>
    <x v="0"/>
  </r>
  <r>
    <s v="P-0073"/>
    <s v="Dr. Byrd"/>
    <s v="Radiology"/>
    <x v="1"/>
    <n v="75"/>
    <s v="Private"/>
    <s v="Specialist Consultation"/>
    <x v="17"/>
    <n v="1981"/>
    <n v="4.24"/>
    <n v="55"/>
    <x v="0"/>
    <n v="9430"/>
    <x v="2"/>
    <x v="0"/>
  </r>
  <r>
    <s v="P-0074"/>
    <s v="Dr. Davis"/>
    <s v="Neurology"/>
    <x v="1"/>
    <n v="6"/>
    <s v="Medicare"/>
    <s v="Therapy"/>
    <x v="1"/>
    <n v="6535"/>
    <n v="15.51"/>
    <n v="108"/>
    <x v="0"/>
    <n v="19833"/>
    <x v="0"/>
    <x v="1"/>
  </r>
  <r>
    <s v="P-0075"/>
    <s v="Dr. Lara"/>
    <s v="Neurology"/>
    <x v="1"/>
    <n v="31"/>
    <s v="Medicare"/>
    <s v="Diagnostics"/>
    <x v="23"/>
    <n v="5729"/>
    <n v="11.54"/>
    <n v="80"/>
    <x v="0"/>
    <n v="22551"/>
    <x v="2"/>
    <x v="0"/>
  </r>
  <r>
    <s v="P-0076"/>
    <s v="Dr. Hicks"/>
    <s v="Emergency"/>
    <x v="1"/>
    <n v="52"/>
    <s v="Private"/>
    <s v="Specialist Consultation"/>
    <x v="20"/>
    <n v="3666"/>
    <n v="19.09"/>
    <n v="108"/>
    <x v="1"/>
    <n v="17744"/>
    <x v="0"/>
    <x v="0"/>
  </r>
  <r>
    <s v="P-0077"/>
    <s v="Dr. Wang"/>
    <s v="Cardiology"/>
    <x v="0"/>
    <n v="46"/>
    <s v="Medicare"/>
    <s v="Therapy"/>
    <x v="26"/>
    <n v="4662"/>
    <n v="18.170000000000002"/>
    <n v="100"/>
    <x v="0"/>
    <n v="16936"/>
    <x v="0"/>
    <x v="0"/>
  </r>
  <r>
    <s v="P-0078"/>
    <s v="Dr. Adams"/>
    <s v="Neurology"/>
    <x v="0"/>
    <n v="50"/>
    <s v="Private"/>
    <s v="Surgery"/>
    <x v="7"/>
    <n v="5903"/>
    <n v="13.77"/>
    <n v="35"/>
    <x v="0"/>
    <n v="26766"/>
    <x v="2"/>
    <x v="0"/>
  </r>
  <r>
    <s v="P-0079"/>
    <s v="Dr. Monroe"/>
    <s v="Emergency"/>
    <x v="0"/>
    <n v="43"/>
    <s v="Medicare"/>
    <s v="Surgery"/>
    <x v="3"/>
    <n v="3043"/>
    <n v="18.190000000000001"/>
    <n v="85"/>
    <x v="1"/>
    <n v="8282"/>
    <x v="0"/>
    <x v="0"/>
  </r>
  <r>
    <s v="P-0080"/>
    <s v="Dr. Hamilton"/>
    <s v="Oncology"/>
    <x v="1"/>
    <n v="32"/>
    <s v="Medicaid"/>
    <s v="Emergency Care"/>
    <x v="3"/>
    <n v="9770"/>
    <n v="17.09"/>
    <n v="95"/>
    <x v="2"/>
    <n v="38507"/>
    <x v="0"/>
    <x v="0"/>
  </r>
  <r>
    <s v="P-0081"/>
    <s v="Dr. Reyes"/>
    <s v="Radiology"/>
    <x v="0"/>
    <n v="56"/>
    <s v="Private"/>
    <s v="Routine Checkup"/>
    <x v="27"/>
    <n v="2685"/>
    <n v="2.58"/>
    <n v="40"/>
    <x v="0"/>
    <n v="12111"/>
    <x v="1"/>
    <x v="0"/>
  </r>
  <r>
    <s v="P-0082"/>
    <s v="Dr. Villa"/>
    <s v="General Surgery"/>
    <x v="1"/>
    <n v="42"/>
    <s v="Private"/>
    <s v="Routine Checkup"/>
    <x v="1"/>
    <n v="7929"/>
    <n v="19.350000000000001"/>
    <n v="97"/>
    <x v="1"/>
    <n v="42428"/>
    <x v="0"/>
    <x v="0"/>
  </r>
  <r>
    <s v="P-0083"/>
    <s v="Dr. Monroe"/>
    <s v="Emergency"/>
    <x v="1"/>
    <n v="50"/>
    <s v="Medicare"/>
    <s v="Emergency Care"/>
    <x v="18"/>
    <n v="4109"/>
    <n v="16.7"/>
    <n v="151"/>
    <x v="0"/>
    <n v="16587"/>
    <x v="0"/>
    <x v="0"/>
  </r>
  <r>
    <s v="P-0084"/>
    <s v="Dr. Brooks"/>
    <s v="Orthopedics"/>
    <x v="0"/>
    <n v="31"/>
    <s v="Medicare"/>
    <s v="Specialist Consultation"/>
    <x v="23"/>
    <n v="7261"/>
    <n v="8.6300000000000008"/>
    <n v="30"/>
    <x v="0"/>
    <n v="41013"/>
    <x v="2"/>
    <x v="0"/>
  </r>
  <r>
    <s v="P-0505"/>
    <s v="Dr. Holloway"/>
    <s v="Pediatrics"/>
    <x v="0"/>
    <n v="18"/>
    <s v="Medicaid"/>
    <s v="Therapy"/>
    <x v="0"/>
    <n v="2923"/>
    <n v="5.76"/>
    <n v="34"/>
    <x v="0"/>
    <n v="11223"/>
    <x v="0"/>
    <x v="1"/>
  </r>
  <r>
    <s v="P-0086"/>
    <s v="Dr. Bradshaw"/>
    <s v="Orthopedics"/>
    <x v="1"/>
    <n v="55"/>
    <s v="Medicare"/>
    <s v="Diagnostics"/>
    <x v="18"/>
    <n v="7159"/>
    <n v="12.33"/>
    <n v="99"/>
    <x v="0"/>
    <n v="25708"/>
    <x v="0"/>
    <x v="0"/>
  </r>
  <r>
    <s v="P-0520"/>
    <s v="Dr. Holloway"/>
    <s v="Pediatrics"/>
    <x v="2"/>
    <n v="18"/>
    <s v="Medicaid"/>
    <s v="Routine Checkup"/>
    <x v="27"/>
    <n v="2998"/>
    <n v="7.09"/>
    <n v="62"/>
    <x v="0"/>
    <n v="7746"/>
    <x v="1"/>
    <x v="1"/>
  </r>
  <r>
    <s v="P-0088"/>
    <s v="Dr. Byrd"/>
    <s v="Radiology"/>
    <x v="1"/>
    <n v="70"/>
    <s v="Private"/>
    <s v="Specialist Consultation"/>
    <x v="28"/>
    <n v="2286"/>
    <n v="2.79"/>
    <n v="36"/>
    <x v="2"/>
    <n v="10844"/>
    <x v="1"/>
    <x v="0"/>
  </r>
  <r>
    <s v="P-0089"/>
    <s v="Dr. Reyes"/>
    <s v="Radiology"/>
    <x v="0"/>
    <n v="53"/>
    <s v="Medicaid"/>
    <s v="Specialist Consultation"/>
    <x v="7"/>
    <n v="2113"/>
    <n v="0.02"/>
    <n v="82"/>
    <x v="0"/>
    <n v="8699"/>
    <x v="2"/>
    <x v="0"/>
  </r>
  <r>
    <s v="P-0090"/>
    <s v="Dr. Hamilton"/>
    <s v="Oncology"/>
    <x v="1"/>
    <n v="48"/>
    <s v="Medicaid"/>
    <s v="Diagnostics"/>
    <x v="12"/>
    <n v="7675"/>
    <n v="14.19"/>
    <n v="132"/>
    <x v="0"/>
    <n v="43968"/>
    <x v="2"/>
    <x v="0"/>
  </r>
  <r>
    <s v="P-0615"/>
    <s v="Dr. Holloway"/>
    <s v="Pediatrics"/>
    <x v="2"/>
    <n v="18"/>
    <s v="Medicare"/>
    <s v="Specialist Consultation"/>
    <x v="21"/>
    <n v="3237"/>
    <n v="9.0500000000000007"/>
    <n v="58"/>
    <x v="0"/>
    <n v="13496"/>
    <x v="1"/>
    <x v="1"/>
  </r>
  <r>
    <s v="P-0092"/>
    <s v="Dr. Mcguire"/>
    <s v="Orthopedics"/>
    <x v="1"/>
    <n v="43"/>
    <s v="Medicaid"/>
    <s v="Diagnostics"/>
    <x v="18"/>
    <n v="9046"/>
    <n v="14.1"/>
    <n v="90"/>
    <x v="0"/>
    <n v="33227"/>
    <x v="0"/>
    <x v="0"/>
  </r>
  <r>
    <s v="P-0093"/>
    <s v="Dr. Adams"/>
    <s v="Neurology"/>
    <x v="1"/>
    <n v="24"/>
    <s v="Medicare"/>
    <s v="Specialist Consultation"/>
    <x v="18"/>
    <n v="7570"/>
    <n v="15.29"/>
    <n v="56"/>
    <x v="1"/>
    <n v="38465"/>
    <x v="0"/>
    <x v="0"/>
  </r>
  <r>
    <s v="P-0094"/>
    <s v="Dr. Davis"/>
    <s v="Neurology"/>
    <x v="0"/>
    <n v="14"/>
    <s v="Medicare"/>
    <s v="Therapy"/>
    <x v="9"/>
    <n v="5036"/>
    <n v="14.4"/>
    <n v="84"/>
    <x v="1"/>
    <n v="19973"/>
    <x v="2"/>
    <x v="1"/>
  </r>
  <r>
    <s v="P-0095"/>
    <s v="Dr. Hicks"/>
    <s v="Emergency"/>
    <x v="1"/>
    <n v="40"/>
    <s v="Medicare"/>
    <s v="Therapy"/>
    <x v="29"/>
    <n v="4794"/>
    <n v="22.51"/>
    <n v="123"/>
    <x v="1"/>
    <n v="13417"/>
    <x v="0"/>
    <x v="0"/>
  </r>
  <r>
    <s v="P-0705"/>
    <s v="Dr. King"/>
    <s v="Pediatrics"/>
    <x v="0"/>
    <n v="18"/>
    <s v="Medicare"/>
    <s v="Emergency Care"/>
    <x v="6"/>
    <n v="2909"/>
    <n v="2.94"/>
    <n v="65"/>
    <x v="0"/>
    <n v="12889"/>
    <x v="1"/>
    <x v="1"/>
  </r>
  <r>
    <s v="P-0097"/>
    <s v="Dr. Webb"/>
    <s v="General Surgery"/>
    <x v="0"/>
    <n v="33"/>
    <s v="Medicare"/>
    <s v="Therapy"/>
    <x v="18"/>
    <n v="8941"/>
    <n v="14.83"/>
    <n v="84"/>
    <x v="0"/>
    <n v="46621"/>
    <x v="0"/>
    <x v="0"/>
  </r>
  <r>
    <s v="P-0707"/>
    <s v="Dr. Holloway"/>
    <s v="Pediatrics"/>
    <x v="1"/>
    <n v="18"/>
    <s v="Medicaid"/>
    <s v="Surgery"/>
    <x v="15"/>
    <n v="3856"/>
    <n v="6.32"/>
    <n v="73"/>
    <x v="0"/>
    <n v="12406"/>
    <x v="1"/>
    <x v="1"/>
  </r>
  <r>
    <s v="P-0099"/>
    <s v="Dr. Cherry"/>
    <s v="Orthopedics"/>
    <x v="0"/>
    <n v="16"/>
    <s v="Private"/>
    <s v="Emergency Care"/>
    <x v="2"/>
    <n v="4667"/>
    <n v="19.010000000000002"/>
    <n v="59"/>
    <x v="2"/>
    <n v="12110"/>
    <x v="1"/>
    <x v="1"/>
  </r>
  <r>
    <s v="P-0100"/>
    <s v="Dr. Monroe"/>
    <s v="Emergency"/>
    <x v="2"/>
    <n v="30"/>
    <s v="Medicaid"/>
    <s v="Emergency Care"/>
    <x v="9"/>
    <n v="3569"/>
    <n v="17.48"/>
    <n v="95"/>
    <x v="1"/>
    <n v="11897"/>
    <x v="2"/>
    <x v="0"/>
  </r>
  <r>
    <s v="P-0101"/>
    <s v="Dr. Horton"/>
    <s v="General Surgery"/>
    <x v="0"/>
    <n v="40"/>
    <s v="Medicaid"/>
    <s v="Routine Checkup"/>
    <x v="0"/>
    <n v="10279"/>
    <n v="18.78"/>
    <n v="87"/>
    <x v="0"/>
    <n v="49732"/>
    <x v="0"/>
    <x v="0"/>
  </r>
  <r>
    <s v="P-0102"/>
    <s v="Dr. Holmes"/>
    <s v="Radiology"/>
    <x v="1"/>
    <n v="31"/>
    <s v="Private"/>
    <s v="Specialist Consultation"/>
    <x v="12"/>
    <n v="1665"/>
    <n v="12.06"/>
    <n v="26"/>
    <x v="0"/>
    <n v="6375"/>
    <x v="2"/>
    <x v="0"/>
  </r>
  <r>
    <s v="P-0103"/>
    <s v="Dr. Lawrence"/>
    <s v="Emergency"/>
    <x v="0"/>
    <n v="13"/>
    <s v="Private"/>
    <s v="Routine Checkup"/>
    <x v="30"/>
    <n v="2603"/>
    <n v="25.02"/>
    <n v="122"/>
    <x v="0"/>
    <n v="9190"/>
    <x v="0"/>
    <x v="1"/>
  </r>
  <r>
    <s v="P-0104"/>
    <s v="Dr. Castillo"/>
    <s v="General Surgery"/>
    <x v="0"/>
    <n v="64"/>
    <s v="Private"/>
    <s v="Surgery"/>
    <x v="2"/>
    <n v="8395"/>
    <n v="22.38"/>
    <n v="94"/>
    <x v="0"/>
    <n v="28564"/>
    <x v="1"/>
    <x v="0"/>
  </r>
  <r>
    <s v="P-0105"/>
    <s v="Dr. Lara"/>
    <s v="Neurology"/>
    <x v="0"/>
    <n v="48"/>
    <s v="Medicaid"/>
    <s v="Therapy"/>
    <x v="0"/>
    <n v="6523"/>
    <n v="16.39"/>
    <n v="86"/>
    <x v="1"/>
    <n v="16727"/>
    <x v="0"/>
    <x v="0"/>
  </r>
  <r>
    <s v="P-0714"/>
    <s v="Dr. Holloway"/>
    <s v="Pediatrics"/>
    <x v="1"/>
    <n v="18"/>
    <s v="Medicare"/>
    <s v="Routine Checkup"/>
    <x v="23"/>
    <n v="2618"/>
    <n v="8.23"/>
    <n v="72"/>
    <x v="0"/>
    <n v="14205"/>
    <x v="2"/>
    <x v="1"/>
  </r>
  <r>
    <s v="P-0107"/>
    <s v="Dr. Byrd"/>
    <s v="Radiology"/>
    <x v="1"/>
    <n v="50"/>
    <s v="Private"/>
    <s v="Specialist Consultation"/>
    <x v="0"/>
    <n v="3332"/>
    <n v="9.06"/>
    <n v="64"/>
    <x v="1"/>
    <n v="14381"/>
    <x v="0"/>
    <x v="0"/>
  </r>
  <r>
    <s v="P-0108"/>
    <s v="Dr. Horton"/>
    <s v="General Surgery"/>
    <x v="1"/>
    <n v="38"/>
    <s v="Private"/>
    <s v="Specialist Consultation"/>
    <x v="31"/>
    <n v="6418"/>
    <n v="19.32"/>
    <n v="98"/>
    <x v="1"/>
    <n v="24034"/>
    <x v="0"/>
    <x v="0"/>
  </r>
  <r>
    <s v="P-0109"/>
    <s v="Dr. Vaughn"/>
    <s v="Orthopedics"/>
    <x v="0"/>
    <n v="25"/>
    <s v="Private"/>
    <s v="Diagnostics"/>
    <x v="18"/>
    <n v="4860"/>
    <n v="22.53"/>
    <n v="96"/>
    <x v="0"/>
    <n v="24611"/>
    <x v="0"/>
    <x v="0"/>
  </r>
  <r>
    <s v="P-0110"/>
    <s v="Dr. Castillo"/>
    <s v="General Surgery"/>
    <x v="0"/>
    <n v="57"/>
    <s v="Private"/>
    <s v="Diagnostics"/>
    <x v="3"/>
    <n v="8990"/>
    <n v="14.36"/>
    <n v="64"/>
    <x v="0"/>
    <n v="46731"/>
    <x v="0"/>
    <x v="0"/>
  </r>
  <r>
    <s v="P-0861"/>
    <s v="Dr. Owens"/>
    <s v="Pediatrics"/>
    <x v="0"/>
    <n v="18"/>
    <s v="Medicare"/>
    <s v="Therapy"/>
    <x v="28"/>
    <n v="2103"/>
    <n v="0"/>
    <n v="36"/>
    <x v="0"/>
    <n v="8829"/>
    <x v="1"/>
    <x v="1"/>
  </r>
  <r>
    <s v="P-0112"/>
    <s v="Dr. Adams"/>
    <s v="Neurology"/>
    <x v="1"/>
    <n v="23"/>
    <s v="Private"/>
    <s v="Specialist Consultation"/>
    <x v="31"/>
    <n v="4208"/>
    <n v="19.579999999999998"/>
    <n v="108"/>
    <x v="1"/>
    <n v="18501"/>
    <x v="0"/>
    <x v="0"/>
  </r>
  <r>
    <s v="P-0113"/>
    <s v="Dr. Pierce"/>
    <s v="Oncology"/>
    <x v="1"/>
    <n v="52"/>
    <s v="Medicare"/>
    <s v="Therapy"/>
    <x v="23"/>
    <n v="8895"/>
    <n v="18.32"/>
    <n v="92"/>
    <x v="0"/>
    <n v="30010"/>
    <x v="2"/>
    <x v="0"/>
  </r>
  <r>
    <s v="P-0114"/>
    <s v="Dr. Horton"/>
    <s v="General Surgery"/>
    <x v="1"/>
    <n v="14"/>
    <s v="Medicare"/>
    <s v="Surgery"/>
    <x v="9"/>
    <n v="10473"/>
    <n v="17.54"/>
    <n v="93"/>
    <x v="0"/>
    <n v="61777"/>
    <x v="2"/>
    <x v="1"/>
  </r>
  <r>
    <s v="P-0115"/>
    <s v="Dr. Rose"/>
    <s v="Emergency"/>
    <x v="1"/>
    <n v="44"/>
    <s v="Private"/>
    <s v="Diagnostics"/>
    <x v="24"/>
    <n v="3519"/>
    <n v="18.12"/>
    <n v="123"/>
    <x v="0"/>
    <n v="9253"/>
    <x v="0"/>
    <x v="0"/>
  </r>
  <r>
    <s v="P-0116"/>
    <s v="Dr. Mcguire"/>
    <s v="Orthopedics"/>
    <x v="0"/>
    <n v="16"/>
    <s v="Medicare"/>
    <s v="Therapy"/>
    <x v="24"/>
    <n v="4749"/>
    <n v="17.11"/>
    <n v="85"/>
    <x v="0"/>
    <n v="17113"/>
    <x v="0"/>
    <x v="1"/>
  </r>
  <r>
    <s v="P-0117"/>
    <s v="Dr. Clark"/>
    <s v="Oncology"/>
    <x v="1"/>
    <n v="73"/>
    <s v="Medicare"/>
    <s v="Surgery"/>
    <x v="17"/>
    <n v="9650"/>
    <n v="8.06"/>
    <n v="83"/>
    <x v="0"/>
    <n v="31993"/>
    <x v="2"/>
    <x v="0"/>
  </r>
  <r>
    <s v="P-0118"/>
    <s v="Dr. Snyder"/>
    <s v="Emergency"/>
    <x v="1"/>
    <n v="59"/>
    <s v="Medicaid"/>
    <s v="Surgery"/>
    <x v="3"/>
    <n v="4356"/>
    <n v="15.27"/>
    <n v="110"/>
    <x v="1"/>
    <n v="20456"/>
    <x v="0"/>
    <x v="0"/>
  </r>
  <r>
    <s v="P-0119"/>
    <s v="Dr. Lara"/>
    <s v="Neurology"/>
    <x v="0"/>
    <n v="36"/>
    <s v="Medicaid"/>
    <s v="Therapy"/>
    <x v="1"/>
    <n v="8553"/>
    <n v="12.91"/>
    <n v="119"/>
    <x v="1"/>
    <n v="31998"/>
    <x v="0"/>
    <x v="0"/>
  </r>
  <r>
    <s v="P-0120"/>
    <s v="Dr. Snyder"/>
    <s v="Emergency"/>
    <x v="0"/>
    <n v="24"/>
    <s v="Medicaid"/>
    <s v="Emergency Care"/>
    <x v="1"/>
    <n v="2146"/>
    <n v="13.17"/>
    <n v="88"/>
    <x v="0"/>
    <n v="12500"/>
    <x v="0"/>
    <x v="0"/>
  </r>
  <r>
    <s v="P-0121"/>
    <s v="Dr. Kidd"/>
    <s v="Cardiology"/>
    <x v="1"/>
    <n v="64"/>
    <s v="Medicare"/>
    <s v="Routine Checkup"/>
    <x v="26"/>
    <n v="6930"/>
    <n v="18.7"/>
    <n v="80"/>
    <x v="0"/>
    <n v="41365"/>
    <x v="0"/>
    <x v="0"/>
  </r>
  <r>
    <s v="P-0122"/>
    <s v="Dr. Hicks"/>
    <s v="Emergency"/>
    <x v="1"/>
    <n v="68"/>
    <s v="Private"/>
    <s v="Surgery"/>
    <x v="11"/>
    <n v="2401"/>
    <n v="18.3"/>
    <n v="142"/>
    <x v="1"/>
    <n v="7569"/>
    <x v="0"/>
    <x v="0"/>
  </r>
  <r>
    <s v="P-0968"/>
    <s v="Dr. Lopez"/>
    <s v="Pediatrics"/>
    <x v="1"/>
    <n v="18"/>
    <s v="Private"/>
    <s v="Surgery"/>
    <x v="6"/>
    <n v="2608"/>
    <n v="8.18"/>
    <n v="40"/>
    <x v="0"/>
    <n v="7730"/>
    <x v="1"/>
    <x v="1"/>
  </r>
  <r>
    <s v="P-0124"/>
    <s v="Dr. Reyes"/>
    <s v="Radiology"/>
    <x v="0"/>
    <n v="30"/>
    <s v="Medicare"/>
    <s v="Emergency Care"/>
    <x v="2"/>
    <n v="3678"/>
    <n v="8.75"/>
    <n v="30"/>
    <x v="0"/>
    <n v="20490"/>
    <x v="1"/>
    <x v="0"/>
  </r>
  <r>
    <s v="P-0125"/>
    <s v="Dr. Hicks"/>
    <s v="Emergency"/>
    <x v="1"/>
    <n v="32"/>
    <s v="Private"/>
    <s v="Specialist Consultation"/>
    <x v="7"/>
    <n v="3700"/>
    <n v="19.34"/>
    <n v="102"/>
    <x v="2"/>
    <n v="10376"/>
    <x v="2"/>
    <x v="0"/>
  </r>
  <r>
    <s v="P-0126"/>
    <s v="Dr. Lawrence"/>
    <s v="Emergency"/>
    <x v="0"/>
    <n v="10"/>
    <s v="Private"/>
    <s v="Emergency Care"/>
    <x v="0"/>
    <n v="4118"/>
    <n v="14.2"/>
    <n v="84"/>
    <x v="0"/>
    <n v="13468"/>
    <x v="0"/>
    <x v="1"/>
  </r>
  <r>
    <s v="P-0127"/>
    <s v="Dr. Adams"/>
    <s v="Neurology"/>
    <x v="1"/>
    <n v="34"/>
    <s v="Medicaid"/>
    <s v="Emergency Care"/>
    <x v="15"/>
    <n v="6478"/>
    <n v="19.75"/>
    <n v="94"/>
    <x v="0"/>
    <n v="34892"/>
    <x v="1"/>
    <x v="0"/>
  </r>
  <r>
    <s v="P-0128"/>
    <s v="Dr. Clark"/>
    <s v="Oncology"/>
    <x v="0"/>
    <n v="71"/>
    <s v="Medicare"/>
    <s v="Routine Checkup"/>
    <x v="14"/>
    <n v="5376"/>
    <n v="15.85"/>
    <n v="57"/>
    <x v="0"/>
    <n v="25829"/>
    <x v="2"/>
    <x v="0"/>
  </r>
  <r>
    <s v="P-0129"/>
    <s v="Dr. Lopez"/>
    <s v="Cardiology"/>
    <x v="2"/>
    <n v="61"/>
    <s v="Private"/>
    <s v="Therapy"/>
    <x v="12"/>
    <n v="8493"/>
    <n v="20.68"/>
    <n v="95"/>
    <x v="0"/>
    <n v="25947"/>
    <x v="2"/>
    <x v="0"/>
  </r>
  <r>
    <s v="P-0130"/>
    <s v="Dr. Hicks"/>
    <s v="Emergency"/>
    <x v="0"/>
    <n v="37"/>
    <s v="Medicare"/>
    <s v="Surgery"/>
    <x v="24"/>
    <n v="3017"/>
    <n v="19.98"/>
    <n v="93"/>
    <x v="0"/>
    <n v="12901"/>
    <x v="0"/>
    <x v="0"/>
  </r>
  <r>
    <s v="P-0131"/>
    <s v="Dr. Pierce"/>
    <s v="Oncology"/>
    <x v="0"/>
    <n v="48"/>
    <s v="Medicaid"/>
    <s v="Routine Checkup"/>
    <x v="12"/>
    <n v="5824"/>
    <n v="16.989999999999998"/>
    <n v="80"/>
    <x v="2"/>
    <n v="30456"/>
    <x v="2"/>
    <x v="0"/>
  </r>
  <r>
    <s v="P-0132"/>
    <s v="Dr. Wang"/>
    <s v="Cardiology"/>
    <x v="0"/>
    <n v="50"/>
    <s v="Medicaid"/>
    <s v="Emergency Care"/>
    <x v="2"/>
    <n v="7753"/>
    <n v="16.190000000000001"/>
    <n v="76"/>
    <x v="0"/>
    <n v="44673"/>
    <x v="1"/>
    <x v="0"/>
  </r>
  <r>
    <s v="P-0133"/>
    <s v="Dr. Hicks"/>
    <s v="Emergency"/>
    <x v="0"/>
    <n v="36"/>
    <s v="Medicaid"/>
    <s v="Diagnostics"/>
    <x v="24"/>
    <n v="4251"/>
    <n v="13.89"/>
    <n v="113"/>
    <x v="1"/>
    <n v="15773"/>
    <x v="0"/>
    <x v="0"/>
  </r>
  <r>
    <s v="P-0134"/>
    <s v="Dr. Mccarty"/>
    <s v="Cardiology"/>
    <x v="0"/>
    <n v="35"/>
    <s v="Private"/>
    <s v="Surgery"/>
    <x v="9"/>
    <n v="7513"/>
    <n v="13.9"/>
    <n v="87"/>
    <x v="1"/>
    <n v="39040"/>
    <x v="2"/>
    <x v="0"/>
  </r>
  <r>
    <s v="P-0135"/>
    <s v="Dr. Castillo"/>
    <s v="General Surgery"/>
    <x v="1"/>
    <n v="33"/>
    <s v="Medicare"/>
    <s v="Specialist Consultation"/>
    <x v="9"/>
    <n v="6393"/>
    <n v="8.1999999999999993"/>
    <n v="132"/>
    <x v="0"/>
    <n v="31503"/>
    <x v="2"/>
    <x v="0"/>
  </r>
  <r>
    <s v="P-0136"/>
    <s v="Dr. Webb"/>
    <s v="General Surgery"/>
    <x v="1"/>
    <n v="67"/>
    <s v="Medicaid"/>
    <s v="Therapy"/>
    <x v="0"/>
    <n v="8599"/>
    <n v="12.41"/>
    <n v="121"/>
    <x v="0"/>
    <n v="40714"/>
    <x v="0"/>
    <x v="0"/>
  </r>
  <r>
    <s v="P-0137"/>
    <s v="Dr. Vaughn"/>
    <s v="Orthopedics"/>
    <x v="0"/>
    <n v="14"/>
    <s v="Medicaid"/>
    <s v="Surgery"/>
    <x v="12"/>
    <n v="5945"/>
    <n v="12.97"/>
    <n v="61"/>
    <x v="0"/>
    <n v="19296"/>
    <x v="2"/>
    <x v="1"/>
  </r>
  <r>
    <s v="P-0138"/>
    <s v="Dr. Horton"/>
    <s v="General Surgery"/>
    <x v="0"/>
    <n v="46"/>
    <s v="Medicaid"/>
    <s v="Diagnostics"/>
    <x v="10"/>
    <n v="10710"/>
    <n v="15.63"/>
    <n v="90"/>
    <x v="0"/>
    <n v="33729"/>
    <x v="2"/>
    <x v="0"/>
  </r>
  <r>
    <s v="P-0069"/>
    <s v="Dr. King"/>
    <s v="Pediatrics"/>
    <x v="0"/>
    <n v="17"/>
    <s v="Medicare"/>
    <s v="Therapy"/>
    <x v="14"/>
    <n v="2834"/>
    <n v="0"/>
    <n v="48"/>
    <x v="2"/>
    <n v="11672"/>
    <x v="2"/>
    <x v="1"/>
  </r>
  <r>
    <s v="P-0140"/>
    <s v="Dr. Webb"/>
    <s v="General Surgery"/>
    <x v="0"/>
    <n v="69"/>
    <s v="Medicaid"/>
    <s v="Therapy"/>
    <x v="24"/>
    <n v="7144"/>
    <n v="16.8"/>
    <n v="104"/>
    <x v="1"/>
    <n v="28619"/>
    <x v="0"/>
    <x v="0"/>
  </r>
  <r>
    <s v="P-0141"/>
    <s v="Dr. Reyes"/>
    <s v="Radiology"/>
    <x v="1"/>
    <n v="44"/>
    <s v="Medicare"/>
    <s v="Routine Checkup"/>
    <x v="32"/>
    <n v="2564"/>
    <n v="2.2799999999999998"/>
    <n v="16"/>
    <x v="2"/>
    <n v="9195"/>
    <x v="1"/>
    <x v="0"/>
  </r>
  <r>
    <s v="P-0142"/>
    <s v="Dr. Webb"/>
    <s v="General Surgery"/>
    <x v="1"/>
    <n v="39"/>
    <s v="Medicare"/>
    <s v="Diagnostics"/>
    <x v="6"/>
    <n v="8688"/>
    <n v="14.25"/>
    <n v="94"/>
    <x v="0"/>
    <n v="30588"/>
    <x v="1"/>
    <x v="0"/>
  </r>
  <r>
    <s v="P-0143"/>
    <s v="Dr. Vaughn"/>
    <s v="Orthopedics"/>
    <x v="0"/>
    <n v="60"/>
    <s v="Medicare"/>
    <s v="Therapy"/>
    <x v="23"/>
    <n v="4839"/>
    <n v="11.81"/>
    <n v="83"/>
    <x v="1"/>
    <n v="22566"/>
    <x v="2"/>
    <x v="0"/>
  </r>
  <r>
    <s v="P-0144"/>
    <s v="Dr. Rose"/>
    <s v="Emergency"/>
    <x v="0"/>
    <n v="55"/>
    <s v="Private"/>
    <s v="Routine Checkup"/>
    <x v="11"/>
    <n v="2886"/>
    <n v="18.149999999999999"/>
    <n v="145"/>
    <x v="1"/>
    <n v="8008"/>
    <x v="0"/>
    <x v="0"/>
  </r>
  <r>
    <s v="P-0145"/>
    <s v="Dr. Holmes"/>
    <s v="Radiology"/>
    <x v="0"/>
    <n v="24"/>
    <s v="Private"/>
    <s v="Specialist Consultation"/>
    <x v="2"/>
    <n v="3398"/>
    <n v="7.56"/>
    <n v="39"/>
    <x v="0"/>
    <n v="10486"/>
    <x v="1"/>
    <x v="0"/>
  </r>
  <r>
    <s v="P-0146"/>
    <s v="Dr. Horton"/>
    <s v="General Surgery"/>
    <x v="1"/>
    <n v="50"/>
    <s v="Private"/>
    <s v="Emergency Care"/>
    <x v="10"/>
    <n v="12261"/>
    <n v="18.43"/>
    <n v="79"/>
    <x v="0"/>
    <n v="65057"/>
    <x v="2"/>
    <x v="0"/>
  </r>
  <r>
    <s v="P-0147"/>
    <s v="Dr. Cherry"/>
    <s v="Orthopedics"/>
    <x v="1"/>
    <n v="65"/>
    <s v="Private"/>
    <s v="Diagnostics"/>
    <x v="33"/>
    <n v="7580"/>
    <n v="12.79"/>
    <n v="64"/>
    <x v="0"/>
    <n v="32915"/>
    <x v="1"/>
    <x v="0"/>
  </r>
  <r>
    <s v="P-0271"/>
    <s v="Dr. Holloway"/>
    <s v="Pediatrics"/>
    <x v="1"/>
    <n v="17"/>
    <s v="Private"/>
    <s v="Therapy"/>
    <x v="22"/>
    <n v="2919"/>
    <n v="11.24"/>
    <n v="65"/>
    <x v="0"/>
    <n v="11089"/>
    <x v="1"/>
    <x v="1"/>
  </r>
  <r>
    <s v="P-0307"/>
    <s v="Dr. Holloway"/>
    <s v="Pediatrics"/>
    <x v="1"/>
    <n v="17"/>
    <s v="Medicaid"/>
    <s v="Specialist Consultation"/>
    <x v="15"/>
    <n v="3444"/>
    <n v="5.95"/>
    <n v="39"/>
    <x v="0"/>
    <n v="14550"/>
    <x v="1"/>
    <x v="1"/>
  </r>
  <r>
    <s v="P-0150"/>
    <s v="Dr. Cherry"/>
    <s v="Orthopedics"/>
    <x v="1"/>
    <n v="66"/>
    <s v="Private"/>
    <s v="Diagnostics"/>
    <x v="13"/>
    <n v="7119"/>
    <n v="15.49"/>
    <n v="72"/>
    <x v="1"/>
    <n v="27042"/>
    <x v="0"/>
    <x v="0"/>
  </r>
  <r>
    <s v="P-0151"/>
    <s v="Dr. Mccarty"/>
    <s v="Cardiology"/>
    <x v="0"/>
    <n v="49"/>
    <s v="Medicaid"/>
    <s v="Routine Checkup"/>
    <x v="12"/>
    <n v="9357"/>
    <n v="14.16"/>
    <n v="105"/>
    <x v="0"/>
    <n v="52890"/>
    <x v="2"/>
    <x v="0"/>
  </r>
  <r>
    <s v="P-0152"/>
    <s v="Dr. Anderson"/>
    <s v="Oncology"/>
    <x v="0"/>
    <n v="12"/>
    <s v="Medicare"/>
    <s v="Specialist Consultation"/>
    <x v="17"/>
    <n v="9280"/>
    <n v="14.72"/>
    <n v="68"/>
    <x v="0"/>
    <n v="43713"/>
    <x v="2"/>
    <x v="1"/>
  </r>
  <r>
    <s v="P-0153"/>
    <s v="Dr. Bradshaw"/>
    <s v="Orthopedics"/>
    <x v="0"/>
    <n v="32"/>
    <s v="Medicare"/>
    <s v="Routine Checkup"/>
    <x v="24"/>
    <n v="6592"/>
    <n v="13.04"/>
    <n v="82"/>
    <x v="1"/>
    <n v="38892"/>
    <x v="0"/>
    <x v="0"/>
  </r>
  <r>
    <s v="P-0310"/>
    <s v="Dr. Reyes"/>
    <s v="Pediatrics"/>
    <x v="2"/>
    <n v="17"/>
    <s v="Medicaid"/>
    <s v="Specialist Consultation"/>
    <x v="18"/>
    <n v="3588"/>
    <n v="5.03"/>
    <n v="63"/>
    <x v="0"/>
    <n v="13638"/>
    <x v="0"/>
    <x v="1"/>
  </r>
  <r>
    <s v="P-0155"/>
    <s v="Dr. Wright"/>
    <s v="Neurology"/>
    <x v="1"/>
    <n v="67"/>
    <s v="Private"/>
    <s v="Therapy"/>
    <x v="7"/>
    <n v="6028"/>
    <n v="10.52"/>
    <n v="55"/>
    <x v="0"/>
    <n v="31388"/>
    <x v="2"/>
    <x v="0"/>
  </r>
  <r>
    <s v="P-0156"/>
    <s v="Dr. Cherry"/>
    <s v="Orthopedics"/>
    <x v="0"/>
    <n v="13"/>
    <s v="Medicare"/>
    <s v="Emergency Care"/>
    <x v="23"/>
    <n v="3485"/>
    <n v="13.02"/>
    <n v="69"/>
    <x v="0"/>
    <n v="11746"/>
    <x v="2"/>
    <x v="1"/>
  </r>
  <r>
    <s v="P-0157"/>
    <s v="Dr. Rose"/>
    <s v="Emergency"/>
    <x v="1"/>
    <n v="75"/>
    <s v="Medicare"/>
    <s v="Surgery"/>
    <x v="13"/>
    <n v="3255"/>
    <n v="16.600000000000001"/>
    <n v="127"/>
    <x v="0"/>
    <n v="17754"/>
    <x v="0"/>
    <x v="0"/>
  </r>
  <r>
    <s v="P-0392"/>
    <s v="Dr. Lopez"/>
    <s v="Pediatrics"/>
    <x v="1"/>
    <n v="17"/>
    <s v="Medicare"/>
    <s v="Therapy"/>
    <x v="5"/>
    <n v="3696"/>
    <n v="4.75"/>
    <n v="62"/>
    <x v="0"/>
    <n v="22145"/>
    <x v="1"/>
    <x v="1"/>
  </r>
  <r>
    <s v="P-0159"/>
    <s v="Dr. Garcia"/>
    <s v="Cardiology"/>
    <x v="1"/>
    <n v="59"/>
    <s v="Private"/>
    <s v="Therapy"/>
    <x v="9"/>
    <n v="8025"/>
    <n v="15.68"/>
    <n v="86"/>
    <x v="1"/>
    <n v="21230"/>
    <x v="2"/>
    <x v="0"/>
  </r>
  <r>
    <s v="P-0160"/>
    <s v="Dr. Monroe"/>
    <s v="Emergency"/>
    <x v="1"/>
    <n v="47"/>
    <s v="Medicaid"/>
    <s v="Diagnostics"/>
    <x v="8"/>
    <n v="3406"/>
    <n v="22.34"/>
    <n v="119"/>
    <x v="0"/>
    <n v="16464"/>
    <x v="0"/>
    <x v="0"/>
  </r>
  <r>
    <s v="P-0161"/>
    <s v="Dr. Lopez"/>
    <s v="Cardiology"/>
    <x v="1"/>
    <n v="67"/>
    <s v="Medicare"/>
    <s v="Therapy"/>
    <x v="10"/>
    <n v="7857"/>
    <n v="11.79"/>
    <n v="64"/>
    <x v="2"/>
    <n v="43515"/>
    <x v="2"/>
    <x v="0"/>
  </r>
  <r>
    <s v="P-0162"/>
    <s v="Dr. Tran"/>
    <s v="Oncology"/>
    <x v="1"/>
    <n v="55"/>
    <s v="Medicare"/>
    <s v="Diagnostics"/>
    <x v="14"/>
    <n v="7950"/>
    <n v="22.01"/>
    <n v="61"/>
    <x v="0"/>
    <n v="35752"/>
    <x v="2"/>
    <x v="0"/>
  </r>
  <r>
    <s v="P-0163"/>
    <s v="Dr. Reyes"/>
    <s v="Radiology"/>
    <x v="0"/>
    <n v="67"/>
    <s v="Private"/>
    <s v="Therapy"/>
    <x v="28"/>
    <n v="2819"/>
    <n v="0.43"/>
    <n v="68"/>
    <x v="0"/>
    <n v="8099"/>
    <x v="1"/>
    <x v="0"/>
  </r>
  <r>
    <s v="P-0164"/>
    <s v="Dr. Lopez"/>
    <s v="Cardiology"/>
    <x v="0"/>
    <n v="65"/>
    <s v="Medicare"/>
    <s v="Specialist Consultation"/>
    <x v="9"/>
    <n v="7476"/>
    <n v="21.74"/>
    <n v="79"/>
    <x v="0"/>
    <n v="29264"/>
    <x v="2"/>
    <x v="0"/>
  </r>
  <r>
    <s v="P-0165"/>
    <s v="Dr. Lopez"/>
    <s v="Cardiology"/>
    <x v="1"/>
    <n v="68"/>
    <s v="Medicaid"/>
    <s v="Emergency Care"/>
    <x v="9"/>
    <n v="7836"/>
    <n v="18.8"/>
    <n v="60"/>
    <x v="0"/>
    <n v="42019"/>
    <x v="2"/>
    <x v="0"/>
  </r>
  <r>
    <s v="P-0166"/>
    <s v="Dr. Lawson"/>
    <s v="Neurology"/>
    <x v="1"/>
    <n v="47"/>
    <s v="Medicaid"/>
    <s v="Therapy"/>
    <x v="10"/>
    <n v="4838"/>
    <n v="8.43"/>
    <n v="69"/>
    <x v="2"/>
    <n v="19692"/>
    <x v="2"/>
    <x v="0"/>
  </r>
  <r>
    <s v="P-0167"/>
    <s v="Dr. Villa"/>
    <s v="General Surgery"/>
    <x v="1"/>
    <n v="32"/>
    <s v="Medicare"/>
    <s v="Specialist Consultation"/>
    <x v="0"/>
    <n v="11955"/>
    <n v="21.04"/>
    <n v="68"/>
    <x v="2"/>
    <n v="45778"/>
    <x v="0"/>
    <x v="0"/>
  </r>
  <r>
    <s v="P-0168"/>
    <s v="Dr. Mcguire"/>
    <s v="Orthopedics"/>
    <x v="1"/>
    <n v="46"/>
    <s v="Private"/>
    <s v="Diagnostics"/>
    <x v="3"/>
    <n v="5454"/>
    <n v="11.92"/>
    <n v="97"/>
    <x v="1"/>
    <n v="21248"/>
    <x v="0"/>
    <x v="0"/>
  </r>
  <r>
    <s v="P-0169"/>
    <s v="Dr. Clark"/>
    <s v="Oncology"/>
    <x v="1"/>
    <n v="65"/>
    <s v="Private"/>
    <s v="Specialist Consultation"/>
    <x v="18"/>
    <n v="10214"/>
    <n v="16.260000000000002"/>
    <n v="128"/>
    <x v="0"/>
    <n v="59694"/>
    <x v="0"/>
    <x v="0"/>
  </r>
  <r>
    <s v="P-0170"/>
    <s v="Dr. Wright"/>
    <s v="Neurology"/>
    <x v="0"/>
    <n v="39"/>
    <s v="Private"/>
    <s v="Emergency Care"/>
    <x v="18"/>
    <n v="6254"/>
    <n v="17.21"/>
    <n v="97"/>
    <x v="1"/>
    <n v="21255"/>
    <x v="0"/>
    <x v="0"/>
  </r>
  <r>
    <s v="P-0171"/>
    <s v="Dr. Wright"/>
    <s v="Neurology"/>
    <x v="0"/>
    <n v="25"/>
    <s v="Medicaid"/>
    <s v="Diagnostics"/>
    <x v="14"/>
    <n v="6733"/>
    <n v="20.57"/>
    <n v="67"/>
    <x v="1"/>
    <n v="33708"/>
    <x v="2"/>
    <x v="0"/>
  </r>
  <r>
    <s v="P-0172"/>
    <s v="Dr. Castillo"/>
    <s v="General Surgery"/>
    <x v="1"/>
    <n v="32"/>
    <s v="Medicare"/>
    <s v="Specialist Consultation"/>
    <x v="18"/>
    <n v="8758"/>
    <n v="16.36"/>
    <n v="63"/>
    <x v="0"/>
    <n v="37992"/>
    <x v="0"/>
    <x v="0"/>
  </r>
  <r>
    <s v="P-0173"/>
    <s v="Dr. Reyes"/>
    <s v="Radiology"/>
    <x v="0"/>
    <n v="32"/>
    <s v="Medicare"/>
    <s v="Surgery"/>
    <x v="22"/>
    <n v="1703"/>
    <n v="6.76"/>
    <n v="51"/>
    <x v="0"/>
    <n v="9061"/>
    <x v="1"/>
    <x v="0"/>
  </r>
  <r>
    <s v="P-0174"/>
    <s v="Dr. Mccarty"/>
    <s v="Cardiology"/>
    <x v="1"/>
    <n v="33"/>
    <s v="Medicare"/>
    <s v="Specialist Consultation"/>
    <x v="17"/>
    <n v="7660"/>
    <n v="16.559999999999999"/>
    <n v="86"/>
    <x v="0"/>
    <n v="42855"/>
    <x v="2"/>
    <x v="0"/>
  </r>
  <r>
    <s v="P-0396"/>
    <s v="Dr. King"/>
    <s v="Pediatrics"/>
    <x v="0"/>
    <n v="17"/>
    <s v="Medicare"/>
    <s v="Therapy"/>
    <x v="4"/>
    <n v="3422"/>
    <n v="8.64"/>
    <n v="48"/>
    <x v="0"/>
    <n v="14874"/>
    <x v="1"/>
    <x v="1"/>
  </r>
  <r>
    <s v="P-0176"/>
    <s v="Dr. Hicks"/>
    <s v="Emergency"/>
    <x v="0"/>
    <n v="61"/>
    <s v="Private"/>
    <s v="Surgery"/>
    <x v="9"/>
    <n v="4773"/>
    <n v="14.69"/>
    <n v="98"/>
    <x v="0"/>
    <n v="19479"/>
    <x v="2"/>
    <x v="0"/>
  </r>
  <r>
    <s v="P-0177"/>
    <s v="Dr. Villa"/>
    <s v="General Surgery"/>
    <x v="1"/>
    <n v="21"/>
    <s v="Medicaid"/>
    <s v="Surgery"/>
    <x v="1"/>
    <n v="10140"/>
    <n v="18.66"/>
    <n v="101"/>
    <x v="0"/>
    <n v="26188"/>
    <x v="0"/>
    <x v="0"/>
  </r>
  <r>
    <s v="P-0178"/>
    <s v="Dr. Castillo"/>
    <s v="General Surgery"/>
    <x v="1"/>
    <n v="69"/>
    <s v="Medicare"/>
    <s v="Diagnostics"/>
    <x v="9"/>
    <n v="6233"/>
    <n v="18.07"/>
    <n v="127"/>
    <x v="1"/>
    <n v="26419"/>
    <x v="2"/>
    <x v="0"/>
  </r>
  <r>
    <s v="P-0499"/>
    <s v="Dr. Reyes"/>
    <s v="Pediatrics"/>
    <x v="0"/>
    <n v="17"/>
    <s v="Medicare"/>
    <s v="Specialist Consultation"/>
    <x v="27"/>
    <n v="2595"/>
    <n v="6.39"/>
    <n v="100"/>
    <x v="0"/>
    <n v="9947"/>
    <x v="1"/>
    <x v="1"/>
  </r>
  <r>
    <s v="P-0180"/>
    <s v="Dr. Villa"/>
    <s v="General Surgery"/>
    <x v="0"/>
    <n v="22"/>
    <s v="Medicare"/>
    <s v="Therapy"/>
    <x v="0"/>
    <n v="7944"/>
    <n v="16.21"/>
    <n v="80"/>
    <x v="0"/>
    <n v="42113"/>
    <x v="0"/>
    <x v="0"/>
  </r>
  <r>
    <s v="P-0181"/>
    <s v="Dr. Snyder"/>
    <s v="Emergency"/>
    <x v="1"/>
    <n v="49"/>
    <s v="Medicare"/>
    <s v="Diagnostics"/>
    <x v="31"/>
    <n v="3731"/>
    <n v="21.33"/>
    <n v="78"/>
    <x v="1"/>
    <n v="13676"/>
    <x v="0"/>
    <x v="0"/>
  </r>
  <r>
    <s v="P-0182"/>
    <s v="Dr. Kidd"/>
    <s v="Cardiology"/>
    <x v="0"/>
    <n v="58"/>
    <s v="Private"/>
    <s v="Specialist Consultation"/>
    <x v="13"/>
    <n v="6635"/>
    <n v="22.91"/>
    <n v="123"/>
    <x v="1"/>
    <n v="38825"/>
    <x v="0"/>
    <x v="0"/>
  </r>
  <r>
    <s v="P-0183"/>
    <s v="Dr. Horton"/>
    <s v="General Surgery"/>
    <x v="1"/>
    <n v="55"/>
    <s v="Medicaid"/>
    <s v="Diagnostics"/>
    <x v="23"/>
    <n v="9304"/>
    <n v="11.35"/>
    <n v="76"/>
    <x v="0"/>
    <n v="47883"/>
    <x v="2"/>
    <x v="0"/>
  </r>
  <r>
    <s v="P-0184"/>
    <s v="Dr. Horton"/>
    <s v="General Surgery"/>
    <x v="0"/>
    <n v="71"/>
    <s v="Private"/>
    <s v="Diagnostics"/>
    <x v="14"/>
    <n v="8038"/>
    <n v="11.37"/>
    <n v="70"/>
    <x v="0"/>
    <n v="43783"/>
    <x v="2"/>
    <x v="0"/>
  </r>
  <r>
    <s v="P-0185"/>
    <s v="Dr. Wright"/>
    <s v="Neurology"/>
    <x v="1"/>
    <n v="90"/>
    <s v="Medicaid"/>
    <s v="Surgery"/>
    <x v="9"/>
    <n v="6749"/>
    <n v="13.76"/>
    <n v="97"/>
    <x v="0"/>
    <n v="35345"/>
    <x v="2"/>
    <x v="0"/>
  </r>
  <r>
    <s v="P-0186"/>
    <s v="Dr. Garcia"/>
    <s v="Cardiology"/>
    <x v="2"/>
    <n v="23"/>
    <s v="Medicaid"/>
    <s v="Routine Checkup"/>
    <x v="12"/>
    <n v="6013"/>
    <n v="15.04"/>
    <n v="67"/>
    <x v="0"/>
    <n v="21462"/>
    <x v="2"/>
    <x v="0"/>
  </r>
  <r>
    <s v="P-0187"/>
    <s v="Dr. Wright"/>
    <s v="Neurology"/>
    <x v="0"/>
    <n v="22"/>
    <s v="Medicaid"/>
    <s v="Surgery"/>
    <x v="9"/>
    <n v="7005"/>
    <n v="24.97"/>
    <n v="46"/>
    <x v="0"/>
    <n v="41837"/>
    <x v="2"/>
    <x v="0"/>
  </r>
  <r>
    <s v="P-0188"/>
    <s v="Dr. Lopez"/>
    <s v="Cardiology"/>
    <x v="2"/>
    <n v="37"/>
    <s v="Private"/>
    <s v="Surgery"/>
    <x v="7"/>
    <n v="6385"/>
    <n v="20.67"/>
    <n v="94"/>
    <x v="0"/>
    <n v="22771"/>
    <x v="2"/>
    <x v="0"/>
  </r>
  <r>
    <s v="P-0189"/>
    <s v="Dr. Lopez"/>
    <s v="Cardiology"/>
    <x v="0"/>
    <n v="41"/>
    <s v="Medicaid"/>
    <s v="Diagnostics"/>
    <x v="12"/>
    <n v="7751"/>
    <n v="12.41"/>
    <n v="69"/>
    <x v="0"/>
    <n v="36766"/>
    <x v="2"/>
    <x v="0"/>
  </r>
  <r>
    <s v="P-0190"/>
    <s v="Dr. Mcguire"/>
    <s v="Orthopedics"/>
    <x v="0"/>
    <n v="40"/>
    <s v="Medicare"/>
    <s v="Routine Checkup"/>
    <x v="9"/>
    <n v="8957"/>
    <n v="10.8"/>
    <n v="78"/>
    <x v="0"/>
    <n v="38147"/>
    <x v="2"/>
    <x v="0"/>
  </r>
  <r>
    <s v="P-0191"/>
    <s v="Dr. Smith"/>
    <s v="General Surgery"/>
    <x v="1"/>
    <n v="23"/>
    <s v="Private"/>
    <s v="Therapy"/>
    <x v="7"/>
    <n v="7902"/>
    <n v="16.25"/>
    <n v="88"/>
    <x v="0"/>
    <n v="46466"/>
    <x v="2"/>
    <x v="0"/>
  </r>
  <r>
    <s v="P-0192"/>
    <s v="Dr. Lawson"/>
    <s v="Neurology"/>
    <x v="1"/>
    <n v="8"/>
    <s v="Medicare"/>
    <s v="Diagnostics"/>
    <x v="23"/>
    <n v="2745"/>
    <n v="16.170000000000002"/>
    <n v="77"/>
    <x v="0"/>
    <n v="8938"/>
    <x v="2"/>
    <x v="1"/>
  </r>
  <r>
    <s v="P-0193"/>
    <s v="Dr. Bradshaw"/>
    <s v="Orthopedics"/>
    <x v="1"/>
    <n v="75"/>
    <s v="Medicare"/>
    <s v="Therapy"/>
    <x v="18"/>
    <n v="5743"/>
    <n v="17.96"/>
    <n v="99"/>
    <x v="0"/>
    <n v="34129"/>
    <x v="0"/>
    <x v="0"/>
  </r>
  <r>
    <s v="P-0194"/>
    <s v="Dr. Webb"/>
    <s v="General Surgery"/>
    <x v="1"/>
    <n v="33"/>
    <s v="Medicare"/>
    <s v="Diagnostics"/>
    <x v="23"/>
    <n v="8338"/>
    <n v="14.17"/>
    <n v="86"/>
    <x v="0"/>
    <n v="22662"/>
    <x v="2"/>
    <x v="0"/>
  </r>
  <r>
    <s v="P-0576"/>
    <s v="Dr. Holloway"/>
    <s v="Pediatrics"/>
    <x v="1"/>
    <n v="17"/>
    <s v="Private"/>
    <s v="Routine Checkup"/>
    <x v="2"/>
    <n v="3035"/>
    <n v="11.8"/>
    <n v="8"/>
    <x v="0"/>
    <n v="12332"/>
    <x v="1"/>
    <x v="1"/>
  </r>
  <r>
    <s v="P-0577"/>
    <s v="Dr. King"/>
    <s v="Pediatrics"/>
    <x v="0"/>
    <n v="17"/>
    <s v="Medicare"/>
    <s v="Therapy"/>
    <x v="10"/>
    <n v="3576"/>
    <n v="9.85"/>
    <n v="53"/>
    <x v="0"/>
    <n v="18053"/>
    <x v="2"/>
    <x v="1"/>
  </r>
  <r>
    <s v="P-0197"/>
    <s v="Dr. Ward"/>
    <s v="Radiology"/>
    <x v="0"/>
    <n v="55"/>
    <s v="Medicare"/>
    <s v="Emergency Care"/>
    <x v="22"/>
    <n v="2211"/>
    <n v="0"/>
    <n v="60"/>
    <x v="0"/>
    <n v="9669"/>
    <x v="1"/>
    <x v="0"/>
  </r>
  <r>
    <s v="P-0836"/>
    <s v="Dr. Holloway"/>
    <s v="Pediatrics"/>
    <x v="0"/>
    <n v="17"/>
    <s v="Medicaid"/>
    <s v="Therapy"/>
    <x v="17"/>
    <n v="3033"/>
    <n v="3.52"/>
    <n v="70"/>
    <x v="0"/>
    <n v="11899"/>
    <x v="2"/>
    <x v="1"/>
  </r>
  <r>
    <s v="P-0199"/>
    <s v="Dr. Lara"/>
    <s v="Neurology"/>
    <x v="2"/>
    <n v="41"/>
    <s v="Private"/>
    <s v="Therapy"/>
    <x v="2"/>
    <n v="4716"/>
    <n v="8.5500000000000007"/>
    <n v="124"/>
    <x v="0"/>
    <n v="26514"/>
    <x v="1"/>
    <x v="0"/>
  </r>
  <r>
    <s v="P-0875"/>
    <s v="Dr. Owens"/>
    <s v="Pediatrics"/>
    <x v="1"/>
    <n v="17"/>
    <s v="Medicaid"/>
    <s v="Diagnostics"/>
    <x v="7"/>
    <n v="3746"/>
    <n v="16.93"/>
    <n v="28"/>
    <x v="0"/>
    <n v="10474"/>
    <x v="2"/>
    <x v="1"/>
  </r>
  <r>
    <s v="P-0201"/>
    <s v="Dr. Castillo"/>
    <s v="General Surgery"/>
    <x v="0"/>
    <n v="59"/>
    <s v="Medicare"/>
    <s v="Specialist Consultation"/>
    <x v="3"/>
    <n v="11343"/>
    <n v="23.25"/>
    <n v="100"/>
    <x v="1"/>
    <n v="34319"/>
    <x v="0"/>
    <x v="0"/>
  </r>
  <r>
    <s v="P-0202"/>
    <s v="Dr. Lawson"/>
    <s v="Neurology"/>
    <x v="1"/>
    <n v="46"/>
    <s v="Medicare"/>
    <s v="Diagnostics"/>
    <x v="0"/>
    <n v="6202"/>
    <n v="15.36"/>
    <n v="124"/>
    <x v="1"/>
    <n v="17069"/>
    <x v="0"/>
    <x v="0"/>
  </r>
  <r>
    <s v="P-0203"/>
    <s v="Dr. Reyes"/>
    <s v="Radiology"/>
    <x v="0"/>
    <n v="18"/>
    <s v="Medicaid"/>
    <s v="Therapy"/>
    <x v="22"/>
    <n v="3100"/>
    <n v="2.37"/>
    <n v="25"/>
    <x v="0"/>
    <n v="9639"/>
    <x v="1"/>
    <x v="1"/>
  </r>
  <r>
    <s v="P-0204"/>
    <s v="Dr. Reyes"/>
    <s v="Radiology"/>
    <x v="0"/>
    <n v="50"/>
    <s v="Medicare"/>
    <s v="Therapy"/>
    <x v="21"/>
    <n v="2109"/>
    <n v="8.52"/>
    <n v="30"/>
    <x v="2"/>
    <n v="8091"/>
    <x v="1"/>
    <x v="0"/>
  </r>
  <r>
    <s v="P-0205"/>
    <s v="Dr. Rose"/>
    <s v="Emergency"/>
    <x v="1"/>
    <n v="38"/>
    <s v="Medicaid"/>
    <s v="Specialist Consultation"/>
    <x v="18"/>
    <n v="4429"/>
    <n v="20.22"/>
    <n v="104"/>
    <x v="2"/>
    <n v="11722"/>
    <x v="0"/>
    <x v="0"/>
  </r>
  <r>
    <s v="P-0206"/>
    <s v="Dr. Cherry"/>
    <s v="Orthopedics"/>
    <x v="0"/>
    <n v="74"/>
    <s v="Medicare"/>
    <s v="Emergency Care"/>
    <x v="26"/>
    <n v="6894"/>
    <n v="14.37"/>
    <n v="110"/>
    <x v="0"/>
    <n v="25397"/>
    <x v="0"/>
    <x v="0"/>
  </r>
  <r>
    <s v="P-0207"/>
    <s v="Dr. Kidd"/>
    <s v="Cardiology"/>
    <x v="1"/>
    <n v="24"/>
    <s v="Medicare"/>
    <s v="Emergency Care"/>
    <x v="17"/>
    <n v="9878"/>
    <n v="11.59"/>
    <n v="45"/>
    <x v="0"/>
    <n v="55358"/>
    <x v="2"/>
    <x v="0"/>
  </r>
  <r>
    <s v="P-0208"/>
    <s v="Dr. Hicks"/>
    <s v="Emergency"/>
    <x v="0"/>
    <n v="18"/>
    <s v="Medicare"/>
    <s v="Diagnostics"/>
    <x v="18"/>
    <n v="3712"/>
    <n v="19.059999999999999"/>
    <n v="128"/>
    <x v="1"/>
    <n v="15263"/>
    <x v="0"/>
    <x v="1"/>
  </r>
  <r>
    <s v="P-0917"/>
    <s v="Dr. Reyes"/>
    <s v="Pediatrics"/>
    <x v="1"/>
    <n v="17"/>
    <s v="Medicaid"/>
    <s v="Routine Checkup"/>
    <x v="1"/>
    <n v="3312"/>
    <n v="6.69"/>
    <n v="97"/>
    <x v="0"/>
    <n v="11399"/>
    <x v="0"/>
    <x v="1"/>
  </r>
  <r>
    <s v="P-0210"/>
    <s v="Dr. Adams"/>
    <s v="Neurology"/>
    <x v="1"/>
    <n v="43"/>
    <s v="Medicaid"/>
    <s v="Surgery"/>
    <x v="24"/>
    <n v="7556"/>
    <n v="17.309999999999999"/>
    <n v="88"/>
    <x v="1"/>
    <n v="41123"/>
    <x v="0"/>
    <x v="0"/>
  </r>
  <r>
    <s v="P-0211"/>
    <s v="Dr. Clark"/>
    <s v="Oncology"/>
    <x v="0"/>
    <n v="51"/>
    <s v="Private"/>
    <s v="Routine Checkup"/>
    <x v="3"/>
    <n v="8385"/>
    <n v="24.41"/>
    <n v="114"/>
    <x v="1"/>
    <n v="41179"/>
    <x v="0"/>
    <x v="0"/>
  </r>
  <r>
    <s v="P-0212"/>
    <s v="Dr. Villa"/>
    <s v="General Surgery"/>
    <x v="1"/>
    <n v="51"/>
    <s v="Medicaid"/>
    <s v="Emergency Care"/>
    <x v="26"/>
    <n v="7879"/>
    <n v="18.91"/>
    <n v="113"/>
    <x v="1"/>
    <n v="26500"/>
    <x v="0"/>
    <x v="0"/>
  </r>
  <r>
    <s v="P-0213"/>
    <s v="Dr. Villa"/>
    <s v="General Surgery"/>
    <x v="0"/>
    <n v="40"/>
    <s v="Private"/>
    <s v="Emergency Care"/>
    <x v="4"/>
    <n v="7955"/>
    <n v="19.350000000000001"/>
    <n v="77"/>
    <x v="0"/>
    <n v="37038"/>
    <x v="1"/>
    <x v="0"/>
  </r>
  <r>
    <s v="P-0214"/>
    <s v="Dr. Villa"/>
    <s v="General Surgery"/>
    <x v="2"/>
    <n v="34"/>
    <s v="Medicare"/>
    <s v="Specialist Consultation"/>
    <x v="29"/>
    <n v="9500"/>
    <n v="22.82"/>
    <n v="72"/>
    <x v="1"/>
    <n v="28700"/>
    <x v="0"/>
    <x v="0"/>
  </r>
  <r>
    <s v="P-0215"/>
    <s v="Dr. Reyes"/>
    <s v="Radiology"/>
    <x v="1"/>
    <n v="59"/>
    <s v="Medicare"/>
    <s v="Routine Checkup"/>
    <x v="21"/>
    <n v="3363"/>
    <n v="3.4"/>
    <n v="37"/>
    <x v="2"/>
    <n v="13015"/>
    <x v="1"/>
    <x v="0"/>
  </r>
  <r>
    <s v="P-0216"/>
    <s v="Dr. Holmes"/>
    <s v="Radiology"/>
    <x v="1"/>
    <n v="78"/>
    <s v="Medicare"/>
    <s v="Therapy"/>
    <x v="33"/>
    <n v="3083"/>
    <n v="2.71"/>
    <n v="29"/>
    <x v="0"/>
    <n v="12897"/>
    <x v="1"/>
    <x v="0"/>
  </r>
  <r>
    <s v="P-0091"/>
    <s v="Dr. Holloway"/>
    <s v="Pediatrics"/>
    <x v="0"/>
    <n v="16"/>
    <s v="Medicare"/>
    <s v="Therapy"/>
    <x v="6"/>
    <n v="4129"/>
    <n v="13.38"/>
    <n v="69"/>
    <x v="0"/>
    <n v="23825"/>
    <x v="1"/>
    <x v="1"/>
  </r>
  <r>
    <s v="P-0218"/>
    <s v="Dr. Snyder"/>
    <s v="Emergency"/>
    <x v="1"/>
    <n v="32"/>
    <s v="Medicaid"/>
    <s v="Specialist Consultation"/>
    <x v="0"/>
    <n v="3495"/>
    <n v="23.25"/>
    <n v="126"/>
    <x v="1"/>
    <n v="17394"/>
    <x v="0"/>
    <x v="0"/>
  </r>
  <r>
    <s v="P-0219"/>
    <s v="Dr. Rose"/>
    <s v="Emergency"/>
    <x v="0"/>
    <n v="46"/>
    <s v="Medicare"/>
    <s v="Routine Checkup"/>
    <x v="31"/>
    <n v="2700"/>
    <n v="17.23"/>
    <n v="139"/>
    <x v="1"/>
    <n v="7587"/>
    <x v="0"/>
    <x v="0"/>
  </r>
  <r>
    <s v="P-0403"/>
    <s v="Dr. Owens"/>
    <s v="Pediatrics"/>
    <x v="1"/>
    <n v="16"/>
    <s v="Medicare"/>
    <s v="Therapy"/>
    <x v="6"/>
    <n v="3377"/>
    <n v="4.78"/>
    <n v="72"/>
    <x v="0"/>
    <n v="20229"/>
    <x v="1"/>
    <x v="1"/>
  </r>
  <r>
    <s v="P-0221"/>
    <s v="Dr. Lawson"/>
    <s v="Neurology"/>
    <x v="0"/>
    <n v="40"/>
    <s v="Medicaid"/>
    <s v="Emergency Care"/>
    <x v="15"/>
    <n v="6016"/>
    <n v="19.350000000000001"/>
    <n v="70"/>
    <x v="2"/>
    <n v="18924"/>
    <x v="1"/>
    <x v="0"/>
  </r>
  <r>
    <s v="P-0222"/>
    <s v="Dr. Mcguire"/>
    <s v="Orthopedics"/>
    <x v="1"/>
    <n v="16"/>
    <s v="Medicare"/>
    <s v="Specialist Consultation"/>
    <x v="1"/>
    <n v="5366"/>
    <n v="15.09"/>
    <n v="51"/>
    <x v="0"/>
    <n v="31081"/>
    <x v="0"/>
    <x v="1"/>
  </r>
  <r>
    <s v="P-0223"/>
    <s v="Dr. Lawson"/>
    <s v="Neurology"/>
    <x v="0"/>
    <n v="35"/>
    <s v="Medicare"/>
    <s v="Specialist Consultation"/>
    <x v="24"/>
    <n v="7167"/>
    <n v="12.87"/>
    <n v="58"/>
    <x v="1"/>
    <n v="21265"/>
    <x v="0"/>
    <x v="0"/>
  </r>
  <r>
    <s v="P-0224"/>
    <s v="Dr. Ward"/>
    <s v="Radiology"/>
    <x v="1"/>
    <n v="49"/>
    <s v="Medicaid"/>
    <s v="Diagnostics"/>
    <x v="34"/>
    <n v="1064"/>
    <n v="4.3600000000000003"/>
    <n v="37"/>
    <x v="2"/>
    <n v="3251"/>
    <x v="1"/>
    <x v="0"/>
  </r>
  <r>
    <s v="P-0225"/>
    <s v="Dr. Cherry"/>
    <s v="Orthopedics"/>
    <x v="1"/>
    <n v="25"/>
    <s v="Medicare"/>
    <s v="Diagnostics"/>
    <x v="7"/>
    <n v="6919"/>
    <n v="16.91"/>
    <n v="81"/>
    <x v="0"/>
    <n v="23635"/>
    <x v="2"/>
    <x v="0"/>
  </r>
  <r>
    <s v="P-0408"/>
    <s v="Dr. Lopez"/>
    <s v="Pediatrics"/>
    <x v="0"/>
    <n v="16"/>
    <s v="Private"/>
    <s v="Therapy"/>
    <x v="35"/>
    <n v="1849"/>
    <n v="7.4"/>
    <n v="52"/>
    <x v="2"/>
    <n v="5510"/>
    <x v="1"/>
    <x v="1"/>
  </r>
  <r>
    <s v="P-0227"/>
    <s v="Dr. Clark"/>
    <s v="Oncology"/>
    <x v="2"/>
    <n v="44"/>
    <s v="Medicaid"/>
    <s v="Diagnostics"/>
    <x v="17"/>
    <n v="4121"/>
    <n v="17.54"/>
    <n v="65"/>
    <x v="0"/>
    <n v="10617"/>
    <x v="2"/>
    <x v="0"/>
  </r>
  <r>
    <s v="P-0228"/>
    <s v="Dr. Kidd"/>
    <s v="Cardiology"/>
    <x v="1"/>
    <n v="49"/>
    <s v="Medicaid"/>
    <s v="Emergency Care"/>
    <x v="7"/>
    <n v="7983"/>
    <n v="16.39"/>
    <n v="86"/>
    <x v="0"/>
    <n v="27226"/>
    <x v="2"/>
    <x v="0"/>
  </r>
  <r>
    <s v="P-0229"/>
    <s v="Dr. Villa"/>
    <s v="General Surgery"/>
    <x v="0"/>
    <n v="60"/>
    <s v="Medicaid"/>
    <s v="Diagnostics"/>
    <x v="2"/>
    <n v="9528"/>
    <n v="11.57"/>
    <n v="69"/>
    <x v="0"/>
    <n v="44113"/>
    <x v="1"/>
    <x v="0"/>
  </r>
  <r>
    <s v="P-0230"/>
    <s v="Dr. Reyes"/>
    <s v="Radiology"/>
    <x v="1"/>
    <n v="28"/>
    <s v="Private"/>
    <s v="Surgery"/>
    <x v="35"/>
    <n v="2286"/>
    <n v="2.83"/>
    <n v="38"/>
    <x v="0"/>
    <n v="10205"/>
    <x v="1"/>
    <x v="0"/>
  </r>
  <r>
    <s v="P-0231"/>
    <s v="Dr. Rose"/>
    <s v="Emergency"/>
    <x v="0"/>
    <n v="24"/>
    <s v="Medicaid"/>
    <s v="Diagnostics"/>
    <x v="1"/>
    <n v="3800"/>
    <n v="20.77"/>
    <n v="111"/>
    <x v="1"/>
    <n v="16729"/>
    <x v="0"/>
    <x v="0"/>
  </r>
  <r>
    <s v="P-0232"/>
    <s v="Dr. Pierce"/>
    <s v="Oncology"/>
    <x v="0"/>
    <n v="43"/>
    <s v="Medicare"/>
    <s v="Specialist Consultation"/>
    <x v="10"/>
    <n v="5973"/>
    <n v="13.77"/>
    <n v="63"/>
    <x v="2"/>
    <n v="23540"/>
    <x v="2"/>
    <x v="0"/>
  </r>
  <r>
    <s v="P-0233"/>
    <s v="Dr. Mcguire"/>
    <s v="Orthopedics"/>
    <x v="1"/>
    <n v="57"/>
    <s v="Private"/>
    <s v="Emergency Care"/>
    <x v="24"/>
    <n v="6024"/>
    <n v="9.09"/>
    <n v="116"/>
    <x v="0"/>
    <n v="16155"/>
    <x v="0"/>
    <x v="0"/>
  </r>
  <r>
    <s v="P-0234"/>
    <s v="Dr. Mcguire"/>
    <s v="Orthopedics"/>
    <x v="1"/>
    <n v="32"/>
    <s v="Private"/>
    <s v="Therapy"/>
    <x v="22"/>
    <n v="5149"/>
    <n v="9.9600000000000009"/>
    <n v="87"/>
    <x v="0"/>
    <n v="22232"/>
    <x v="1"/>
    <x v="0"/>
  </r>
  <r>
    <s v="P-0235"/>
    <s v="Dr. Lara"/>
    <s v="Neurology"/>
    <x v="1"/>
    <n v="51"/>
    <s v="Medicaid"/>
    <s v="Specialist Consultation"/>
    <x v="22"/>
    <n v="6120"/>
    <n v="8.75"/>
    <n v="84"/>
    <x v="0"/>
    <n v="26838"/>
    <x v="1"/>
    <x v="0"/>
  </r>
  <r>
    <s v="P-0236"/>
    <s v="Dr. Byrd"/>
    <s v="Radiology"/>
    <x v="0"/>
    <n v="25"/>
    <s v="Private"/>
    <s v="Surgery"/>
    <x v="34"/>
    <n v="3019"/>
    <n v="7.02"/>
    <n v="44"/>
    <x v="0"/>
    <n v="17738"/>
    <x v="1"/>
    <x v="0"/>
  </r>
  <r>
    <s v="P-0237"/>
    <s v="Dr. Kidd"/>
    <s v="Cardiology"/>
    <x v="0"/>
    <n v="47"/>
    <s v="Medicare"/>
    <s v="Emergency Care"/>
    <x v="33"/>
    <n v="8286"/>
    <n v="13.33"/>
    <n v="56"/>
    <x v="2"/>
    <n v="43855"/>
    <x v="1"/>
    <x v="0"/>
  </r>
  <r>
    <s v="P-0476"/>
    <s v="Dr. Owens"/>
    <s v="Pediatrics"/>
    <x v="0"/>
    <n v="16"/>
    <s v="Medicaid"/>
    <s v="Diagnostics"/>
    <x v="12"/>
    <n v="3709"/>
    <n v="12.64"/>
    <n v="63"/>
    <x v="0"/>
    <n v="9286"/>
    <x v="2"/>
    <x v="1"/>
  </r>
  <r>
    <s v="P-0239"/>
    <s v="Dr. Wang"/>
    <s v="Cardiology"/>
    <x v="0"/>
    <n v="38"/>
    <s v="Medicaid"/>
    <s v="Diagnostics"/>
    <x v="5"/>
    <n v="5662"/>
    <n v="17.690000000000001"/>
    <n v="76"/>
    <x v="0"/>
    <n v="15809"/>
    <x v="1"/>
    <x v="0"/>
  </r>
  <r>
    <s v="P-0240"/>
    <s v="Dr. Snyder"/>
    <s v="Emergency"/>
    <x v="1"/>
    <n v="48"/>
    <s v="Private"/>
    <s v="Surgery"/>
    <x v="0"/>
    <n v="3864"/>
    <n v="18.02"/>
    <n v="114"/>
    <x v="0"/>
    <n v="18692"/>
    <x v="0"/>
    <x v="0"/>
  </r>
  <r>
    <s v="P-0241"/>
    <s v="Dr. Lopez"/>
    <s v="Cardiology"/>
    <x v="0"/>
    <n v="23"/>
    <s v="Medicaid"/>
    <s v="Emergency Care"/>
    <x v="23"/>
    <n v="6737"/>
    <n v="19.940000000000001"/>
    <n v="93"/>
    <x v="2"/>
    <n v="33804"/>
    <x v="2"/>
    <x v="0"/>
  </r>
  <r>
    <s v="P-0242"/>
    <s v="Dr. Hicks"/>
    <s v="Emergency"/>
    <x v="1"/>
    <n v="28"/>
    <s v="Private"/>
    <s v="Therapy"/>
    <x v="23"/>
    <n v="3689"/>
    <n v="19.22"/>
    <n v="121"/>
    <x v="0"/>
    <n v="13281"/>
    <x v="2"/>
    <x v="0"/>
  </r>
  <r>
    <s v="P-0243"/>
    <s v="Dr. Pierce"/>
    <s v="Oncology"/>
    <x v="0"/>
    <n v="71"/>
    <s v="Medicaid"/>
    <s v="Routine Checkup"/>
    <x v="15"/>
    <n v="4605"/>
    <n v="11.57"/>
    <n v="77"/>
    <x v="0"/>
    <n v="16915"/>
    <x v="1"/>
    <x v="0"/>
  </r>
  <r>
    <s v="P-0244"/>
    <s v="Dr. Anderson"/>
    <s v="Oncology"/>
    <x v="1"/>
    <n v="55"/>
    <s v="Private"/>
    <s v="Therapy"/>
    <x v="10"/>
    <n v="7095"/>
    <n v="12.36"/>
    <n v="63"/>
    <x v="1"/>
    <n v="36332"/>
    <x v="2"/>
    <x v="0"/>
  </r>
  <r>
    <s v="P-0245"/>
    <s v="Dr. Hicks"/>
    <s v="Emergency"/>
    <x v="0"/>
    <n v="69"/>
    <s v="Private"/>
    <s v="Routine Checkup"/>
    <x v="3"/>
    <n v="4198"/>
    <n v="16.27"/>
    <n v="140"/>
    <x v="0"/>
    <n v="19812"/>
    <x v="0"/>
    <x v="0"/>
  </r>
  <r>
    <s v="P-0246"/>
    <s v="Dr. Cherry"/>
    <s v="Orthopedics"/>
    <x v="1"/>
    <n v="52"/>
    <s v="Private"/>
    <s v="Routine Checkup"/>
    <x v="17"/>
    <n v="7433"/>
    <n v="7.51"/>
    <n v="59"/>
    <x v="0"/>
    <n v="40358"/>
    <x v="2"/>
    <x v="0"/>
  </r>
  <r>
    <s v="P-0247"/>
    <s v="Dr. Hicks"/>
    <s v="Emergency"/>
    <x v="0"/>
    <n v="62"/>
    <s v="Private"/>
    <s v="Therapy"/>
    <x v="29"/>
    <n v="3588"/>
    <n v="25.76"/>
    <n v="83"/>
    <x v="1"/>
    <n v="9386"/>
    <x v="0"/>
    <x v="0"/>
  </r>
  <r>
    <s v="P-0592"/>
    <s v="Dr. Owens"/>
    <s v="Pediatrics"/>
    <x v="0"/>
    <n v="16"/>
    <s v="Private"/>
    <s v="Therapy"/>
    <x v="24"/>
    <n v="4010"/>
    <n v="15.38"/>
    <n v="48"/>
    <x v="1"/>
    <n v="11521"/>
    <x v="0"/>
    <x v="1"/>
  </r>
  <r>
    <s v="P-0249"/>
    <s v="Dr. Byrd"/>
    <s v="Radiology"/>
    <x v="1"/>
    <n v="58"/>
    <s v="Private"/>
    <s v="Surgery"/>
    <x v="21"/>
    <n v="2433"/>
    <n v="1.1000000000000001"/>
    <n v="82"/>
    <x v="0"/>
    <n v="10737"/>
    <x v="1"/>
    <x v="0"/>
  </r>
  <r>
    <s v="P-0250"/>
    <s v="Dr. Villa"/>
    <s v="General Surgery"/>
    <x v="0"/>
    <n v="50"/>
    <s v="Private"/>
    <s v="Surgery"/>
    <x v="7"/>
    <n v="8662"/>
    <n v="13.23"/>
    <n v="93"/>
    <x v="0"/>
    <n v="47677"/>
    <x v="2"/>
    <x v="0"/>
  </r>
  <r>
    <s v="P-0251"/>
    <s v="Dr. Tran"/>
    <s v="Oncology"/>
    <x v="1"/>
    <n v="55"/>
    <s v="Medicaid"/>
    <s v="Therapy"/>
    <x v="0"/>
    <n v="9182"/>
    <n v="16.46"/>
    <n v="74"/>
    <x v="0"/>
    <n v="49609"/>
    <x v="0"/>
    <x v="0"/>
  </r>
  <r>
    <s v="P-0252"/>
    <s v="Dr. Mcguire"/>
    <s v="Orthopedics"/>
    <x v="0"/>
    <n v="58"/>
    <s v="Private"/>
    <s v="Emergency Care"/>
    <x v="9"/>
    <n v="6407"/>
    <n v="9.42"/>
    <n v="67"/>
    <x v="0"/>
    <n v="21441"/>
    <x v="2"/>
    <x v="0"/>
  </r>
  <r>
    <s v="P-0253"/>
    <s v="Dr. Horton"/>
    <s v="General Surgery"/>
    <x v="1"/>
    <n v="44"/>
    <s v="Private"/>
    <s v="Surgery"/>
    <x v="0"/>
    <n v="10439"/>
    <n v="10.53"/>
    <n v="88"/>
    <x v="1"/>
    <n v="53251"/>
    <x v="0"/>
    <x v="0"/>
  </r>
  <r>
    <s v="P-0254"/>
    <s v="Dr. Castillo"/>
    <s v="General Surgery"/>
    <x v="0"/>
    <n v="53"/>
    <s v="Medicare"/>
    <s v="Therapy"/>
    <x v="7"/>
    <n v="10624"/>
    <n v="17.86"/>
    <n v="112"/>
    <x v="0"/>
    <n v="27849"/>
    <x v="2"/>
    <x v="0"/>
  </r>
  <r>
    <s v="P-0255"/>
    <s v="Dr. Lawson"/>
    <s v="Neurology"/>
    <x v="1"/>
    <n v="46"/>
    <s v="Medicaid"/>
    <s v="Specialist Consultation"/>
    <x v="10"/>
    <n v="5294"/>
    <n v="15.95"/>
    <n v="113"/>
    <x v="0"/>
    <n v="29521"/>
    <x v="2"/>
    <x v="0"/>
  </r>
  <r>
    <s v="P-0611"/>
    <s v="Dr. King"/>
    <s v="Pediatrics"/>
    <x v="1"/>
    <n v="16"/>
    <s v="Medicaid"/>
    <s v="Diagnostics"/>
    <x v="14"/>
    <n v="3007"/>
    <n v="9.92"/>
    <n v="61"/>
    <x v="1"/>
    <n v="16546"/>
    <x v="2"/>
    <x v="1"/>
  </r>
  <r>
    <s v="P-0257"/>
    <s v="Dr. Smith"/>
    <s v="General Surgery"/>
    <x v="0"/>
    <n v="42"/>
    <s v="Private"/>
    <s v="Specialist Consultation"/>
    <x v="10"/>
    <n v="11902"/>
    <n v="22.26"/>
    <n v="114"/>
    <x v="0"/>
    <n v="39645"/>
    <x v="2"/>
    <x v="0"/>
  </r>
  <r>
    <s v="P-0258"/>
    <s v="Dr. Mccarty"/>
    <s v="Cardiology"/>
    <x v="0"/>
    <n v="25"/>
    <s v="Private"/>
    <s v="Surgery"/>
    <x v="2"/>
    <n v="6640"/>
    <n v="6.39"/>
    <n v="85"/>
    <x v="0"/>
    <n v="30559"/>
    <x v="1"/>
    <x v="0"/>
  </r>
  <r>
    <s v="P-0259"/>
    <s v="Dr. Webb"/>
    <s v="General Surgery"/>
    <x v="1"/>
    <n v="45"/>
    <s v="Medicare"/>
    <s v="Surgery"/>
    <x v="11"/>
    <n v="7879"/>
    <n v="17.78"/>
    <n v="128"/>
    <x v="1"/>
    <n v="32727"/>
    <x v="0"/>
    <x v="0"/>
  </r>
  <r>
    <s v="P-0260"/>
    <s v="Dr. Reyes"/>
    <s v="Radiology"/>
    <x v="1"/>
    <n v="40"/>
    <s v="Medicare"/>
    <s v="Specialist Consultation"/>
    <x v="21"/>
    <n v="2726"/>
    <n v="0.04"/>
    <n v="5"/>
    <x v="0"/>
    <n v="11743"/>
    <x v="1"/>
    <x v="0"/>
  </r>
  <r>
    <s v="P-0261"/>
    <s v="Dr. Brooks"/>
    <s v="Orthopedics"/>
    <x v="0"/>
    <n v="38"/>
    <s v="Medicaid"/>
    <s v="Surgery"/>
    <x v="26"/>
    <n v="6383"/>
    <n v="17.36"/>
    <n v="59"/>
    <x v="0"/>
    <n v="36773"/>
    <x v="0"/>
    <x v="0"/>
  </r>
  <r>
    <s v="P-0262"/>
    <s v="Dr. Garcia"/>
    <s v="Cardiology"/>
    <x v="0"/>
    <n v="29"/>
    <s v="Private"/>
    <s v="Surgery"/>
    <x v="9"/>
    <n v="5759"/>
    <n v="17.07"/>
    <n v="81"/>
    <x v="1"/>
    <n v="32018"/>
    <x v="2"/>
    <x v="0"/>
  </r>
  <r>
    <s v="P-0263"/>
    <s v="Dr. Wang"/>
    <s v="Cardiology"/>
    <x v="0"/>
    <n v="83"/>
    <s v="Medicaid"/>
    <s v="Emergency Care"/>
    <x v="3"/>
    <n v="6008"/>
    <n v="9.9499999999999993"/>
    <n v="83"/>
    <x v="1"/>
    <n v="34105"/>
    <x v="0"/>
    <x v="0"/>
  </r>
  <r>
    <s v="P-0630"/>
    <s v="Dr. King"/>
    <s v="Pediatrics"/>
    <x v="1"/>
    <n v="16"/>
    <s v="Medicaid"/>
    <s v="Surgery"/>
    <x v="17"/>
    <n v="3087"/>
    <n v="5.37"/>
    <n v="47"/>
    <x v="0"/>
    <n v="16810"/>
    <x v="2"/>
    <x v="1"/>
  </r>
  <r>
    <s v="P-0265"/>
    <s v="Dr. Hicks"/>
    <s v="Emergency"/>
    <x v="0"/>
    <n v="39"/>
    <s v="Medicare"/>
    <s v="Emergency Care"/>
    <x v="24"/>
    <n v="1993"/>
    <n v="15.12"/>
    <n v="92"/>
    <x v="1"/>
    <n v="10222"/>
    <x v="0"/>
    <x v="0"/>
  </r>
  <r>
    <s v="P-0266"/>
    <s v="Dr. Anderson"/>
    <s v="Oncology"/>
    <x v="0"/>
    <n v="55"/>
    <s v="Private"/>
    <s v="Emergency Care"/>
    <x v="17"/>
    <n v="9962"/>
    <n v="18.63"/>
    <n v="76"/>
    <x v="1"/>
    <n v="25258"/>
    <x v="2"/>
    <x v="0"/>
  </r>
  <r>
    <s v="P-0802"/>
    <s v="Dr. Reyes"/>
    <s v="Pediatrics"/>
    <x v="1"/>
    <n v="16"/>
    <s v="Medicare"/>
    <s v="Therapy"/>
    <x v="7"/>
    <n v="3802"/>
    <n v="12.03"/>
    <n v="50"/>
    <x v="0"/>
    <n v="10749"/>
    <x v="2"/>
    <x v="1"/>
  </r>
  <r>
    <s v="P-0268"/>
    <s v="Dr. Clark"/>
    <s v="Oncology"/>
    <x v="0"/>
    <n v="46"/>
    <s v="Medicaid"/>
    <s v="Therapy"/>
    <x v="36"/>
    <n v="5284"/>
    <n v="11.42"/>
    <n v="65"/>
    <x v="2"/>
    <n v="14018"/>
    <x v="1"/>
    <x v="0"/>
  </r>
  <r>
    <s v="P-0269"/>
    <s v="Dr. Rose"/>
    <s v="Emergency"/>
    <x v="0"/>
    <n v="48"/>
    <s v="Medicaid"/>
    <s v="Diagnostics"/>
    <x v="14"/>
    <n v="4385"/>
    <n v="14.54"/>
    <n v="89"/>
    <x v="0"/>
    <n v="21590"/>
    <x v="2"/>
    <x v="0"/>
  </r>
  <r>
    <s v="P-0270"/>
    <s v="Dr. Monroe"/>
    <s v="Emergency"/>
    <x v="1"/>
    <n v="81"/>
    <s v="Medicare"/>
    <s v="Diagnostics"/>
    <x v="24"/>
    <n v="2839"/>
    <n v="13.62"/>
    <n v="95"/>
    <x v="0"/>
    <n v="15030"/>
    <x v="0"/>
    <x v="0"/>
  </r>
  <r>
    <s v="P-0087"/>
    <s v="Dr. Lopez"/>
    <s v="Pediatrics"/>
    <x v="0"/>
    <n v="15"/>
    <s v="Medicaid"/>
    <s v="Emergency Care"/>
    <x v="27"/>
    <n v="3042"/>
    <n v="6.09"/>
    <n v="42"/>
    <x v="2"/>
    <n v="11247"/>
    <x v="1"/>
    <x v="1"/>
  </r>
  <r>
    <s v="P-0272"/>
    <s v="Dr. Reyes"/>
    <s v="Radiology"/>
    <x v="1"/>
    <n v="76"/>
    <s v="Medicaid"/>
    <s v="Emergency Care"/>
    <x v="14"/>
    <n v="2006"/>
    <n v="10.93"/>
    <n v="60"/>
    <x v="0"/>
    <n v="6016"/>
    <x v="2"/>
    <x v="0"/>
  </r>
  <r>
    <s v="P-0273"/>
    <s v="Dr. Mccarty"/>
    <s v="Cardiology"/>
    <x v="1"/>
    <n v="38"/>
    <s v="Medicare"/>
    <s v="Surgery"/>
    <x v="13"/>
    <n v="8834"/>
    <n v="21.58"/>
    <n v="100"/>
    <x v="1"/>
    <n v="34750"/>
    <x v="0"/>
    <x v="0"/>
  </r>
  <r>
    <s v="P-0198"/>
    <s v="Dr. Lopez"/>
    <s v="Pediatrics"/>
    <x v="0"/>
    <n v="15"/>
    <s v="Medicare"/>
    <s v="Surgery"/>
    <x v="18"/>
    <n v="1823"/>
    <n v="16.239999999999998"/>
    <n v="59"/>
    <x v="0"/>
    <n v="6629"/>
    <x v="0"/>
    <x v="1"/>
  </r>
  <r>
    <s v="P-0275"/>
    <s v="Dr. Garcia"/>
    <s v="Cardiology"/>
    <x v="1"/>
    <n v="35"/>
    <s v="Medicaid"/>
    <s v="Emergency Care"/>
    <x v="18"/>
    <n v="7764"/>
    <n v="16.03"/>
    <n v="84"/>
    <x v="0"/>
    <n v="20251"/>
    <x v="0"/>
    <x v="0"/>
  </r>
  <r>
    <s v="P-0276"/>
    <s v="Dr. Wang"/>
    <s v="Cardiology"/>
    <x v="1"/>
    <n v="23"/>
    <s v="Medicare"/>
    <s v="Surgery"/>
    <x v="10"/>
    <n v="4474"/>
    <n v="14.58"/>
    <n v="77"/>
    <x v="0"/>
    <n v="25096"/>
    <x v="2"/>
    <x v="0"/>
  </r>
  <r>
    <s v="P-0277"/>
    <s v="Dr. Horton"/>
    <s v="General Surgery"/>
    <x v="1"/>
    <n v="68"/>
    <s v="Medicaid"/>
    <s v="Emergency Care"/>
    <x v="31"/>
    <n v="8806"/>
    <n v="18.79"/>
    <n v="102"/>
    <x v="1"/>
    <n v="38701"/>
    <x v="0"/>
    <x v="0"/>
  </r>
  <r>
    <s v="P-0267"/>
    <s v="Dr. Owens"/>
    <s v="Pediatrics"/>
    <x v="1"/>
    <n v="15"/>
    <s v="Medicare"/>
    <s v="Therapy"/>
    <x v="23"/>
    <n v="3571"/>
    <n v="9.15"/>
    <n v="64"/>
    <x v="0"/>
    <n v="20206"/>
    <x v="2"/>
    <x v="1"/>
  </r>
  <r>
    <s v="P-0279"/>
    <s v="Dr. Smith"/>
    <s v="General Surgery"/>
    <x v="0"/>
    <n v="29"/>
    <s v="Private"/>
    <s v="Routine Checkup"/>
    <x v="29"/>
    <n v="8697"/>
    <n v="15.11"/>
    <n v="82"/>
    <x v="0"/>
    <n v="39411"/>
    <x v="0"/>
    <x v="0"/>
  </r>
  <r>
    <s v="P-0280"/>
    <s v="Dr. Byrd"/>
    <s v="Radiology"/>
    <x v="1"/>
    <n v="41"/>
    <s v="Private"/>
    <s v="Diagnostics"/>
    <x v="5"/>
    <n v="2397"/>
    <n v="14.34"/>
    <n v="22"/>
    <x v="2"/>
    <n v="10769"/>
    <x v="1"/>
    <x v="0"/>
  </r>
  <r>
    <s v="P-0281"/>
    <s v="Dr. Anderson"/>
    <s v="Oncology"/>
    <x v="0"/>
    <n v="20"/>
    <s v="Medicare"/>
    <s v="Diagnostics"/>
    <x v="21"/>
    <n v="7255"/>
    <n v="13.58"/>
    <n v="89"/>
    <x v="0"/>
    <n v="23920"/>
    <x v="1"/>
    <x v="0"/>
  </r>
  <r>
    <s v="P-0282"/>
    <s v="Dr. Garcia"/>
    <s v="Cardiology"/>
    <x v="0"/>
    <n v="50"/>
    <s v="Medicare"/>
    <s v="Routine Checkup"/>
    <x v="20"/>
    <n v="6493"/>
    <n v="17.12"/>
    <n v="120"/>
    <x v="0"/>
    <n v="36164"/>
    <x v="0"/>
    <x v="0"/>
  </r>
  <r>
    <s v="P-0283"/>
    <s v="Dr. Lara"/>
    <s v="Neurology"/>
    <x v="0"/>
    <n v="52"/>
    <s v="Private"/>
    <s v="Therapy"/>
    <x v="20"/>
    <n v="7963"/>
    <n v="14.79"/>
    <n v="89"/>
    <x v="0"/>
    <n v="27872"/>
    <x v="0"/>
    <x v="0"/>
  </r>
  <r>
    <s v="P-0411"/>
    <s v="Dr. Owens"/>
    <s v="Pediatrics"/>
    <x v="0"/>
    <n v="15"/>
    <s v="Medicaid"/>
    <s v="Surgery"/>
    <x v="22"/>
    <n v="3236"/>
    <n v="0.28999999999999998"/>
    <n v="67"/>
    <x v="2"/>
    <n v="10300"/>
    <x v="1"/>
    <x v="1"/>
  </r>
  <r>
    <s v="P-0285"/>
    <s v="Dr. Reyes"/>
    <s v="Radiology"/>
    <x v="1"/>
    <n v="43"/>
    <s v="Private"/>
    <s v="Diagnostics"/>
    <x v="6"/>
    <n v="2760"/>
    <n v="7.58"/>
    <n v="50"/>
    <x v="0"/>
    <n v="8836"/>
    <x v="1"/>
    <x v="0"/>
  </r>
  <r>
    <s v="P-0286"/>
    <s v="Dr. Byrd"/>
    <s v="Radiology"/>
    <x v="1"/>
    <n v="68"/>
    <s v="Medicaid"/>
    <s v="Surgery"/>
    <x v="37"/>
    <n v="2432"/>
    <n v="9.01"/>
    <n v="40"/>
    <x v="2"/>
    <n v="13965"/>
    <x v="1"/>
    <x v="0"/>
  </r>
  <r>
    <s v="P-0287"/>
    <s v="Dr. Bradshaw"/>
    <s v="Orthopedics"/>
    <x v="1"/>
    <n v="44"/>
    <s v="Medicare"/>
    <s v="Routine Checkup"/>
    <x v="24"/>
    <n v="7348"/>
    <n v="15.79"/>
    <n v="67"/>
    <x v="0"/>
    <n v="26069"/>
    <x v="0"/>
    <x v="0"/>
  </r>
  <r>
    <s v="P-0288"/>
    <s v="Dr. Villa"/>
    <s v="General Surgery"/>
    <x v="1"/>
    <n v="67"/>
    <s v="Private"/>
    <s v="Routine Checkup"/>
    <x v="24"/>
    <n v="7390"/>
    <n v="14.26"/>
    <n v="84"/>
    <x v="0"/>
    <n v="18845"/>
    <x v="0"/>
    <x v="0"/>
  </r>
  <r>
    <s v="P-0289"/>
    <s v="Dr. Byrd"/>
    <s v="Radiology"/>
    <x v="1"/>
    <n v="59"/>
    <s v="Private"/>
    <s v="Surgery"/>
    <x v="27"/>
    <n v="2179"/>
    <n v="6.73"/>
    <n v="55"/>
    <x v="2"/>
    <n v="10469"/>
    <x v="1"/>
    <x v="0"/>
  </r>
  <r>
    <s v="P-0290"/>
    <s v="Dr. Brooks"/>
    <s v="Orthopedics"/>
    <x v="1"/>
    <n v="56"/>
    <s v="Private"/>
    <s v="Emergency Care"/>
    <x v="18"/>
    <n v="5079"/>
    <n v="12.85"/>
    <n v="83"/>
    <x v="0"/>
    <n v="19942"/>
    <x v="0"/>
    <x v="0"/>
  </r>
  <r>
    <s v="P-0291"/>
    <s v="Dr. Mccarty"/>
    <s v="Cardiology"/>
    <x v="0"/>
    <n v="31"/>
    <s v="Medicare"/>
    <s v="Diagnostics"/>
    <x v="20"/>
    <n v="5890"/>
    <n v="14.77"/>
    <n v="82"/>
    <x v="1"/>
    <n v="16309"/>
    <x v="0"/>
    <x v="0"/>
  </r>
  <r>
    <s v="P-0292"/>
    <s v="Dr. Adams"/>
    <s v="Neurology"/>
    <x v="1"/>
    <n v="74"/>
    <s v="Medicare"/>
    <s v="Routine Checkup"/>
    <x v="24"/>
    <n v="6267"/>
    <n v="15.33"/>
    <n v="90"/>
    <x v="1"/>
    <n v="22144"/>
    <x v="0"/>
    <x v="0"/>
  </r>
  <r>
    <s v="P-0293"/>
    <s v="Dr. Davis"/>
    <s v="Neurology"/>
    <x v="1"/>
    <n v="29"/>
    <s v="Medicaid"/>
    <s v="Emergency Care"/>
    <x v="10"/>
    <n v="7578"/>
    <n v="14.22"/>
    <n v="71"/>
    <x v="1"/>
    <n v="24939"/>
    <x v="2"/>
    <x v="0"/>
  </r>
  <r>
    <s v="P-0294"/>
    <s v="Dr. Lara"/>
    <s v="Neurology"/>
    <x v="1"/>
    <n v="46"/>
    <s v="Medicaid"/>
    <s v="Therapy"/>
    <x v="26"/>
    <n v="4351"/>
    <n v="19.809999999999999"/>
    <n v="90"/>
    <x v="0"/>
    <n v="24410"/>
    <x v="0"/>
    <x v="0"/>
  </r>
  <r>
    <s v="P-0295"/>
    <s v="Dr. Smith"/>
    <s v="General Surgery"/>
    <x v="0"/>
    <n v="1"/>
    <s v="Medicaid"/>
    <s v="Diagnostics"/>
    <x v="0"/>
    <n v="12240"/>
    <n v="21.96"/>
    <n v="98"/>
    <x v="1"/>
    <n v="40964"/>
    <x v="0"/>
    <x v="1"/>
  </r>
  <r>
    <s v="P-0631"/>
    <s v="Dr. Owens"/>
    <s v="Pediatrics"/>
    <x v="0"/>
    <n v="15"/>
    <s v="Medicare"/>
    <s v="Emergency Care"/>
    <x v="17"/>
    <n v="3723"/>
    <n v="1.89"/>
    <n v="55"/>
    <x v="0"/>
    <n v="13082"/>
    <x v="2"/>
    <x v="1"/>
  </r>
  <r>
    <s v="P-0297"/>
    <s v="Dr. Brooks"/>
    <s v="Orthopedics"/>
    <x v="0"/>
    <n v="44"/>
    <s v="Medicare"/>
    <s v="Therapy"/>
    <x v="17"/>
    <n v="5166"/>
    <n v="10.36"/>
    <n v="39"/>
    <x v="0"/>
    <n v="26451"/>
    <x v="2"/>
    <x v="0"/>
  </r>
  <r>
    <s v="P-0298"/>
    <s v="Dr. Wang"/>
    <s v="Cardiology"/>
    <x v="1"/>
    <n v="32"/>
    <s v="Private"/>
    <s v="Emergency Care"/>
    <x v="18"/>
    <n v="8337"/>
    <n v="11.87"/>
    <n v="85"/>
    <x v="0"/>
    <n v="23815"/>
    <x v="0"/>
    <x v="0"/>
  </r>
  <r>
    <s v="P-0867"/>
    <s v="Dr. Holloway"/>
    <s v="Pediatrics"/>
    <x v="0"/>
    <n v="15"/>
    <s v="Medicaid"/>
    <s v="Surgery"/>
    <x v="26"/>
    <n v="2557"/>
    <n v="4.66"/>
    <n v="93"/>
    <x v="1"/>
    <n v="14570"/>
    <x v="0"/>
    <x v="1"/>
  </r>
  <r>
    <s v="P-0300"/>
    <s v="Dr. Holmes"/>
    <s v="Radiology"/>
    <x v="0"/>
    <n v="40"/>
    <s v="Medicaid"/>
    <s v="Emergency Care"/>
    <x v="27"/>
    <n v="2467"/>
    <n v="12.93"/>
    <n v="60"/>
    <x v="0"/>
    <n v="12244"/>
    <x v="1"/>
    <x v="0"/>
  </r>
  <r>
    <s v="P-0301"/>
    <s v="Dr. Smith"/>
    <s v="General Surgery"/>
    <x v="0"/>
    <n v="64"/>
    <s v="Medicare"/>
    <s v="Therapy"/>
    <x v="20"/>
    <n v="9159"/>
    <n v="17.79"/>
    <n v="119"/>
    <x v="1"/>
    <n v="47960"/>
    <x v="0"/>
    <x v="0"/>
  </r>
  <r>
    <s v="P-0302"/>
    <s v="Dr. Smith"/>
    <s v="General Surgery"/>
    <x v="1"/>
    <n v="36"/>
    <s v="Private"/>
    <s v="Surgery"/>
    <x v="38"/>
    <n v="9734"/>
    <n v="16.5"/>
    <n v="97"/>
    <x v="1"/>
    <n v="39928"/>
    <x v="0"/>
    <x v="0"/>
  </r>
  <r>
    <s v="P-0303"/>
    <s v="Dr. Wang"/>
    <s v="Cardiology"/>
    <x v="2"/>
    <n v="33"/>
    <s v="Private"/>
    <s v="Therapy"/>
    <x v="10"/>
    <n v="6288"/>
    <n v="15.41"/>
    <n v="60"/>
    <x v="0"/>
    <n v="33814"/>
    <x v="2"/>
    <x v="0"/>
  </r>
  <r>
    <s v="P-0304"/>
    <s v="Dr. Lawson"/>
    <s v="Neurology"/>
    <x v="1"/>
    <n v="37"/>
    <s v="Medicare"/>
    <s v="Surgery"/>
    <x v="26"/>
    <n v="6018"/>
    <n v="23.42"/>
    <n v="99"/>
    <x v="0"/>
    <n v="29321"/>
    <x v="0"/>
    <x v="0"/>
  </r>
  <r>
    <s v="P-0305"/>
    <s v="Dr. Wright"/>
    <s v="Neurology"/>
    <x v="1"/>
    <n v="13"/>
    <s v="Medicare"/>
    <s v="Surgery"/>
    <x v="1"/>
    <n v="6989"/>
    <n v="11.39"/>
    <n v="106"/>
    <x v="0"/>
    <n v="33246"/>
    <x v="0"/>
    <x v="1"/>
  </r>
  <r>
    <s v="P-0306"/>
    <s v="Dr. Reyes"/>
    <s v="Radiology"/>
    <x v="0"/>
    <n v="75"/>
    <s v="Private"/>
    <s v="Specialist Consultation"/>
    <x v="22"/>
    <n v="2596"/>
    <n v="4.41"/>
    <n v="29"/>
    <x v="0"/>
    <n v="7017"/>
    <x v="1"/>
    <x v="0"/>
  </r>
  <r>
    <s v="P-0963"/>
    <s v="Dr. Owens"/>
    <s v="Pediatrics"/>
    <x v="0"/>
    <n v="15"/>
    <s v="Medicaid"/>
    <s v="Therapy"/>
    <x v="6"/>
    <n v="2052"/>
    <n v="4.7300000000000004"/>
    <n v="52"/>
    <x v="2"/>
    <n v="11290"/>
    <x v="1"/>
    <x v="1"/>
  </r>
  <r>
    <s v="P-0308"/>
    <s v="Dr. Reyes"/>
    <s v="Radiology"/>
    <x v="1"/>
    <n v="60"/>
    <s v="Medicaid"/>
    <s v="Therapy"/>
    <x v="36"/>
    <n v="2461"/>
    <n v="5.0599999999999996"/>
    <n v="5"/>
    <x v="2"/>
    <n v="10623"/>
    <x v="1"/>
    <x v="0"/>
  </r>
  <r>
    <s v="P-0309"/>
    <s v="Dr. Wright"/>
    <s v="Neurology"/>
    <x v="1"/>
    <n v="21"/>
    <s v="Medicaid"/>
    <s v="Routine Checkup"/>
    <x v="18"/>
    <n v="7429"/>
    <n v="17.87"/>
    <n v="112"/>
    <x v="0"/>
    <n v="21836"/>
    <x v="0"/>
    <x v="0"/>
  </r>
  <r>
    <s v="P-0179"/>
    <s v="Dr. Holloway"/>
    <s v="Pediatrics"/>
    <x v="0"/>
    <n v="14"/>
    <s v="Medicare"/>
    <s v="Surgery"/>
    <x v="2"/>
    <n v="4006"/>
    <n v="5.79"/>
    <n v="92"/>
    <x v="2"/>
    <n v="13859"/>
    <x v="1"/>
    <x v="1"/>
  </r>
  <r>
    <s v="P-0311"/>
    <s v="Dr. Ward"/>
    <s v="Radiology"/>
    <x v="0"/>
    <n v="48"/>
    <s v="Private"/>
    <s v="Diagnostics"/>
    <x v="22"/>
    <n v="2586"/>
    <n v="5.98"/>
    <n v="46"/>
    <x v="2"/>
    <n v="10067"/>
    <x v="1"/>
    <x v="0"/>
  </r>
  <r>
    <s v="P-0312"/>
    <s v="Dr. Reyes"/>
    <s v="Radiology"/>
    <x v="0"/>
    <n v="37"/>
    <s v="Medicaid"/>
    <s v="Specialist Consultation"/>
    <x v="37"/>
    <n v="2128"/>
    <n v="1.81"/>
    <n v="41"/>
    <x v="2"/>
    <n v="8848"/>
    <x v="1"/>
    <x v="0"/>
  </r>
  <r>
    <s v="P-0313"/>
    <s v="Dr. Kidd"/>
    <s v="Cardiology"/>
    <x v="0"/>
    <n v="45"/>
    <s v="Private"/>
    <s v="Diagnostics"/>
    <x v="24"/>
    <n v="5235"/>
    <n v="13.53"/>
    <n v="89"/>
    <x v="0"/>
    <n v="24491"/>
    <x v="0"/>
    <x v="0"/>
  </r>
  <r>
    <s v="P-0314"/>
    <s v="Dr. Cherry"/>
    <s v="Orthopedics"/>
    <x v="0"/>
    <n v="52"/>
    <s v="Medicare"/>
    <s v="Surgery"/>
    <x v="26"/>
    <n v="6390"/>
    <n v="10.52"/>
    <n v="103"/>
    <x v="0"/>
    <n v="31051"/>
    <x v="0"/>
    <x v="0"/>
  </r>
  <r>
    <s v="P-0315"/>
    <s v="Dr. Anderson"/>
    <s v="Oncology"/>
    <x v="2"/>
    <n v="28"/>
    <s v="Private"/>
    <s v="Emergency Care"/>
    <x v="22"/>
    <n v="7625"/>
    <n v="15.87"/>
    <n v="54"/>
    <x v="0"/>
    <n v="37949"/>
    <x v="1"/>
    <x v="0"/>
  </r>
  <r>
    <s v="P-0316"/>
    <s v="Dr. Bradshaw"/>
    <s v="Orthopedics"/>
    <x v="0"/>
    <n v="23"/>
    <s v="Medicaid"/>
    <s v="Specialist Consultation"/>
    <x v="23"/>
    <n v="6045"/>
    <n v="14.34"/>
    <n v="71"/>
    <x v="1"/>
    <n v="29491"/>
    <x v="2"/>
    <x v="0"/>
  </r>
  <r>
    <s v="P-0317"/>
    <s v="Dr. Hicks"/>
    <s v="Emergency"/>
    <x v="0"/>
    <n v="41"/>
    <s v="Medicaid"/>
    <s v="Routine Checkup"/>
    <x v="39"/>
    <n v="3373"/>
    <n v="23.49"/>
    <n v="102"/>
    <x v="0"/>
    <n v="8950"/>
    <x v="0"/>
    <x v="0"/>
  </r>
  <r>
    <s v="P-0318"/>
    <s v="Dr. Ward"/>
    <s v="Radiology"/>
    <x v="1"/>
    <n v="40"/>
    <s v="Medicaid"/>
    <s v="Therapy"/>
    <x v="27"/>
    <n v="2723"/>
    <n v="6.48"/>
    <n v="20"/>
    <x v="2"/>
    <n v="9281"/>
    <x v="1"/>
    <x v="0"/>
  </r>
  <r>
    <s v="P-0319"/>
    <s v="Dr. Lara"/>
    <s v="Neurology"/>
    <x v="1"/>
    <n v="85"/>
    <s v="Medicare"/>
    <s v="Specialist Consultation"/>
    <x v="2"/>
    <n v="6746"/>
    <n v="12.35"/>
    <n v="62"/>
    <x v="0"/>
    <n v="34745"/>
    <x v="1"/>
    <x v="0"/>
  </r>
  <r>
    <s v="P-0320"/>
    <s v="Dr. Clark"/>
    <s v="Oncology"/>
    <x v="0"/>
    <n v="43"/>
    <s v="Medicaid"/>
    <s v="Surgery"/>
    <x v="15"/>
    <n v="6461"/>
    <n v="17.32"/>
    <n v="55"/>
    <x v="2"/>
    <n v="19831"/>
    <x v="1"/>
    <x v="0"/>
  </r>
  <r>
    <s v="P-0321"/>
    <s v="Dr. Tran"/>
    <s v="Oncology"/>
    <x v="1"/>
    <n v="74"/>
    <s v="Medicare"/>
    <s v="Routine Checkup"/>
    <x v="3"/>
    <n v="7499"/>
    <n v="14"/>
    <n v="87"/>
    <x v="0"/>
    <n v="27190"/>
    <x v="0"/>
    <x v="0"/>
  </r>
  <r>
    <s v="P-0328"/>
    <s v="Dr. Holloway"/>
    <s v="Pediatrics"/>
    <x v="1"/>
    <n v="14"/>
    <s v="Medicare"/>
    <s v="Therapy"/>
    <x v="5"/>
    <n v="2669"/>
    <n v="3.9"/>
    <n v="33"/>
    <x v="2"/>
    <n v="7337"/>
    <x v="1"/>
    <x v="1"/>
  </r>
  <r>
    <s v="P-0323"/>
    <s v="Dr. Byrd"/>
    <s v="Radiology"/>
    <x v="0"/>
    <n v="37"/>
    <s v="Private"/>
    <s v="Routine Checkup"/>
    <x v="15"/>
    <n v="2872"/>
    <n v="4.28"/>
    <n v="32"/>
    <x v="2"/>
    <n v="11124"/>
    <x v="1"/>
    <x v="0"/>
  </r>
  <r>
    <s v="P-0324"/>
    <s v="Dr. Wright"/>
    <s v="Neurology"/>
    <x v="1"/>
    <n v="49"/>
    <s v="Medicare"/>
    <s v="Diagnostics"/>
    <x v="14"/>
    <n v="6630"/>
    <n v="17.350000000000001"/>
    <n v="93"/>
    <x v="0"/>
    <n v="22399"/>
    <x v="2"/>
    <x v="0"/>
  </r>
  <r>
    <s v="P-0325"/>
    <s v="Dr. Mccarty"/>
    <s v="Cardiology"/>
    <x v="0"/>
    <n v="5"/>
    <s v="Medicare"/>
    <s v="Emergency Care"/>
    <x v="0"/>
    <n v="5304"/>
    <n v="18.920000000000002"/>
    <n v="102"/>
    <x v="1"/>
    <n v="17359"/>
    <x v="0"/>
    <x v="1"/>
  </r>
  <r>
    <s v="P-0326"/>
    <s v="Dr. Wright"/>
    <s v="Neurology"/>
    <x v="1"/>
    <n v="49"/>
    <s v="Medicaid"/>
    <s v="Routine Checkup"/>
    <x v="7"/>
    <n v="4497"/>
    <n v="22.93"/>
    <n v="86"/>
    <x v="2"/>
    <n v="23185"/>
    <x v="2"/>
    <x v="0"/>
  </r>
  <r>
    <s v="P-0327"/>
    <s v="Dr. Reyes"/>
    <s v="Radiology"/>
    <x v="0"/>
    <n v="27"/>
    <s v="Private"/>
    <s v="Surgery"/>
    <x v="6"/>
    <n v="2405"/>
    <n v="8.69"/>
    <n v="18"/>
    <x v="2"/>
    <n v="10200"/>
    <x v="1"/>
    <x v="0"/>
  </r>
  <r>
    <s v="P-0734"/>
    <s v="Dr. King"/>
    <s v="Pediatrics"/>
    <x v="1"/>
    <n v="14"/>
    <s v="Medicare"/>
    <s v="Surgery"/>
    <x v="37"/>
    <n v="3050"/>
    <n v="6.66"/>
    <n v="79"/>
    <x v="2"/>
    <n v="11461"/>
    <x v="1"/>
    <x v="1"/>
  </r>
  <r>
    <s v="P-0839"/>
    <s v="Dr. Lopez"/>
    <s v="Pediatrics"/>
    <x v="1"/>
    <n v="14"/>
    <s v="Medicaid"/>
    <s v="Therapy"/>
    <x v="2"/>
    <n v="2984"/>
    <n v="7.13"/>
    <n v="72"/>
    <x v="0"/>
    <n v="10995"/>
    <x v="1"/>
    <x v="1"/>
  </r>
  <r>
    <s v="P-0330"/>
    <s v="Dr. Pierce"/>
    <s v="Oncology"/>
    <x v="1"/>
    <n v="25"/>
    <s v="Private"/>
    <s v="Specialist Consultation"/>
    <x v="1"/>
    <n v="8175"/>
    <n v="18.21"/>
    <n v="88"/>
    <x v="1"/>
    <n v="21512"/>
    <x v="0"/>
    <x v="0"/>
  </r>
  <r>
    <s v="P-0030"/>
    <s v="Dr. Lopez"/>
    <s v="Pediatrics"/>
    <x v="1"/>
    <n v="13"/>
    <s v="Medicare"/>
    <s v="Diagnostics"/>
    <x v="21"/>
    <n v="3634"/>
    <n v="8.2100000000000009"/>
    <n v="43"/>
    <x v="2"/>
    <n v="18019"/>
    <x v="1"/>
    <x v="1"/>
  </r>
  <r>
    <s v="P-0332"/>
    <s v="Dr. Lara"/>
    <s v="Neurology"/>
    <x v="1"/>
    <n v="69"/>
    <s v="Private"/>
    <s v="Emergency Care"/>
    <x v="29"/>
    <n v="6172"/>
    <n v="19.53"/>
    <n v="106"/>
    <x v="1"/>
    <n v="30824"/>
    <x v="0"/>
    <x v="0"/>
  </r>
  <r>
    <s v="P-0333"/>
    <s v="Dr. Hicks"/>
    <s v="Emergency"/>
    <x v="1"/>
    <n v="35"/>
    <s v="Private"/>
    <s v="Therapy"/>
    <x v="13"/>
    <n v="4048"/>
    <n v="16.989999999999998"/>
    <n v="119"/>
    <x v="0"/>
    <n v="18488"/>
    <x v="0"/>
    <x v="0"/>
  </r>
  <r>
    <s v="P-0334"/>
    <s v="Dr. Reyes"/>
    <s v="Radiology"/>
    <x v="0"/>
    <n v="33"/>
    <s v="Private"/>
    <s v="Diagnostics"/>
    <x v="6"/>
    <n v="3401"/>
    <n v="6.53"/>
    <n v="49"/>
    <x v="0"/>
    <n v="15451"/>
    <x v="1"/>
    <x v="0"/>
  </r>
  <r>
    <s v="P-0335"/>
    <s v="Dr. Garcia"/>
    <s v="Cardiology"/>
    <x v="1"/>
    <n v="58"/>
    <s v="Medicaid"/>
    <s v="Therapy"/>
    <x v="12"/>
    <n v="8472"/>
    <n v="12.01"/>
    <n v="54"/>
    <x v="0"/>
    <n v="36416"/>
    <x v="2"/>
    <x v="0"/>
  </r>
  <r>
    <s v="P-0336"/>
    <s v="Dr. Castillo"/>
    <s v="General Surgery"/>
    <x v="1"/>
    <n v="1"/>
    <s v="Medicare"/>
    <s v="Therapy"/>
    <x v="7"/>
    <n v="10947"/>
    <n v="20.98"/>
    <n v="98"/>
    <x v="0"/>
    <n v="53980"/>
    <x v="2"/>
    <x v="1"/>
  </r>
  <r>
    <s v="P-0337"/>
    <s v="Dr. Rose"/>
    <s v="Emergency"/>
    <x v="0"/>
    <n v="58"/>
    <s v="Medicaid"/>
    <s v="Routine Checkup"/>
    <x v="26"/>
    <n v="4087"/>
    <n v="15.53"/>
    <n v="118"/>
    <x v="1"/>
    <n v="15018"/>
    <x v="0"/>
    <x v="0"/>
  </r>
  <r>
    <s v="P-0338"/>
    <s v="Dr. Mcguire"/>
    <s v="Orthopedics"/>
    <x v="1"/>
    <n v="66"/>
    <s v="Medicare"/>
    <s v="Routine Checkup"/>
    <x v="31"/>
    <n v="6760"/>
    <n v="12.35"/>
    <n v="93"/>
    <x v="1"/>
    <n v="20757"/>
    <x v="0"/>
    <x v="0"/>
  </r>
  <r>
    <s v="P-0339"/>
    <s v="Dr. Ward"/>
    <s v="Radiology"/>
    <x v="0"/>
    <n v="58"/>
    <s v="Private"/>
    <s v="Therapy"/>
    <x v="9"/>
    <n v="2353"/>
    <n v="4.71"/>
    <n v="61"/>
    <x v="0"/>
    <n v="11687"/>
    <x v="2"/>
    <x v="0"/>
  </r>
  <r>
    <s v="P-0264"/>
    <s v="Dr. Holloway"/>
    <s v="Pediatrics"/>
    <x v="1"/>
    <n v="13"/>
    <s v="Medicaid"/>
    <s v="Surgery"/>
    <x v="17"/>
    <n v="3552"/>
    <n v="5.83"/>
    <n v="90"/>
    <x v="0"/>
    <n v="17415"/>
    <x v="2"/>
    <x v="1"/>
  </r>
  <r>
    <s v="P-0341"/>
    <s v="Dr. Snyder"/>
    <s v="Emergency"/>
    <x v="0"/>
    <n v="1"/>
    <s v="Private"/>
    <s v="Specialist Consultation"/>
    <x v="24"/>
    <n v="3164"/>
    <n v="14.55"/>
    <n v="131"/>
    <x v="0"/>
    <n v="15359"/>
    <x v="0"/>
    <x v="1"/>
  </r>
  <r>
    <s v="P-0342"/>
    <s v="Dr. Reyes"/>
    <s v="Radiology"/>
    <x v="1"/>
    <n v="32"/>
    <s v="Private"/>
    <s v="Diagnostics"/>
    <x v="14"/>
    <n v="3055"/>
    <n v="12.74"/>
    <n v="60"/>
    <x v="0"/>
    <n v="10713"/>
    <x v="2"/>
    <x v="0"/>
  </r>
  <r>
    <s v="P-0343"/>
    <s v="Dr. Wang"/>
    <s v="Cardiology"/>
    <x v="1"/>
    <n v="24"/>
    <s v="Medicaid"/>
    <s v="Specialist Consultation"/>
    <x v="24"/>
    <n v="4868"/>
    <n v="20.45"/>
    <n v="57"/>
    <x v="0"/>
    <n v="13334"/>
    <x v="0"/>
    <x v="0"/>
  </r>
  <r>
    <s v="P-0344"/>
    <s v="Dr. Mccarty"/>
    <s v="Cardiology"/>
    <x v="0"/>
    <n v="30"/>
    <s v="Medicare"/>
    <s v="Routine Checkup"/>
    <x v="0"/>
    <n v="9538"/>
    <n v="13.37"/>
    <n v="103"/>
    <x v="0"/>
    <n v="36327"/>
    <x v="0"/>
    <x v="0"/>
  </r>
  <r>
    <s v="P-0345"/>
    <s v="Dr. Hicks"/>
    <s v="Emergency"/>
    <x v="0"/>
    <n v="48"/>
    <s v="Medicaid"/>
    <s v="Routine Checkup"/>
    <x v="11"/>
    <n v="4282"/>
    <n v="23.79"/>
    <n v="120"/>
    <x v="1"/>
    <n v="21959"/>
    <x v="0"/>
    <x v="0"/>
  </r>
  <r>
    <s v="P-0346"/>
    <s v="Dr. Horton"/>
    <s v="General Surgery"/>
    <x v="0"/>
    <n v="39"/>
    <s v="Private"/>
    <s v="Emergency Care"/>
    <x v="0"/>
    <n v="8087"/>
    <n v="10.33"/>
    <n v="84"/>
    <x v="0"/>
    <n v="47692"/>
    <x v="0"/>
    <x v="0"/>
  </r>
  <r>
    <s v="P-0347"/>
    <s v="Dr. Castillo"/>
    <s v="General Surgery"/>
    <x v="1"/>
    <n v="40"/>
    <s v="Private"/>
    <s v="Routine Checkup"/>
    <x v="11"/>
    <n v="10602"/>
    <n v="21.14"/>
    <n v="76"/>
    <x v="1"/>
    <n v="41259"/>
    <x v="0"/>
    <x v="0"/>
  </r>
  <r>
    <s v="P-0348"/>
    <s v="Dr. Hicks"/>
    <s v="Emergency"/>
    <x v="0"/>
    <n v="28"/>
    <s v="Medicaid"/>
    <s v="Surgery"/>
    <x v="23"/>
    <n v="2276"/>
    <n v="17.489999999999998"/>
    <n v="96"/>
    <x v="1"/>
    <n v="13405"/>
    <x v="2"/>
    <x v="0"/>
  </r>
  <r>
    <s v="P-0349"/>
    <s v="Dr. Villa"/>
    <s v="General Surgery"/>
    <x v="1"/>
    <n v="30"/>
    <s v="Medicaid"/>
    <s v="Routine Checkup"/>
    <x v="2"/>
    <n v="8015"/>
    <n v="15.91"/>
    <n v="98"/>
    <x v="2"/>
    <n v="38229"/>
    <x v="1"/>
    <x v="0"/>
  </r>
  <r>
    <s v="P-0350"/>
    <s v="Dr. Brooks"/>
    <s v="Orthopedics"/>
    <x v="0"/>
    <n v="68"/>
    <s v="Private"/>
    <s v="Specialist Consultation"/>
    <x v="23"/>
    <n v="4110"/>
    <n v="15.7"/>
    <n v="95"/>
    <x v="1"/>
    <n v="22733"/>
    <x v="2"/>
    <x v="0"/>
  </r>
  <r>
    <s v="P-0356"/>
    <s v="Dr. Reyes"/>
    <s v="Pediatrics"/>
    <x v="1"/>
    <n v="13"/>
    <s v="Medicaid"/>
    <s v="Specialist Consultation"/>
    <x v="28"/>
    <n v="4023"/>
    <n v="6.8"/>
    <n v="42"/>
    <x v="2"/>
    <n v="11200"/>
    <x v="1"/>
    <x v="1"/>
  </r>
  <r>
    <s v="P-0352"/>
    <s v="Dr. Holmes"/>
    <s v="Radiology"/>
    <x v="0"/>
    <n v="45"/>
    <s v="Medicare"/>
    <s v="Diagnostics"/>
    <x v="21"/>
    <n v="2336"/>
    <n v="0"/>
    <n v="39"/>
    <x v="2"/>
    <n v="12706"/>
    <x v="1"/>
    <x v="0"/>
  </r>
  <r>
    <s v="P-0353"/>
    <s v="Dr. Lara"/>
    <s v="Neurology"/>
    <x v="0"/>
    <n v="56"/>
    <s v="Medicare"/>
    <s v="Therapy"/>
    <x v="12"/>
    <n v="6469"/>
    <n v="14.3"/>
    <n v="69"/>
    <x v="0"/>
    <n v="36879"/>
    <x v="2"/>
    <x v="0"/>
  </r>
  <r>
    <s v="P-0354"/>
    <s v="Dr. Bradshaw"/>
    <s v="Orthopedics"/>
    <x v="0"/>
    <n v="12"/>
    <s v="Private"/>
    <s v="Surgery"/>
    <x v="17"/>
    <n v="8012"/>
    <n v="10.029999999999999"/>
    <n v="66"/>
    <x v="0"/>
    <n v="37227"/>
    <x v="2"/>
    <x v="1"/>
  </r>
  <r>
    <s v="P-0355"/>
    <s v="Dr. Davis"/>
    <s v="Neurology"/>
    <x v="1"/>
    <n v="19"/>
    <s v="Private"/>
    <s v="Emergency Care"/>
    <x v="7"/>
    <n v="5846"/>
    <n v="16.05"/>
    <n v="103"/>
    <x v="0"/>
    <n v="29730"/>
    <x v="2"/>
    <x v="0"/>
  </r>
  <r>
    <s v="P-0370"/>
    <s v="Dr. Reyes"/>
    <s v="Pediatrics"/>
    <x v="0"/>
    <n v="13"/>
    <s v="Medicaid"/>
    <s v="Therapy"/>
    <x v="5"/>
    <n v="2557"/>
    <n v="5.21"/>
    <n v="48"/>
    <x v="2"/>
    <n v="11376"/>
    <x v="1"/>
    <x v="1"/>
  </r>
  <r>
    <s v="P-0357"/>
    <s v="Dr. Ward"/>
    <s v="Radiology"/>
    <x v="0"/>
    <n v="54"/>
    <s v="Medicare"/>
    <s v="Surgery"/>
    <x v="5"/>
    <n v="2537"/>
    <n v="7.97"/>
    <n v="54"/>
    <x v="0"/>
    <n v="12938"/>
    <x v="1"/>
    <x v="0"/>
  </r>
  <r>
    <s v="P-0358"/>
    <s v="Dr. Hicks"/>
    <s v="Emergency"/>
    <x v="0"/>
    <n v="48"/>
    <s v="Medicare"/>
    <s v="Diagnostics"/>
    <x v="26"/>
    <n v="3370"/>
    <n v="15.52"/>
    <n v="144"/>
    <x v="0"/>
    <n v="14774"/>
    <x v="0"/>
    <x v="0"/>
  </r>
  <r>
    <s v="P-0359"/>
    <s v="Dr. Lawrence"/>
    <s v="Emergency"/>
    <x v="0"/>
    <n v="29"/>
    <s v="Medicare"/>
    <s v="Diagnostics"/>
    <x v="0"/>
    <n v="3712"/>
    <n v="20.89"/>
    <n v="82"/>
    <x v="0"/>
    <n v="17468"/>
    <x v="0"/>
    <x v="0"/>
  </r>
  <r>
    <s v="P-0360"/>
    <s v="Dr. Lawson"/>
    <s v="Neurology"/>
    <x v="1"/>
    <n v="61"/>
    <s v="Medicaid"/>
    <s v="Specialist Consultation"/>
    <x v="15"/>
    <n v="4400"/>
    <n v="6.86"/>
    <n v="69"/>
    <x v="0"/>
    <n v="11985"/>
    <x v="1"/>
    <x v="0"/>
  </r>
  <r>
    <s v="P-0361"/>
    <s v="Dr. Castillo"/>
    <s v="General Surgery"/>
    <x v="1"/>
    <n v="34"/>
    <s v="Private"/>
    <s v="Specialist Consultation"/>
    <x v="0"/>
    <n v="8303"/>
    <n v="16.82"/>
    <n v="112"/>
    <x v="1"/>
    <n v="22390"/>
    <x v="0"/>
    <x v="0"/>
  </r>
  <r>
    <s v="P-0555"/>
    <s v="Dr. King"/>
    <s v="Pediatrics"/>
    <x v="0"/>
    <n v="13"/>
    <s v="Private"/>
    <s v="Therapy"/>
    <x v="27"/>
    <n v="2374"/>
    <n v="3.31"/>
    <n v="53"/>
    <x v="0"/>
    <n v="6952"/>
    <x v="1"/>
    <x v="1"/>
  </r>
  <r>
    <s v="P-0363"/>
    <s v="Dr. Lara"/>
    <s v="Neurology"/>
    <x v="0"/>
    <n v="39"/>
    <s v="Medicare"/>
    <s v="Surgery"/>
    <x v="23"/>
    <n v="7527"/>
    <n v="16.36"/>
    <n v="84"/>
    <x v="0"/>
    <n v="21726"/>
    <x v="2"/>
    <x v="0"/>
  </r>
  <r>
    <s v="P-0364"/>
    <s v="Dr. Mccarty"/>
    <s v="Cardiology"/>
    <x v="1"/>
    <n v="24"/>
    <s v="Medicare"/>
    <s v="Surgery"/>
    <x v="1"/>
    <n v="7139"/>
    <n v="9.36"/>
    <n v="62"/>
    <x v="0"/>
    <n v="26687"/>
    <x v="0"/>
    <x v="0"/>
  </r>
  <r>
    <s v="P-0722"/>
    <s v="Dr. King"/>
    <s v="Pediatrics"/>
    <x v="0"/>
    <n v="13"/>
    <s v="Private"/>
    <s v="Specialist Consultation"/>
    <x v="10"/>
    <n v="2512"/>
    <n v="6.9"/>
    <n v="72"/>
    <x v="0"/>
    <n v="14948"/>
    <x v="2"/>
    <x v="1"/>
  </r>
  <r>
    <s v="P-0366"/>
    <s v="Dr. Lara"/>
    <s v="Neurology"/>
    <x v="0"/>
    <n v="59"/>
    <s v="Medicaid"/>
    <s v="Emergency Care"/>
    <x v="18"/>
    <n v="7884"/>
    <n v="6.44"/>
    <n v="90"/>
    <x v="0"/>
    <n v="43408"/>
    <x v="0"/>
    <x v="0"/>
  </r>
  <r>
    <s v="P-0367"/>
    <s v="Dr. Brooks"/>
    <s v="Orthopedics"/>
    <x v="0"/>
    <n v="63"/>
    <s v="Private"/>
    <s v="Therapy"/>
    <x v="6"/>
    <n v="6504"/>
    <n v="14.43"/>
    <n v="84"/>
    <x v="0"/>
    <n v="19910"/>
    <x v="1"/>
    <x v="0"/>
  </r>
  <r>
    <s v="P-0368"/>
    <s v="Dr. Mcguire"/>
    <s v="Orthopedics"/>
    <x v="1"/>
    <n v="25"/>
    <s v="Private"/>
    <s v="Emergency Care"/>
    <x v="9"/>
    <n v="4755"/>
    <n v="14.98"/>
    <n v="85"/>
    <x v="2"/>
    <n v="14572"/>
    <x v="2"/>
    <x v="0"/>
  </r>
  <r>
    <s v="P-0369"/>
    <s v="Dr. Webb"/>
    <s v="General Surgery"/>
    <x v="0"/>
    <n v="30"/>
    <s v="Medicare"/>
    <s v="Emergency Care"/>
    <x v="33"/>
    <n v="8609"/>
    <n v="15.77"/>
    <n v="69"/>
    <x v="2"/>
    <n v="28915"/>
    <x v="1"/>
    <x v="0"/>
  </r>
  <r>
    <s v="P-0778"/>
    <s v="Dr. Reyes"/>
    <s v="Pediatrics"/>
    <x v="1"/>
    <n v="13"/>
    <s v="Medicaid"/>
    <s v="Specialist Consultation"/>
    <x v="28"/>
    <n v="2768"/>
    <n v="0.53"/>
    <n v="87"/>
    <x v="2"/>
    <n v="15670"/>
    <x v="1"/>
    <x v="1"/>
  </r>
  <r>
    <s v="P-0371"/>
    <s v="Dr. Brooks"/>
    <s v="Orthopedics"/>
    <x v="0"/>
    <n v="13"/>
    <s v="Medicaid"/>
    <s v="Specialist Consultation"/>
    <x v="23"/>
    <n v="8245"/>
    <n v="13.56"/>
    <n v="37"/>
    <x v="0"/>
    <n v="35044"/>
    <x v="2"/>
    <x v="1"/>
  </r>
  <r>
    <s v="P-0372"/>
    <s v="Dr. Wright"/>
    <s v="Neurology"/>
    <x v="0"/>
    <n v="65"/>
    <s v="Private"/>
    <s v="Routine Checkup"/>
    <x v="18"/>
    <n v="7213"/>
    <n v="23.88"/>
    <n v="85"/>
    <x v="1"/>
    <n v="20991"/>
    <x v="0"/>
    <x v="0"/>
  </r>
  <r>
    <s v="P-0373"/>
    <s v="Dr. Adams"/>
    <s v="Neurology"/>
    <x v="0"/>
    <n v="27"/>
    <s v="Private"/>
    <s v="Diagnostics"/>
    <x v="12"/>
    <n v="5205"/>
    <n v="17.600000000000001"/>
    <n v="81"/>
    <x v="0"/>
    <n v="16734"/>
    <x v="2"/>
    <x v="0"/>
  </r>
  <r>
    <s v="P-0912"/>
    <s v="Dr. King"/>
    <s v="Pediatrics"/>
    <x v="1"/>
    <n v="13"/>
    <s v="Medicaid"/>
    <s v="Therapy"/>
    <x v="17"/>
    <n v="3588"/>
    <n v="10.68"/>
    <n v="59"/>
    <x v="1"/>
    <n v="14258"/>
    <x v="2"/>
    <x v="1"/>
  </r>
  <r>
    <s v="P-0375"/>
    <s v="Dr. Garcia"/>
    <s v="Cardiology"/>
    <x v="1"/>
    <n v="50"/>
    <s v="Medicaid"/>
    <s v="Specialist Consultation"/>
    <x v="3"/>
    <n v="7520"/>
    <n v="17.559999999999999"/>
    <n v="120"/>
    <x v="0"/>
    <n v="27581"/>
    <x v="0"/>
    <x v="0"/>
  </r>
  <r>
    <s v="P-0376"/>
    <s v="Dr. Smith"/>
    <s v="General Surgery"/>
    <x v="1"/>
    <n v="40"/>
    <s v="Medicare"/>
    <s v="Therapy"/>
    <x v="3"/>
    <n v="9600"/>
    <n v="15.81"/>
    <n v="123"/>
    <x v="0"/>
    <n v="26543"/>
    <x v="0"/>
    <x v="0"/>
  </r>
  <r>
    <s v="P-0377"/>
    <s v="Dr. Lopez"/>
    <s v="Cardiology"/>
    <x v="2"/>
    <n v="69"/>
    <s v="Medicaid"/>
    <s v="Emergency Care"/>
    <x v="17"/>
    <n v="6940"/>
    <n v="16.23"/>
    <n v="75"/>
    <x v="1"/>
    <n v="40864"/>
    <x v="2"/>
    <x v="0"/>
  </r>
  <r>
    <s v="P-0378"/>
    <s v="Dr. Horton"/>
    <s v="General Surgery"/>
    <x v="0"/>
    <n v="48"/>
    <s v="Medicare"/>
    <s v="Routine Checkup"/>
    <x v="7"/>
    <n v="8650"/>
    <n v="14.35"/>
    <n v="83"/>
    <x v="0"/>
    <n v="51814"/>
    <x v="2"/>
    <x v="0"/>
  </r>
  <r>
    <s v="P-0379"/>
    <s v="Dr. Adams"/>
    <s v="Neurology"/>
    <x v="1"/>
    <n v="7"/>
    <s v="Private"/>
    <s v="Emergency Care"/>
    <x v="18"/>
    <n v="5674"/>
    <n v="10.24"/>
    <n v="102"/>
    <x v="0"/>
    <n v="21524"/>
    <x v="0"/>
    <x v="1"/>
  </r>
  <r>
    <s v="P-0380"/>
    <s v="Dr. Wright"/>
    <s v="Neurology"/>
    <x v="1"/>
    <n v="80"/>
    <s v="Medicare"/>
    <s v="Specialist Consultation"/>
    <x v="18"/>
    <n v="8176"/>
    <n v="18.87"/>
    <n v="84"/>
    <x v="2"/>
    <n v="20592"/>
    <x v="0"/>
    <x v="0"/>
  </r>
  <r>
    <s v="P-0381"/>
    <s v="Dr. Hamilton"/>
    <s v="Oncology"/>
    <x v="0"/>
    <n v="56"/>
    <s v="Medicaid"/>
    <s v="Diagnostics"/>
    <x v="10"/>
    <n v="6825"/>
    <n v="14.33"/>
    <n v="93"/>
    <x v="0"/>
    <n v="35741"/>
    <x v="2"/>
    <x v="0"/>
  </r>
  <r>
    <s v="P-0382"/>
    <s v="Dr. Wang"/>
    <s v="Cardiology"/>
    <x v="1"/>
    <n v="60"/>
    <s v="Medicaid"/>
    <s v="Diagnostics"/>
    <x v="12"/>
    <n v="5398"/>
    <n v="16.23"/>
    <n v="97"/>
    <x v="2"/>
    <n v="27518"/>
    <x v="2"/>
    <x v="0"/>
  </r>
  <r>
    <s v="P-0383"/>
    <s v="Dr. Wright"/>
    <s v="Neurology"/>
    <x v="0"/>
    <n v="36"/>
    <s v="Private"/>
    <s v="Therapy"/>
    <x v="10"/>
    <n v="6885"/>
    <n v="16.850000000000001"/>
    <n v="80"/>
    <x v="0"/>
    <n v="31602"/>
    <x v="2"/>
    <x v="0"/>
  </r>
  <r>
    <s v="P-0384"/>
    <s v="Dr. Davis"/>
    <s v="Neurology"/>
    <x v="0"/>
    <n v="60"/>
    <s v="Private"/>
    <s v="Routine Checkup"/>
    <x v="0"/>
    <n v="8924"/>
    <n v="19.440000000000001"/>
    <n v="96"/>
    <x v="1"/>
    <n v="44685"/>
    <x v="0"/>
    <x v="0"/>
  </r>
  <r>
    <s v="P-0999"/>
    <s v="Dr. Reyes"/>
    <s v="Pediatrics"/>
    <x v="1"/>
    <n v="13"/>
    <s v="Medicaid"/>
    <s v="Diagnostics"/>
    <x v="4"/>
    <n v="3721"/>
    <n v="8.0399999999999991"/>
    <n v="56"/>
    <x v="0"/>
    <n v="12910"/>
    <x v="1"/>
    <x v="1"/>
  </r>
  <r>
    <s v="P-0386"/>
    <s v="Dr. Rose"/>
    <s v="Emergency"/>
    <x v="1"/>
    <n v="17"/>
    <s v="Private"/>
    <s v="Therapy"/>
    <x v="23"/>
    <n v="3655"/>
    <n v="16.079999999999998"/>
    <n v="110"/>
    <x v="0"/>
    <n v="17574"/>
    <x v="2"/>
    <x v="1"/>
  </r>
  <r>
    <s v="P-0387"/>
    <s v="Dr. Byrd"/>
    <s v="Radiology"/>
    <x v="0"/>
    <n v="31"/>
    <s v="Medicare"/>
    <s v="Specialist Consultation"/>
    <x v="4"/>
    <n v="1954"/>
    <n v="8.56"/>
    <n v="62"/>
    <x v="0"/>
    <n v="7104"/>
    <x v="1"/>
    <x v="0"/>
  </r>
  <r>
    <s v="P-0388"/>
    <s v="Dr. Brooks"/>
    <s v="Orthopedics"/>
    <x v="0"/>
    <n v="28"/>
    <s v="Medicaid"/>
    <s v="Surgery"/>
    <x v="1"/>
    <n v="4784"/>
    <n v="14.8"/>
    <n v="62"/>
    <x v="0"/>
    <n v="23044"/>
    <x v="0"/>
    <x v="0"/>
  </r>
  <r>
    <s v="P-0389"/>
    <s v="Dr. Mcguire"/>
    <s v="Orthopedics"/>
    <x v="1"/>
    <n v="56"/>
    <s v="Private"/>
    <s v="Routine Checkup"/>
    <x v="10"/>
    <n v="5163"/>
    <n v="14.33"/>
    <n v="87"/>
    <x v="0"/>
    <n v="19563"/>
    <x v="2"/>
    <x v="0"/>
  </r>
  <r>
    <s v="P-0390"/>
    <s v="Dr. Horton"/>
    <s v="General Surgery"/>
    <x v="0"/>
    <n v="35"/>
    <s v="Private"/>
    <s v="Diagnostics"/>
    <x v="3"/>
    <n v="8401"/>
    <n v="18.97"/>
    <n v="93"/>
    <x v="0"/>
    <n v="40610"/>
    <x v="0"/>
    <x v="0"/>
  </r>
  <r>
    <s v="P-0391"/>
    <s v="Dr. Wright"/>
    <s v="Neurology"/>
    <x v="0"/>
    <n v="58"/>
    <s v="Medicare"/>
    <s v="Specialist Consultation"/>
    <x v="9"/>
    <n v="6071"/>
    <n v="17.93"/>
    <n v="83"/>
    <x v="0"/>
    <n v="20468"/>
    <x v="2"/>
    <x v="0"/>
  </r>
  <r>
    <s v="P-0909"/>
    <s v="Dr. Holloway"/>
    <s v="Pediatrics"/>
    <x v="0"/>
    <n v="12"/>
    <s v="Medicaid"/>
    <s v="Routine Checkup"/>
    <x v="22"/>
    <n v="3681"/>
    <n v="7.38"/>
    <n v="47"/>
    <x v="0"/>
    <n v="16426"/>
    <x v="1"/>
    <x v="1"/>
  </r>
  <r>
    <s v="P-0393"/>
    <s v="Dr. Wang"/>
    <s v="Cardiology"/>
    <x v="1"/>
    <n v="24"/>
    <s v="Private"/>
    <s v="Diagnostics"/>
    <x v="23"/>
    <n v="6944"/>
    <n v="15.46"/>
    <n v="80"/>
    <x v="2"/>
    <n v="24961"/>
    <x v="2"/>
    <x v="0"/>
  </r>
  <r>
    <s v="P-0394"/>
    <s v="Dr. Webb"/>
    <s v="General Surgery"/>
    <x v="1"/>
    <n v="20"/>
    <s v="Private"/>
    <s v="Diagnostics"/>
    <x v="9"/>
    <n v="11402"/>
    <n v="19.52"/>
    <n v="108"/>
    <x v="2"/>
    <n v="53431"/>
    <x v="2"/>
    <x v="0"/>
  </r>
  <r>
    <s v="P-0395"/>
    <s v="Dr. Byrd"/>
    <s v="Radiology"/>
    <x v="1"/>
    <n v="49"/>
    <s v="Private"/>
    <s v="Diagnostics"/>
    <x v="2"/>
    <n v="2572"/>
    <n v="5.0999999999999996"/>
    <n v="65"/>
    <x v="2"/>
    <n v="12797"/>
    <x v="1"/>
    <x v="0"/>
  </r>
  <r>
    <s v="P-0784"/>
    <s v="Dr. Owens"/>
    <s v="Pediatrics"/>
    <x v="1"/>
    <n v="12"/>
    <s v="Private"/>
    <s v="Specialist Consultation"/>
    <x v="4"/>
    <n v="2396"/>
    <n v="4.0999999999999996"/>
    <n v="56"/>
    <x v="0"/>
    <n v="8381"/>
    <x v="1"/>
    <x v="1"/>
  </r>
  <r>
    <s v="P-0397"/>
    <s v="Dr. Horton"/>
    <s v="General Surgery"/>
    <x v="0"/>
    <n v="57"/>
    <s v="Medicare"/>
    <s v="Emergency Care"/>
    <x v="17"/>
    <n v="7933"/>
    <n v="17.489999999999998"/>
    <n v="112"/>
    <x v="0"/>
    <n v="38644"/>
    <x v="2"/>
    <x v="0"/>
  </r>
  <r>
    <s v="P-0398"/>
    <s v="Dr. Kidd"/>
    <s v="Cardiology"/>
    <x v="0"/>
    <n v="56"/>
    <s v="Private"/>
    <s v="Routine Checkup"/>
    <x v="22"/>
    <n v="7001"/>
    <n v="10.89"/>
    <n v="81"/>
    <x v="2"/>
    <n v="33396"/>
    <x v="1"/>
    <x v="0"/>
  </r>
  <r>
    <s v="P-0688"/>
    <s v="Dr. King"/>
    <s v="Pediatrics"/>
    <x v="0"/>
    <n v="12"/>
    <s v="Medicare"/>
    <s v="Diagnostics"/>
    <x v="0"/>
    <n v="3619"/>
    <n v="14.26"/>
    <n v="74"/>
    <x v="1"/>
    <n v="21562"/>
    <x v="0"/>
    <x v="1"/>
  </r>
  <r>
    <s v="P-0400"/>
    <s v="Dr. Villa"/>
    <s v="General Surgery"/>
    <x v="0"/>
    <n v="64"/>
    <s v="Private"/>
    <s v="Surgery"/>
    <x v="24"/>
    <n v="9941"/>
    <n v="22.32"/>
    <n v="104"/>
    <x v="0"/>
    <n v="52785"/>
    <x v="0"/>
    <x v="0"/>
  </r>
  <r>
    <s v="P-0401"/>
    <s v="Dr. Wright"/>
    <s v="Neurology"/>
    <x v="0"/>
    <n v="45"/>
    <s v="Medicare"/>
    <s v="Diagnostics"/>
    <x v="9"/>
    <n v="3211"/>
    <n v="13.81"/>
    <n v="101"/>
    <x v="1"/>
    <n v="11140"/>
    <x v="2"/>
    <x v="0"/>
  </r>
  <r>
    <s v="P-0402"/>
    <s v="Dr. Snyder"/>
    <s v="Emergency"/>
    <x v="1"/>
    <n v="48"/>
    <s v="Medicaid"/>
    <s v="Routine Checkup"/>
    <x v="25"/>
    <n v="2282"/>
    <n v="22.45"/>
    <n v="125"/>
    <x v="1"/>
    <n v="10551"/>
    <x v="0"/>
    <x v="0"/>
  </r>
  <r>
    <s v="P-0866"/>
    <s v="Dr. King"/>
    <s v="Pediatrics"/>
    <x v="2"/>
    <n v="12"/>
    <s v="Medicaid"/>
    <s v="Routine Checkup"/>
    <x v="14"/>
    <n v="3057"/>
    <n v="3.94"/>
    <n v="34"/>
    <x v="0"/>
    <n v="14105"/>
    <x v="2"/>
    <x v="1"/>
  </r>
  <r>
    <s v="P-0404"/>
    <s v="Dr. Smith"/>
    <s v="General Surgery"/>
    <x v="1"/>
    <n v="50"/>
    <s v="Medicaid"/>
    <s v="Specialist Consultation"/>
    <x v="18"/>
    <n v="11146"/>
    <n v="16.52"/>
    <n v="96"/>
    <x v="0"/>
    <n v="30479"/>
    <x v="0"/>
    <x v="0"/>
  </r>
  <r>
    <s v="P-0405"/>
    <s v="Dr. Lopez"/>
    <s v="Cardiology"/>
    <x v="2"/>
    <n v="40"/>
    <s v="Medicare"/>
    <s v="Diagnostics"/>
    <x v="23"/>
    <n v="6752"/>
    <n v="9.81"/>
    <n v="70"/>
    <x v="0"/>
    <n v="20838"/>
    <x v="2"/>
    <x v="0"/>
  </r>
  <r>
    <s v="P-0895"/>
    <s v="Dr. Owens"/>
    <s v="Pediatrics"/>
    <x v="1"/>
    <n v="12"/>
    <s v="Private"/>
    <s v="Routine Checkup"/>
    <x v="36"/>
    <n v="3110"/>
    <n v="9.81"/>
    <n v="29"/>
    <x v="0"/>
    <n v="11519"/>
    <x v="1"/>
    <x v="1"/>
  </r>
  <r>
    <s v="P-0407"/>
    <s v="Dr. Byrd"/>
    <s v="Radiology"/>
    <x v="1"/>
    <n v="29"/>
    <s v="Private"/>
    <s v="Routine Checkup"/>
    <x v="34"/>
    <n v="2271"/>
    <n v="5.73"/>
    <n v="19"/>
    <x v="0"/>
    <n v="6845"/>
    <x v="1"/>
    <x v="0"/>
  </r>
  <r>
    <s v="P-0581"/>
    <s v="Dr. Holloway"/>
    <s v="Pediatrics"/>
    <x v="0"/>
    <n v="12"/>
    <s v="Private"/>
    <s v="Surgery"/>
    <x v="17"/>
    <n v="4310"/>
    <n v="10.28"/>
    <n v="43"/>
    <x v="0"/>
    <n v="11400"/>
    <x v="2"/>
    <x v="1"/>
  </r>
  <r>
    <s v="P-0409"/>
    <s v="Dr. Wright"/>
    <s v="Neurology"/>
    <x v="0"/>
    <n v="48"/>
    <s v="Medicare"/>
    <s v="Routine Checkup"/>
    <x v="3"/>
    <n v="6954"/>
    <n v="10.98"/>
    <n v="143"/>
    <x v="1"/>
    <n v="19387"/>
    <x v="0"/>
    <x v="0"/>
  </r>
  <r>
    <s v="P-0410"/>
    <s v="Dr. Byrd"/>
    <s v="Radiology"/>
    <x v="0"/>
    <n v="7"/>
    <s v="Medicare"/>
    <s v="Therapy"/>
    <x v="34"/>
    <n v="1907"/>
    <n v="0"/>
    <n v="37"/>
    <x v="2"/>
    <n v="9220"/>
    <x v="1"/>
    <x v="1"/>
  </r>
  <r>
    <s v="P-0884"/>
    <s v="Dr. Holloway"/>
    <s v="Pediatrics"/>
    <x v="0"/>
    <n v="12"/>
    <s v="Medicare"/>
    <s v="Therapy"/>
    <x v="0"/>
    <n v="2384"/>
    <n v="10.24"/>
    <n v="72"/>
    <x v="0"/>
    <n v="7722"/>
    <x v="0"/>
    <x v="1"/>
  </r>
  <r>
    <s v="P-0412"/>
    <s v="Dr. Mcguire"/>
    <s v="Orthopedics"/>
    <x v="0"/>
    <n v="79"/>
    <s v="Medicare"/>
    <s v="Diagnostics"/>
    <x v="14"/>
    <n v="2010"/>
    <n v="6.12"/>
    <n v="73"/>
    <x v="0"/>
    <n v="11073"/>
    <x v="2"/>
    <x v="0"/>
  </r>
  <r>
    <s v="P-0413"/>
    <s v="Dr. Kidd"/>
    <s v="Cardiology"/>
    <x v="0"/>
    <n v="10"/>
    <s v="Medicaid"/>
    <s v="Specialist Consultation"/>
    <x v="10"/>
    <n v="9188"/>
    <n v="14.9"/>
    <n v="66"/>
    <x v="0"/>
    <n v="53566"/>
    <x v="2"/>
    <x v="1"/>
  </r>
  <r>
    <s v="P-0414"/>
    <s v="Dr. Rose"/>
    <s v="Emergency"/>
    <x v="1"/>
    <n v="50"/>
    <s v="Medicaid"/>
    <s v="Therapy"/>
    <x v="25"/>
    <n v="3254"/>
    <n v="28.74"/>
    <n v="84"/>
    <x v="1"/>
    <n v="14429"/>
    <x v="0"/>
    <x v="0"/>
  </r>
  <r>
    <s v="P-0415"/>
    <s v="Dr. Pierce"/>
    <s v="Oncology"/>
    <x v="0"/>
    <n v="74"/>
    <s v="Private"/>
    <s v="Therapy"/>
    <x v="12"/>
    <n v="8346"/>
    <n v="9.61"/>
    <n v="56"/>
    <x v="0"/>
    <n v="27253"/>
    <x v="2"/>
    <x v="0"/>
  </r>
  <r>
    <s v="P-0416"/>
    <s v="Dr. Ward"/>
    <s v="Radiology"/>
    <x v="0"/>
    <n v="53"/>
    <s v="Private"/>
    <s v="Emergency Care"/>
    <x v="27"/>
    <n v="2690"/>
    <n v="4.24"/>
    <n v="36"/>
    <x v="2"/>
    <n v="8071"/>
    <x v="1"/>
    <x v="0"/>
  </r>
  <r>
    <s v="P-0417"/>
    <s v="Dr. Lopez"/>
    <s v="Cardiology"/>
    <x v="1"/>
    <n v="69"/>
    <s v="Medicare"/>
    <s v="Surgery"/>
    <x v="4"/>
    <n v="5994"/>
    <n v="15.08"/>
    <n v="74"/>
    <x v="0"/>
    <n v="31682"/>
    <x v="1"/>
    <x v="0"/>
  </r>
  <r>
    <s v="P-0418"/>
    <s v="Dr. Lara"/>
    <s v="Neurology"/>
    <x v="0"/>
    <n v="55"/>
    <s v="Medicare"/>
    <s v="Therapy"/>
    <x v="10"/>
    <n v="5612"/>
    <n v="12.29"/>
    <n v="70"/>
    <x v="0"/>
    <n v="19200"/>
    <x v="2"/>
    <x v="0"/>
  </r>
  <r>
    <s v="P-0419"/>
    <s v="Dr. Castillo"/>
    <s v="General Surgery"/>
    <x v="0"/>
    <n v="55"/>
    <s v="Medicaid"/>
    <s v="Routine Checkup"/>
    <x v="38"/>
    <n v="7852"/>
    <n v="18.829999999999998"/>
    <n v="119"/>
    <x v="1"/>
    <n v="22207"/>
    <x v="0"/>
    <x v="0"/>
  </r>
  <r>
    <s v="P-0439"/>
    <s v="Dr. Reyes"/>
    <s v="Pediatrics"/>
    <x v="1"/>
    <n v="12"/>
    <s v="Medicaid"/>
    <s v="Therapy"/>
    <x v="4"/>
    <n v="3333"/>
    <n v="2.66"/>
    <n v="97"/>
    <x v="0"/>
    <n v="12522"/>
    <x v="1"/>
    <x v="1"/>
  </r>
  <r>
    <s v="P-0421"/>
    <s v="Dr. Smith"/>
    <s v="General Surgery"/>
    <x v="1"/>
    <n v="32"/>
    <s v="Medicare"/>
    <s v="Specialist Consultation"/>
    <x v="1"/>
    <n v="4054"/>
    <n v="15"/>
    <n v="104"/>
    <x v="0"/>
    <n v="21877"/>
    <x v="0"/>
    <x v="0"/>
  </r>
  <r>
    <s v="P-0422"/>
    <s v="Dr. Vaughn"/>
    <s v="Orthopedics"/>
    <x v="0"/>
    <n v="33"/>
    <s v="Private"/>
    <s v="Diagnostics"/>
    <x v="17"/>
    <n v="8892"/>
    <n v="12.89"/>
    <n v="52"/>
    <x v="0"/>
    <n v="37830"/>
    <x v="2"/>
    <x v="0"/>
  </r>
  <r>
    <s v="P-0423"/>
    <s v="Dr. Cherry"/>
    <s v="Orthopedics"/>
    <x v="0"/>
    <n v="3"/>
    <s v="Medicare"/>
    <s v="Diagnostics"/>
    <x v="24"/>
    <n v="5655"/>
    <n v="13.15"/>
    <n v="109"/>
    <x v="0"/>
    <n v="18837"/>
    <x v="0"/>
    <x v="1"/>
  </r>
  <r>
    <s v="P-0424"/>
    <s v="Dr. Clark"/>
    <s v="Oncology"/>
    <x v="1"/>
    <n v="49"/>
    <s v="Medicare"/>
    <s v="Therapy"/>
    <x v="5"/>
    <n v="6696"/>
    <n v="11.81"/>
    <n v="62"/>
    <x v="0"/>
    <n v="25929"/>
    <x v="1"/>
    <x v="0"/>
  </r>
  <r>
    <s v="P-0425"/>
    <s v="Dr. Brooks"/>
    <s v="Orthopedics"/>
    <x v="1"/>
    <n v="34"/>
    <s v="Medicaid"/>
    <s v="Therapy"/>
    <x v="14"/>
    <n v="5122"/>
    <n v="15.03"/>
    <n v="82"/>
    <x v="2"/>
    <n v="29461"/>
    <x v="2"/>
    <x v="0"/>
  </r>
  <r>
    <s v="P-0426"/>
    <s v="Dr. Holmes"/>
    <s v="Radiology"/>
    <x v="0"/>
    <n v="32"/>
    <s v="Private"/>
    <s v="Diagnostics"/>
    <x v="4"/>
    <n v="3266"/>
    <n v="5.55"/>
    <n v="41"/>
    <x v="0"/>
    <n v="8509"/>
    <x v="1"/>
    <x v="0"/>
  </r>
  <r>
    <s v="P-0427"/>
    <s v="Dr. Hicks"/>
    <s v="Emergency"/>
    <x v="0"/>
    <n v="46"/>
    <s v="Private"/>
    <s v="Diagnostics"/>
    <x v="23"/>
    <n v="3418"/>
    <n v="18.86"/>
    <n v="115"/>
    <x v="0"/>
    <n v="12343"/>
    <x v="2"/>
    <x v="0"/>
  </r>
  <r>
    <s v="P-0428"/>
    <s v="Dr. Villa"/>
    <s v="General Surgery"/>
    <x v="0"/>
    <n v="51"/>
    <s v="Private"/>
    <s v="Routine Checkup"/>
    <x v="12"/>
    <n v="7267"/>
    <n v="13.08"/>
    <n v="105"/>
    <x v="0"/>
    <n v="34005"/>
    <x v="2"/>
    <x v="0"/>
  </r>
  <r>
    <s v="P-0429"/>
    <s v="Dr. Vaughn"/>
    <s v="Orthopedics"/>
    <x v="0"/>
    <n v="32"/>
    <s v="Private"/>
    <s v="Emergency Care"/>
    <x v="15"/>
    <n v="4032"/>
    <n v="10.43"/>
    <n v="70"/>
    <x v="0"/>
    <n v="23281"/>
    <x v="1"/>
    <x v="0"/>
  </r>
  <r>
    <s v="P-0430"/>
    <s v="Dr. Anderson"/>
    <s v="Oncology"/>
    <x v="1"/>
    <n v="35"/>
    <s v="Medicaid"/>
    <s v="Routine Checkup"/>
    <x v="12"/>
    <n v="6247"/>
    <n v="15.19"/>
    <n v="56"/>
    <x v="0"/>
    <n v="26582"/>
    <x v="2"/>
    <x v="0"/>
  </r>
  <r>
    <s v="P-0431"/>
    <s v="Dr. Pierce"/>
    <s v="Oncology"/>
    <x v="1"/>
    <n v="41"/>
    <s v="Medicare"/>
    <s v="Specialist Consultation"/>
    <x v="2"/>
    <n v="9929"/>
    <n v="17.11"/>
    <n v="47"/>
    <x v="2"/>
    <n v="56250"/>
    <x v="1"/>
    <x v="0"/>
  </r>
  <r>
    <s v="P-0432"/>
    <s v="Dr. Castillo"/>
    <s v="General Surgery"/>
    <x v="0"/>
    <n v="56"/>
    <s v="Private"/>
    <s v="Emergency Care"/>
    <x v="29"/>
    <n v="10143"/>
    <n v="12.53"/>
    <n v="108"/>
    <x v="1"/>
    <n v="56760"/>
    <x v="0"/>
    <x v="0"/>
  </r>
  <r>
    <s v="P-0433"/>
    <s v="Dr. Lara"/>
    <s v="Neurology"/>
    <x v="0"/>
    <n v="67"/>
    <s v="Medicare"/>
    <s v="Surgery"/>
    <x v="10"/>
    <n v="5428"/>
    <n v="12.57"/>
    <n v="67"/>
    <x v="1"/>
    <n v="21738"/>
    <x v="2"/>
    <x v="0"/>
  </r>
  <r>
    <s v="P-0434"/>
    <s v="Dr. Hamilton"/>
    <s v="Oncology"/>
    <x v="1"/>
    <n v="49"/>
    <s v="Medicaid"/>
    <s v="Emergency Care"/>
    <x v="14"/>
    <n v="7899"/>
    <n v="6.6"/>
    <n v="114"/>
    <x v="1"/>
    <n v="31741"/>
    <x v="2"/>
    <x v="0"/>
  </r>
  <r>
    <s v="P-0435"/>
    <s v="Dr. Mccarty"/>
    <s v="Cardiology"/>
    <x v="1"/>
    <n v="63"/>
    <s v="Medicaid"/>
    <s v="Specialist Consultation"/>
    <x v="14"/>
    <n v="8769"/>
    <n v="12.61"/>
    <n v="87"/>
    <x v="0"/>
    <n v="47119"/>
    <x v="2"/>
    <x v="0"/>
  </r>
  <r>
    <s v="P-0436"/>
    <s v="Dr. Monroe"/>
    <s v="Emergency"/>
    <x v="1"/>
    <n v="83"/>
    <s v="Private"/>
    <s v="Emergency Care"/>
    <x v="3"/>
    <n v="3348"/>
    <n v="21.44"/>
    <n v="126"/>
    <x v="0"/>
    <n v="9593"/>
    <x v="0"/>
    <x v="0"/>
  </r>
  <r>
    <s v="P-0437"/>
    <s v="Dr. Holmes"/>
    <s v="Radiology"/>
    <x v="1"/>
    <n v="22"/>
    <s v="Medicaid"/>
    <s v="Diagnostics"/>
    <x v="12"/>
    <n v="3258"/>
    <n v="7.41"/>
    <n v="93"/>
    <x v="0"/>
    <n v="14214"/>
    <x v="2"/>
    <x v="0"/>
  </r>
  <r>
    <s v="P-0438"/>
    <s v="Dr. Lawrence"/>
    <s v="Emergency"/>
    <x v="1"/>
    <n v="10"/>
    <s v="Medicaid"/>
    <s v="Emergency Care"/>
    <x v="20"/>
    <n v="3453"/>
    <n v="19.8"/>
    <n v="121"/>
    <x v="1"/>
    <n v="9270"/>
    <x v="0"/>
    <x v="1"/>
  </r>
  <r>
    <s v="P-0757"/>
    <s v="Dr. Reyes"/>
    <s v="Pediatrics"/>
    <x v="0"/>
    <n v="12"/>
    <s v="Medicaid"/>
    <s v="Specialist Consultation"/>
    <x v="27"/>
    <n v="2655"/>
    <n v="10.15"/>
    <n v="46"/>
    <x v="0"/>
    <n v="11791"/>
    <x v="1"/>
    <x v="1"/>
  </r>
  <r>
    <s v="P-0440"/>
    <s v="Dr. Webb"/>
    <s v="General Surgery"/>
    <x v="0"/>
    <n v="53"/>
    <s v="Medicare"/>
    <s v="Diagnostics"/>
    <x v="12"/>
    <n v="5104"/>
    <n v="15.69"/>
    <n v="103"/>
    <x v="0"/>
    <n v="18622"/>
    <x v="2"/>
    <x v="0"/>
  </r>
  <r>
    <s v="P-0441"/>
    <s v="Dr. Pierce"/>
    <s v="Oncology"/>
    <x v="1"/>
    <n v="14"/>
    <s v="Medicaid"/>
    <s v="Surgery"/>
    <x v="21"/>
    <n v="7278"/>
    <n v="16.21"/>
    <n v="23"/>
    <x v="0"/>
    <n v="39175"/>
    <x v="1"/>
    <x v="1"/>
  </r>
  <r>
    <s v="P-0442"/>
    <s v="Dr. Cherry"/>
    <s v="Orthopedics"/>
    <x v="1"/>
    <n v="29"/>
    <s v="Medicare"/>
    <s v="Diagnostics"/>
    <x v="5"/>
    <n v="6492"/>
    <n v="11.25"/>
    <n v="30"/>
    <x v="2"/>
    <n v="16972"/>
    <x v="1"/>
    <x v="0"/>
  </r>
  <r>
    <s v="P-0443"/>
    <s v="Dr. Anderson"/>
    <s v="Oncology"/>
    <x v="0"/>
    <n v="1"/>
    <s v="Medicaid"/>
    <s v="Surgery"/>
    <x v="17"/>
    <n v="8725"/>
    <n v="10.07"/>
    <n v="66"/>
    <x v="0"/>
    <n v="43639"/>
    <x v="2"/>
    <x v="1"/>
  </r>
  <r>
    <s v="P-0444"/>
    <s v="Dr. Byrd"/>
    <s v="Radiology"/>
    <x v="1"/>
    <n v="42"/>
    <s v="Medicare"/>
    <s v="Specialist Consultation"/>
    <x v="33"/>
    <n v="2633"/>
    <n v="1.37"/>
    <n v="30"/>
    <x v="2"/>
    <n v="7290"/>
    <x v="1"/>
    <x v="0"/>
  </r>
  <r>
    <s v="P-0445"/>
    <s v="Dr. Lopez"/>
    <s v="Cardiology"/>
    <x v="2"/>
    <n v="59"/>
    <s v="Medicare"/>
    <s v="Diagnostics"/>
    <x v="4"/>
    <n v="8622"/>
    <n v="14.65"/>
    <n v="44"/>
    <x v="2"/>
    <n v="32824"/>
    <x v="1"/>
    <x v="0"/>
  </r>
  <r>
    <s v="P-0446"/>
    <s v="Dr. Pierce"/>
    <s v="Oncology"/>
    <x v="1"/>
    <n v="35"/>
    <s v="Private"/>
    <s v="Surgery"/>
    <x v="6"/>
    <n v="6289"/>
    <n v="6.85"/>
    <n v="74"/>
    <x v="2"/>
    <n v="17265"/>
    <x v="1"/>
    <x v="0"/>
  </r>
  <r>
    <s v="P-0447"/>
    <s v="Dr. Brooks"/>
    <s v="Orthopedics"/>
    <x v="1"/>
    <n v="20"/>
    <s v="Medicaid"/>
    <s v="Therapy"/>
    <x v="14"/>
    <n v="6380"/>
    <n v="10.67"/>
    <n v="67"/>
    <x v="0"/>
    <n v="19705"/>
    <x v="2"/>
    <x v="0"/>
  </r>
  <r>
    <s v="P-0448"/>
    <s v="Dr. Hicks"/>
    <s v="Emergency"/>
    <x v="0"/>
    <n v="48"/>
    <s v="Medicaid"/>
    <s v="Routine Checkup"/>
    <x v="24"/>
    <n v="3509"/>
    <n v="11.69"/>
    <n v="130"/>
    <x v="0"/>
    <n v="20247"/>
    <x v="0"/>
    <x v="0"/>
  </r>
  <r>
    <s v="P-0449"/>
    <s v="Dr. Lawrence"/>
    <s v="Emergency"/>
    <x v="1"/>
    <n v="49"/>
    <s v="Private"/>
    <s v="Surgery"/>
    <x v="20"/>
    <n v="2611"/>
    <n v="24.81"/>
    <n v="123"/>
    <x v="0"/>
    <n v="12718"/>
    <x v="0"/>
    <x v="0"/>
  </r>
  <r>
    <s v="P-0450"/>
    <s v="Dr. Bradshaw"/>
    <s v="Orthopedics"/>
    <x v="0"/>
    <n v="77"/>
    <s v="Medicare"/>
    <s v="Diagnostics"/>
    <x v="14"/>
    <n v="5641"/>
    <n v="13.1"/>
    <n v="64"/>
    <x v="2"/>
    <n v="30779"/>
    <x v="2"/>
    <x v="0"/>
  </r>
  <r>
    <s v="P-0451"/>
    <s v="Dr. Anderson"/>
    <s v="Oncology"/>
    <x v="0"/>
    <n v="5"/>
    <s v="Medicare"/>
    <s v="Routine Checkup"/>
    <x v="12"/>
    <n v="7702"/>
    <n v="15.24"/>
    <n v="57"/>
    <x v="0"/>
    <n v="33113"/>
    <x v="2"/>
    <x v="1"/>
  </r>
  <r>
    <s v="P-0452"/>
    <s v="Dr. Smith"/>
    <s v="General Surgery"/>
    <x v="1"/>
    <n v="58"/>
    <s v="Medicaid"/>
    <s v="Therapy"/>
    <x v="5"/>
    <n v="8593"/>
    <n v="16.66"/>
    <n v="59"/>
    <x v="0"/>
    <n v="31882"/>
    <x v="1"/>
    <x v="0"/>
  </r>
  <r>
    <s v="P-0453"/>
    <s v="Dr. Smith"/>
    <s v="General Surgery"/>
    <x v="0"/>
    <n v="65"/>
    <s v="Private"/>
    <s v="Routine Checkup"/>
    <x v="13"/>
    <n v="8766"/>
    <n v="19.32"/>
    <n v="106"/>
    <x v="0"/>
    <n v="52299"/>
    <x v="0"/>
    <x v="0"/>
  </r>
  <r>
    <s v="P-0454"/>
    <s v="Dr. Mccarty"/>
    <s v="Cardiology"/>
    <x v="1"/>
    <n v="46"/>
    <s v="Medicaid"/>
    <s v="Diagnostics"/>
    <x v="9"/>
    <n v="8795"/>
    <n v="20.350000000000001"/>
    <n v="78"/>
    <x v="1"/>
    <n v="28842"/>
    <x v="2"/>
    <x v="0"/>
  </r>
  <r>
    <s v="P-0455"/>
    <s v="Dr. Mccarty"/>
    <s v="Cardiology"/>
    <x v="1"/>
    <n v="54"/>
    <s v="Medicaid"/>
    <s v="Therapy"/>
    <x v="12"/>
    <n v="5373"/>
    <n v="14.87"/>
    <n v="47"/>
    <x v="0"/>
    <n v="27673"/>
    <x v="2"/>
    <x v="0"/>
  </r>
  <r>
    <s v="P-0456"/>
    <s v="Dr. Tran"/>
    <s v="Oncology"/>
    <x v="0"/>
    <n v="28"/>
    <s v="Private"/>
    <s v="Diagnostics"/>
    <x v="7"/>
    <n v="6187"/>
    <n v="15.38"/>
    <n v="75"/>
    <x v="0"/>
    <n v="34272"/>
    <x v="2"/>
    <x v="0"/>
  </r>
  <r>
    <s v="P-0457"/>
    <s v="Dr. Castillo"/>
    <s v="General Surgery"/>
    <x v="0"/>
    <n v="42"/>
    <s v="Medicaid"/>
    <s v="Therapy"/>
    <x v="3"/>
    <n v="5563"/>
    <n v="22.27"/>
    <n v="109"/>
    <x v="1"/>
    <n v="14127"/>
    <x v="0"/>
    <x v="0"/>
  </r>
  <r>
    <s v="P-0458"/>
    <s v="Dr. Castillo"/>
    <s v="General Surgery"/>
    <x v="0"/>
    <n v="31"/>
    <s v="Medicare"/>
    <s v="Emergency Care"/>
    <x v="24"/>
    <n v="9174"/>
    <n v="14.98"/>
    <n v="115"/>
    <x v="0"/>
    <n v="40408"/>
    <x v="0"/>
    <x v="0"/>
  </r>
  <r>
    <s v="P-0459"/>
    <s v="Dr. Webb"/>
    <s v="General Surgery"/>
    <x v="0"/>
    <n v="64"/>
    <s v="Medicare"/>
    <s v="Therapy"/>
    <x v="17"/>
    <n v="9852"/>
    <n v="15.93"/>
    <n v="74"/>
    <x v="1"/>
    <n v="26373"/>
    <x v="2"/>
    <x v="0"/>
  </r>
  <r>
    <s v="P-0460"/>
    <s v="Dr. Rose"/>
    <s v="Emergency"/>
    <x v="1"/>
    <n v="69"/>
    <s v="Medicare"/>
    <s v="Specialist Consultation"/>
    <x v="24"/>
    <n v="3086"/>
    <n v="20.62"/>
    <n v="104"/>
    <x v="0"/>
    <n v="17764"/>
    <x v="0"/>
    <x v="0"/>
  </r>
  <r>
    <s v="P-0461"/>
    <s v="Dr. Snyder"/>
    <s v="Emergency"/>
    <x v="1"/>
    <n v="42"/>
    <s v="Private"/>
    <s v="Specialist Consultation"/>
    <x v="40"/>
    <n v="4089"/>
    <n v="16.52"/>
    <n v="92"/>
    <x v="1"/>
    <n v="15008"/>
    <x v="0"/>
    <x v="0"/>
  </r>
  <r>
    <s v="P-0462"/>
    <s v="Dr. Tran"/>
    <s v="Oncology"/>
    <x v="1"/>
    <n v="58"/>
    <s v="Medicare"/>
    <s v="Diagnostics"/>
    <x v="27"/>
    <n v="8403"/>
    <n v="9.26"/>
    <n v="32"/>
    <x v="2"/>
    <n v="25533"/>
    <x v="1"/>
    <x v="0"/>
  </r>
  <r>
    <s v="P-0463"/>
    <s v="Dr. Mccarty"/>
    <s v="Cardiology"/>
    <x v="2"/>
    <n v="35"/>
    <s v="Private"/>
    <s v="Surgery"/>
    <x v="12"/>
    <n v="5383"/>
    <n v="8.99"/>
    <n v="71"/>
    <x v="0"/>
    <n v="14110"/>
    <x v="2"/>
    <x v="0"/>
  </r>
  <r>
    <s v="P-0464"/>
    <s v="Dr. Hicks"/>
    <s v="Emergency"/>
    <x v="1"/>
    <n v="76"/>
    <s v="Private"/>
    <s v="Specialist Consultation"/>
    <x v="23"/>
    <n v="3867"/>
    <n v="13.45"/>
    <n v="92"/>
    <x v="0"/>
    <n v="21790"/>
    <x v="2"/>
    <x v="0"/>
  </r>
  <r>
    <s v="P-0465"/>
    <s v="Dr. Reyes"/>
    <s v="Radiology"/>
    <x v="2"/>
    <n v="24"/>
    <s v="Medicare"/>
    <s v="Surgery"/>
    <x v="36"/>
    <n v="1766"/>
    <n v="2.99"/>
    <n v="29"/>
    <x v="2"/>
    <n v="8575"/>
    <x v="1"/>
    <x v="0"/>
  </r>
  <r>
    <s v="P-0466"/>
    <s v="Dr. Holmes"/>
    <s v="Radiology"/>
    <x v="1"/>
    <n v="37"/>
    <s v="Medicaid"/>
    <s v="Therapy"/>
    <x v="35"/>
    <n v="2740"/>
    <n v="2.2200000000000002"/>
    <n v="68"/>
    <x v="0"/>
    <n v="9445"/>
    <x v="1"/>
    <x v="0"/>
  </r>
  <r>
    <s v="P-0467"/>
    <s v="Dr. Wright"/>
    <s v="Neurology"/>
    <x v="1"/>
    <n v="62"/>
    <s v="Medicaid"/>
    <s v="Surgery"/>
    <x v="17"/>
    <n v="5967"/>
    <n v="17.850000000000001"/>
    <n v="126"/>
    <x v="0"/>
    <n v="23505"/>
    <x v="2"/>
    <x v="0"/>
  </r>
  <r>
    <s v="P-0468"/>
    <s v="Dr. Adams"/>
    <s v="Neurology"/>
    <x v="0"/>
    <n v="8"/>
    <s v="Private"/>
    <s v="Diagnostics"/>
    <x v="17"/>
    <n v="7987"/>
    <n v="15.84"/>
    <n v="74"/>
    <x v="0"/>
    <n v="35515"/>
    <x v="2"/>
    <x v="1"/>
  </r>
  <r>
    <s v="P-0469"/>
    <s v="Dr. Smith"/>
    <s v="General Surgery"/>
    <x v="1"/>
    <n v="25"/>
    <s v="Medicare"/>
    <s v="Routine Checkup"/>
    <x v="23"/>
    <n v="7609"/>
    <n v="20.32"/>
    <n v="81"/>
    <x v="0"/>
    <n v="27659"/>
    <x v="2"/>
    <x v="0"/>
  </r>
  <r>
    <s v="P-0470"/>
    <s v="Dr. Clark"/>
    <s v="Oncology"/>
    <x v="1"/>
    <n v="63"/>
    <s v="Medicare"/>
    <s v="Routine Checkup"/>
    <x v="41"/>
    <n v="10597"/>
    <n v="17.670000000000002"/>
    <n v="113"/>
    <x v="0"/>
    <n v="36726"/>
    <x v="0"/>
    <x v="0"/>
  </r>
  <r>
    <s v="P-0471"/>
    <s v="Dr. Garcia"/>
    <s v="Cardiology"/>
    <x v="0"/>
    <n v="30"/>
    <s v="Medicare"/>
    <s v="Therapy"/>
    <x v="12"/>
    <n v="5529"/>
    <n v="19.03"/>
    <n v="99"/>
    <x v="0"/>
    <n v="18054"/>
    <x v="2"/>
    <x v="0"/>
  </r>
  <r>
    <s v="P-0472"/>
    <s v="Dr. Monroe"/>
    <s v="Emergency"/>
    <x v="1"/>
    <n v="66"/>
    <s v="Private"/>
    <s v="Therapy"/>
    <x v="24"/>
    <n v="3299"/>
    <n v="9.5399999999999991"/>
    <n v="116"/>
    <x v="0"/>
    <n v="13620"/>
    <x v="0"/>
    <x v="0"/>
  </r>
  <r>
    <s v="P-0473"/>
    <s v="Dr. Snyder"/>
    <s v="Emergency"/>
    <x v="0"/>
    <n v="23"/>
    <s v="Medicaid"/>
    <s v="Emergency Care"/>
    <x v="1"/>
    <n v="2603"/>
    <n v="18.760000000000002"/>
    <n v="148"/>
    <x v="1"/>
    <n v="15301"/>
    <x v="0"/>
    <x v="0"/>
  </r>
  <r>
    <s v="P-0474"/>
    <s v="Dr. Pierce"/>
    <s v="Oncology"/>
    <x v="1"/>
    <n v="77"/>
    <s v="Private"/>
    <s v="Therapy"/>
    <x v="18"/>
    <n v="6763"/>
    <n v="14"/>
    <n v="119"/>
    <x v="1"/>
    <n v="24978"/>
    <x v="0"/>
    <x v="0"/>
  </r>
  <r>
    <s v="P-0475"/>
    <s v="Dr. Pierce"/>
    <s v="Oncology"/>
    <x v="1"/>
    <n v="41"/>
    <s v="Medicare"/>
    <s v="Routine Checkup"/>
    <x v="23"/>
    <n v="8706"/>
    <n v="11.07"/>
    <n v="95"/>
    <x v="1"/>
    <n v="43028"/>
    <x v="2"/>
    <x v="0"/>
  </r>
  <r>
    <s v="P-0750"/>
    <s v="Dr. Lopez"/>
    <s v="Pediatrics"/>
    <x v="1"/>
    <n v="12"/>
    <s v="Medicaid"/>
    <s v="Surgery"/>
    <x v="27"/>
    <n v="3187"/>
    <n v="8.52"/>
    <n v="43"/>
    <x v="0"/>
    <n v="8585"/>
    <x v="1"/>
    <x v="1"/>
  </r>
  <r>
    <s v="P-0477"/>
    <s v="Dr. Hamilton"/>
    <s v="Oncology"/>
    <x v="0"/>
    <n v="27"/>
    <s v="Medicaid"/>
    <s v="Therapy"/>
    <x v="7"/>
    <n v="9898"/>
    <n v="19.75"/>
    <n v="65"/>
    <x v="0"/>
    <n v="49992"/>
    <x v="2"/>
    <x v="0"/>
  </r>
  <r>
    <s v="P-0478"/>
    <s v="Dr. Clark"/>
    <s v="Oncology"/>
    <x v="1"/>
    <n v="68"/>
    <s v="Private"/>
    <s v="Therapy"/>
    <x v="7"/>
    <n v="4847"/>
    <n v="16.829999999999998"/>
    <n v="55"/>
    <x v="0"/>
    <n v="18937"/>
    <x v="2"/>
    <x v="0"/>
  </r>
  <r>
    <s v="P-0479"/>
    <s v="Dr. Lara"/>
    <s v="Neurology"/>
    <x v="0"/>
    <n v="62"/>
    <s v="Private"/>
    <s v="Diagnostics"/>
    <x v="10"/>
    <n v="5308"/>
    <n v="20.420000000000002"/>
    <n v="104"/>
    <x v="0"/>
    <n v="31060"/>
    <x v="2"/>
    <x v="0"/>
  </r>
  <r>
    <s v="P-0480"/>
    <s v="Dr. Byrd"/>
    <s v="Radiology"/>
    <x v="1"/>
    <n v="57"/>
    <s v="Medicare"/>
    <s v="Surgery"/>
    <x v="27"/>
    <n v="2549"/>
    <n v="1.63"/>
    <n v="100"/>
    <x v="0"/>
    <n v="9840"/>
    <x v="1"/>
    <x v="0"/>
  </r>
  <r>
    <s v="P-0481"/>
    <s v="Dr. Wright"/>
    <s v="Neurology"/>
    <x v="1"/>
    <n v="38"/>
    <s v="Medicaid"/>
    <s v="Surgery"/>
    <x v="22"/>
    <n v="5683"/>
    <n v="13.85"/>
    <n v="85"/>
    <x v="1"/>
    <n v="31584"/>
    <x v="1"/>
    <x v="0"/>
  </r>
  <r>
    <s v="P-0482"/>
    <s v="Dr. Anderson"/>
    <s v="Oncology"/>
    <x v="1"/>
    <n v="33"/>
    <s v="Medicaid"/>
    <s v="Routine Checkup"/>
    <x v="22"/>
    <n v="6691"/>
    <n v="7.47"/>
    <n v="100"/>
    <x v="2"/>
    <n v="24109"/>
    <x v="1"/>
    <x v="0"/>
  </r>
  <r>
    <s v="P-0483"/>
    <s v="Dr. Castillo"/>
    <s v="General Surgery"/>
    <x v="0"/>
    <n v="51"/>
    <s v="Medicare"/>
    <s v="Therapy"/>
    <x v="22"/>
    <n v="9389"/>
    <n v="12.9"/>
    <n v="76"/>
    <x v="2"/>
    <n v="48232"/>
    <x v="1"/>
    <x v="0"/>
  </r>
  <r>
    <s v="P-0484"/>
    <s v="Dr. Lara"/>
    <s v="Neurology"/>
    <x v="1"/>
    <n v="44"/>
    <s v="Private"/>
    <s v="Diagnostics"/>
    <x v="20"/>
    <n v="7468"/>
    <n v="20.76"/>
    <n v="111"/>
    <x v="1"/>
    <n v="34799"/>
    <x v="0"/>
    <x v="0"/>
  </r>
  <r>
    <s v="P-0485"/>
    <s v="Dr. Kidd"/>
    <s v="Cardiology"/>
    <x v="0"/>
    <n v="37"/>
    <s v="Private"/>
    <s v="Therapy"/>
    <x v="2"/>
    <n v="6924"/>
    <n v="12.07"/>
    <n v="93"/>
    <x v="2"/>
    <n v="19394"/>
    <x v="1"/>
    <x v="0"/>
  </r>
  <r>
    <s v="P-0486"/>
    <s v="Dr. Pierce"/>
    <s v="Oncology"/>
    <x v="1"/>
    <n v="68"/>
    <s v="Medicaid"/>
    <s v="Therapy"/>
    <x v="22"/>
    <n v="9051"/>
    <n v="8.92"/>
    <n v="125"/>
    <x v="0"/>
    <n v="30620"/>
    <x v="1"/>
    <x v="0"/>
  </r>
  <r>
    <s v="P-0487"/>
    <s v="Dr. Lawrence"/>
    <s v="Emergency"/>
    <x v="1"/>
    <n v="63"/>
    <s v="Medicaid"/>
    <s v="Specialist Consultation"/>
    <x v="17"/>
    <n v="4612"/>
    <n v="20.3"/>
    <n v="79"/>
    <x v="0"/>
    <n v="19055"/>
    <x v="2"/>
    <x v="0"/>
  </r>
  <r>
    <s v="P-0488"/>
    <s v="Dr. Clark"/>
    <s v="Oncology"/>
    <x v="1"/>
    <n v="56"/>
    <s v="Medicare"/>
    <s v="Diagnostics"/>
    <x v="9"/>
    <n v="4759"/>
    <n v="17.239999999999998"/>
    <n v="61"/>
    <x v="0"/>
    <n v="24665"/>
    <x v="2"/>
    <x v="0"/>
  </r>
  <r>
    <s v="P-0489"/>
    <s v="Dr. Monroe"/>
    <s v="Emergency"/>
    <x v="0"/>
    <n v="24"/>
    <s v="Medicaid"/>
    <s v="Emergency Care"/>
    <x v="31"/>
    <n v="2824"/>
    <n v="24.51"/>
    <n v="134"/>
    <x v="0"/>
    <n v="11134"/>
    <x v="0"/>
    <x v="0"/>
  </r>
  <r>
    <s v="P-0490"/>
    <s v="Dr. Webb"/>
    <s v="General Surgery"/>
    <x v="0"/>
    <n v="49"/>
    <s v="Medicaid"/>
    <s v="Routine Checkup"/>
    <x v="7"/>
    <n v="8841"/>
    <n v="18.350000000000001"/>
    <n v="75"/>
    <x v="0"/>
    <n v="37757"/>
    <x v="2"/>
    <x v="0"/>
  </r>
  <r>
    <s v="P-0491"/>
    <s v="Dr. Ward"/>
    <s v="Radiology"/>
    <x v="0"/>
    <n v="54"/>
    <s v="Medicare"/>
    <s v="Surgery"/>
    <x v="2"/>
    <n v="1923"/>
    <n v="0"/>
    <n v="25"/>
    <x v="0"/>
    <n v="9247"/>
    <x v="1"/>
    <x v="0"/>
  </r>
  <r>
    <s v="P-0492"/>
    <s v="Dr. Smith"/>
    <s v="General Surgery"/>
    <x v="0"/>
    <n v="84"/>
    <s v="Medicare"/>
    <s v="Diagnostics"/>
    <x v="6"/>
    <n v="9310"/>
    <n v="19.04"/>
    <n v="79"/>
    <x v="0"/>
    <n v="42230"/>
    <x v="1"/>
    <x v="0"/>
  </r>
  <r>
    <s v="P-0018"/>
    <s v="Dr. King"/>
    <s v="Pediatrics"/>
    <x v="0"/>
    <n v="12"/>
    <s v="Medicare"/>
    <s v="Specialist Consultation"/>
    <x v="17"/>
    <n v="3460"/>
    <n v="3.4"/>
    <n v="59"/>
    <x v="0"/>
    <n v="17468"/>
    <x v="2"/>
    <x v="1"/>
  </r>
  <r>
    <s v="P-0494"/>
    <s v="Dr. Villa"/>
    <s v="General Surgery"/>
    <x v="0"/>
    <n v="46"/>
    <s v="Medicare"/>
    <s v="Diagnostics"/>
    <x v="29"/>
    <n v="10792"/>
    <n v="18.02"/>
    <n v="81"/>
    <x v="0"/>
    <n v="57311"/>
    <x v="0"/>
    <x v="0"/>
  </r>
  <r>
    <s v="P-0495"/>
    <s v="Dr. Reyes"/>
    <s v="Radiology"/>
    <x v="0"/>
    <n v="28"/>
    <s v="Private"/>
    <s v="Specialist Consultation"/>
    <x v="23"/>
    <n v="2930"/>
    <n v="5.56"/>
    <n v="46"/>
    <x v="0"/>
    <n v="8796"/>
    <x v="2"/>
    <x v="0"/>
  </r>
  <r>
    <s v="P-0496"/>
    <s v="Dr. Lawson"/>
    <s v="Neurology"/>
    <x v="1"/>
    <n v="40"/>
    <s v="Medicaid"/>
    <s v="Therapy"/>
    <x v="22"/>
    <n v="5516"/>
    <n v="15.69"/>
    <n v="67"/>
    <x v="0"/>
    <n v="15338"/>
    <x v="1"/>
    <x v="0"/>
  </r>
  <r>
    <s v="P-0497"/>
    <s v="Dr. Reyes"/>
    <s v="Radiology"/>
    <x v="1"/>
    <n v="90"/>
    <s v="Medicare"/>
    <s v="Routine Checkup"/>
    <x v="6"/>
    <n v="2745"/>
    <n v="7.28"/>
    <n v="36"/>
    <x v="0"/>
    <n v="8057"/>
    <x v="1"/>
    <x v="0"/>
  </r>
  <r>
    <s v="P-0498"/>
    <s v="Dr. Byrd"/>
    <s v="Radiology"/>
    <x v="0"/>
    <n v="56"/>
    <s v="Medicare"/>
    <s v="Therapy"/>
    <x v="19"/>
    <n v="2449"/>
    <n v="3.03"/>
    <n v="28"/>
    <x v="2"/>
    <n v="14144"/>
    <x v="1"/>
    <x v="0"/>
  </r>
  <r>
    <s v="P-0036"/>
    <s v="Dr. Lopez"/>
    <s v="Pediatrics"/>
    <x v="0"/>
    <n v="12"/>
    <s v="Medicare"/>
    <s v="Emergency Care"/>
    <x v="2"/>
    <n v="2536"/>
    <n v="14.65"/>
    <n v="26"/>
    <x v="0"/>
    <n v="8561"/>
    <x v="1"/>
    <x v="1"/>
  </r>
  <r>
    <s v="P-0500"/>
    <s v="Dr. Horton"/>
    <s v="General Surgery"/>
    <x v="1"/>
    <n v="47"/>
    <s v="Medicare"/>
    <s v="Routine Checkup"/>
    <x v="0"/>
    <n v="8578"/>
    <n v="20.23"/>
    <n v="83"/>
    <x v="1"/>
    <n v="22896"/>
    <x v="0"/>
    <x v="0"/>
  </r>
  <r>
    <s v="P-0501"/>
    <s v="Dr. Davis"/>
    <s v="Neurology"/>
    <x v="0"/>
    <n v="53"/>
    <s v="Medicaid"/>
    <s v="Specialist Consultation"/>
    <x v="18"/>
    <n v="4191"/>
    <n v="19.260000000000002"/>
    <n v="98"/>
    <x v="0"/>
    <n v="22592"/>
    <x v="0"/>
    <x v="0"/>
  </r>
  <r>
    <s v="P-0502"/>
    <s v="Dr. Rose"/>
    <s v="Emergency"/>
    <x v="1"/>
    <n v="69"/>
    <s v="Private"/>
    <s v="Specialist Consultation"/>
    <x v="20"/>
    <n v="2434"/>
    <n v="24.99"/>
    <n v="121"/>
    <x v="0"/>
    <n v="11239"/>
    <x v="0"/>
    <x v="0"/>
  </r>
  <r>
    <s v="P-0503"/>
    <s v="Dr. Lawrence"/>
    <s v="Emergency"/>
    <x v="1"/>
    <n v="56"/>
    <s v="Medicaid"/>
    <s v="Routine Checkup"/>
    <x v="7"/>
    <n v="2598"/>
    <n v="19.170000000000002"/>
    <n v="84"/>
    <x v="0"/>
    <n v="13439"/>
    <x v="2"/>
    <x v="0"/>
  </r>
  <r>
    <s v="P-0504"/>
    <s v="Dr. Lopez"/>
    <s v="Cardiology"/>
    <x v="1"/>
    <n v="14"/>
    <s v="Medicaid"/>
    <s v="Surgery"/>
    <x v="26"/>
    <n v="6170"/>
    <n v="16.940000000000001"/>
    <n v="87"/>
    <x v="1"/>
    <n v="19408"/>
    <x v="0"/>
    <x v="1"/>
  </r>
  <r>
    <s v="P-0106"/>
    <s v="Dr. Lopez"/>
    <s v="Pediatrics"/>
    <x v="0"/>
    <n v="12"/>
    <s v="Medicaid"/>
    <s v="Therapy"/>
    <x v="10"/>
    <n v="4203"/>
    <n v="10.87"/>
    <n v="71"/>
    <x v="0"/>
    <n v="10669"/>
    <x v="2"/>
    <x v="1"/>
  </r>
  <r>
    <s v="P-0506"/>
    <s v="Dr. Horton"/>
    <s v="General Surgery"/>
    <x v="1"/>
    <n v="41"/>
    <s v="Medicaid"/>
    <s v="Therapy"/>
    <x v="24"/>
    <n v="7690"/>
    <n v="17.04"/>
    <n v="98"/>
    <x v="1"/>
    <n v="34459"/>
    <x v="0"/>
    <x v="0"/>
  </r>
  <r>
    <s v="P-0507"/>
    <s v="Dr. Reyes"/>
    <s v="Radiology"/>
    <x v="1"/>
    <n v="48"/>
    <s v="Medicaid"/>
    <s v="Diagnostics"/>
    <x v="22"/>
    <n v="2587"/>
    <n v="0"/>
    <n v="65"/>
    <x v="0"/>
    <n v="15032"/>
    <x v="1"/>
    <x v="0"/>
  </r>
  <r>
    <s v="P-0508"/>
    <s v="Dr. Bradshaw"/>
    <s v="Orthopedics"/>
    <x v="0"/>
    <n v="35"/>
    <s v="Medicaid"/>
    <s v="Specialist Consultation"/>
    <x v="23"/>
    <n v="4034"/>
    <n v="12.48"/>
    <n v="91"/>
    <x v="0"/>
    <n v="12097"/>
    <x v="2"/>
    <x v="0"/>
  </r>
  <r>
    <s v="P-0509"/>
    <s v="Dr. Ward"/>
    <s v="Radiology"/>
    <x v="1"/>
    <n v="64"/>
    <s v="Private"/>
    <s v="Therapy"/>
    <x v="6"/>
    <n v="3076"/>
    <n v="10.55"/>
    <n v="5"/>
    <x v="1"/>
    <n v="12162"/>
    <x v="1"/>
    <x v="0"/>
  </r>
  <r>
    <s v="P-0510"/>
    <s v="Dr. Adams"/>
    <s v="Neurology"/>
    <x v="1"/>
    <n v="47"/>
    <s v="Medicaid"/>
    <s v="Diagnostics"/>
    <x v="11"/>
    <n v="5309"/>
    <n v="19.54"/>
    <n v="100"/>
    <x v="1"/>
    <n v="15074"/>
    <x v="0"/>
    <x v="0"/>
  </r>
  <r>
    <s v="P-0175"/>
    <s v="Dr. Owens"/>
    <s v="Pediatrics"/>
    <x v="1"/>
    <n v="12"/>
    <s v="Private"/>
    <s v="Routine Checkup"/>
    <x v="7"/>
    <n v="2158"/>
    <n v="15"/>
    <n v="46"/>
    <x v="0"/>
    <n v="11290"/>
    <x v="2"/>
    <x v="1"/>
  </r>
  <r>
    <s v="P-0512"/>
    <s v="Dr. Holmes"/>
    <s v="Radiology"/>
    <x v="0"/>
    <n v="27"/>
    <s v="Medicaid"/>
    <s v="Routine Checkup"/>
    <x v="6"/>
    <n v="2751"/>
    <n v="3.61"/>
    <n v="18"/>
    <x v="2"/>
    <n v="10722"/>
    <x v="1"/>
    <x v="0"/>
  </r>
  <r>
    <s v="P-0513"/>
    <s v="Dr. Bradshaw"/>
    <s v="Orthopedics"/>
    <x v="0"/>
    <n v="51"/>
    <s v="Medicaid"/>
    <s v="Emergency Care"/>
    <x v="5"/>
    <n v="6600"/>
    <n v="9.8699999999999992"/>
    <n v="73"/>
    <x v="0"/>
    <n v="26202"/>
    <x v="1"/>
    <x v="0"/>
  </r>
  <r>
    <s v="P-0514"/>
    <s v="Dr. Kidd"/>
    <s v="Cardiology"/>
    <x v="1"/>
    <n v="69"/>
    <s v="Medicaid"/>
    <s v="Surgery"/>
    <x v="7"/>
    <n v="7475"/>
    <n v="17.13"/>
    <n v="90"/>
    <x v="0"/>
    <n v="22349"/>
    <x v="2"/>
    <x v="0"/>
  </r>
  <r>
    <s v="P-0515"/>
    <s v="Dr. Lawrence"/>
    <s v="Emergency"/>
    <x v="0"/>
    <n v="70"/>
    <s v="Private"/>
    <s v="Surgery"/>
    <x v="10"/>
    <n v="3851"/>
    <n v="8.0299999999999994"/>
    <n v="65"/>
    <x v="2"/>
    <n v="11420"/>
    <x v="2"/>
    <x v="0"/>
  </r>
  <r>
    <s v="P-0516"/>
    <s v="Dr. Reyes"/>
    <s v="Radiology"/>
    <x v="0"/>
    <n v="72"/>
    <s v="Private"/>
    <s v="Therapy"/>
    <x v="37"/>
    <n v="1186"/>
    <n v="2.91"/>
    <n v="21"/>
    <x v="0"/>
    <n v="5354"/>
    <x v="1"/>
    <x v="0"/>
  </r>
  <r>
    <s v="P-0517"/>
    <s v="Dr. Monroe"/>
    <s v="Emergency"/>
    <x v="1"/>
    <n v="42"/>
    <s v="Medicaid"/>
    <s v="Therapy"/>
    <x v="7"/>
    <n v="4967"/>
    <n v="24.38"/>
    <n v="85"/>
    <x v="1"/>
    <n v="12855"/>
    <x v="2"/>
    <x v="0"/>
  </r>
  <r>
    <s v="P-0518"/>
    <s v="Dr. Villa"/>
    <s v="General Surgery"/>
    <x v="1"/>
    <n v="69"/>
    <s v="Private"/>
    <s v="Specialist Consultation"/>
    <x v="10"/>
    <n v="6081"/>
    <n v="18.73"/>
    <n v="82"/>
    <x v="2"/>
    <n v="32149"/>
    <x v="2"/>
    <x v="0"/>
  </r>
  <r>
    <s v="P-0519"/>
    <s v="Dr. Vaughn"/>
    <s v="Orthopedics"/>
    <x v="0"/>
    <n v="58"/>
    <s v="Private"/>
    <s v="Routine Checkup"/>
    <x v="0"/>
    <n v="4666"/>
    <n v="11.86"/>
    <n v="104"/>
    <x v="1"/>
    <n v="21452"/>
    <x v="0"/>
    <x v="0"/>
  </r>
  <r>
    <s v="P-0248"/>
    <s v="Dr. Holloway"/>
    <s v="Pediatrics"/>
    <x v="1"/>
    <n v="12"/>
    <s v="Private"/>
    <s v="Routine Checkup"/>
    <x v="23"/>
    <n v="3434"/>
    <n v="10.67"/>
    <n v="33"/>
    <x v="0"/>
    <n v="19488"/>
    <x v="2"/>
    <x v="1"/>
  </r>
  <r>
    <s v="P-0521"/>
    <s v="Dr. Reyes"/>
    <s v="Radiology"/>
    <x v="1"/>
    <n v="57"/>
    <s v="Medicaid"/>
    <s v="Routine Checkup"/>
    <x v="21"/>
    <n v="2443"/>
    <n v="0"/>
    <n v="47"/>
    <x v="0"/>
    <n v="10814"/>
    <x v="1"/>
    <x v="0"/>
  </r>
  <r>
    <s v="P-0522"/>
    <s v="Dr. Byrd"/>
    <s v="Radiology"/>
    <x v="1"/>
    <n v="56"/>
    <s v="Medicaid"/>
    <s v="Routine Checkup"/>
    <x v="32"/>
    <n v="2480"/>
    <n v="5.2"/>
    <n v="5"/>
    <x v="2"/>
    <n v="11381"/>
    <x v="1"/>
    <x v="0"/>
  </r>
  <r>
    <s v="P-0523"/>
    <s v="Dr. Mccarty"/>
    <s v="Cardiology"/>
    <x v="0"/>
    <n v="39"/>
    <s v="Medicare"/>
    <s v="Emergency Care"/>
    <x v="11"/>
    <n v="7449"/>
    <n v="16.78"/>
    <n v="111"/>
    <x v="1"/>
    <n v="25630"/>
    <x v="0"/>
    <x v="0"/>
  </r>
  <r>
    <s v="P-0524"/>
    <s v="Dr. Kidd"/>
    <s v="Cardiology"/>
    <x v="1"/>
    <n v="32"/>
    <s v="Private"/>
    <s v="Diagnostics"/>
    <x v="18"/>
    <n v="7731"/>
    <n v="8.66"/>
    <n v="70"/>
    <x v="0"/>
    <n v="35979"/>
    <x v="0"/>
    <x v="0"/>
  </r>
  <r>
    <s v="P-0525"/>
    <s v="Dr. Reyes"/>
    <s v="Radiology"/>
    <x v="1"/>
    <n v="46"/>
    <s v="Medicare"/>
    <s v="Surgery"/>
    <x v="42"/>
    <n v="2152"/>
    <n v="1.33"/>
    <n v="19"/>
    <x v="2"/>
    <n v="5484"/>
    <x v="1"/>
    <x v="0"/>
  </r>
  <r>
    <s v="P-0526"/>
    <s v="Dr. Webb"/>
    <s v="General Surgery"/>
    <x v="1"/>
    <n v="71"/>
    <s v="Medicare"/>
    <s v="Surgery"/>
    <x v="23"/>
    <n v="8806"/>
    <n v="21"/>
    <n v="118"/>
    <x v="0"/>
    <n v="42944"/>
    <x v="2"/>
    <x v="0"/>
  </r>
  <r>
    <s v="P-0527"/>
    <s v="Dr. Davis"/>
    <s v="Neurology"/>
    <x v="0"/>
    <n v="25"/>
    <s v="Private"/>
    <s v="Therapy"/>
    <x v="26"/>
    <n v="6936"/>
    <n v="14.09"/>
    <n v="110"/>
    <x v="1"/>
    <n v="20693"/>
    <x v="0"/>
    <x v="0"/>
  </r>
  <r>
    <s v="P-0528"/>
    <s v="Dr. Cherry"/>
    <s v="Orthopedics"/>
    <x v="0"/>
    <n v="45"/>
    <s v="Private"/>
    <s v="Diagnostics"/>
    <x v="23"/>
    <n v="4640"/>
    <n v="15.04"/>
    <n v="98"/>
    <x v="0"/>
    <n v="16676"/>
    <x v="2"/>
    <x v="0"/>
  </r>
  <r>
    <s v="P-0529"/>
    <s v="Dr. Lara"/>
    <s v="Neurology"/>
    <x v="0"/>
    <n v="18"/>
    <s v="Medicaid"/>
    <s v="Routine Checkup"/>
    <x v="7"/>
    <n v="6544"/>
    <n v="15.45"/>
    <n v="81"/>
    <x v="0"/>
    <n v="34268"/>
    <x v="2"/>
    <x v="1"/>
  </r>
  <r>
    <s v="P-0530"/>
    <s v="Dr. Reyes"/>
    <s v="Radiology"/>
    <x v="1"/>
    <n v="60"/>
    <s v="Private"/>
    <s v="Emergency Care"/>
    <x v="22"/>
    <n v="2452"/>
    <n v="6.67"/>
    <n v="66"/>
    <x v="0"/>
    <n v="12388"/>
    <x v="1"/>
    <x v="0"/>
  </r>
  <r>
    <s v="P-0531"/>
    <s v="Dr. Mcguire"/>
    <s v="Orthopedics"/>
    <x v="1"/>
    <n v="17"/>
    <s v="Medicare"/>
    <s v="Emergency Care"/>
    <x v="6"/>
    <n v="3626"/>
    <n v="12.19"/>
    <n v="82"/>
    <x v="0"/>
    <n v="18522"/>
    <x v="1"/>
    <x v="1"/>
  </r>
  <r>
    <s v="P-0532"/>
    <s v="Dr. Lawson"/>
    <s v="Neurology"/>
    <x v="1"/>
    <n v="34"/>
    <s v="Medicare"/>
    <s v="Therapy"/>
    <x v="17"/>
    <n v="5416"/>
    <n v="12.45"/>
    <n v="61"/>
    <x v="0"/>
    <n v="20558"/>
    <x v="2"/>
    <x v="0"/>
  </r>
  <r>
    <s v="P-0533"/>
    <s v="Dr. Reyes"/>
    <s v="Radiology"/>
    <x v="1"/>
    <n v="53"/>
    <s v="Medicare"/>
    <s v="Therapy"/>
    <x v="22"/>
    <n v="2330"/>
    <n v="6.48"/>
    <n v="50"/>
    <x v="0"/>
    <n v="8591"/>
    <x v="1"/>
    <x v="0"/>
  </r>
  <r>
    <s v="P-0534"/>
    <s v="Dr. Mccarty"/>
    <s v="Cardiology"/>
    <x v="0"/>
    <n v="44"/>
    <s v="Medicare"/>
    <s v="Surgery"/>
    <x v="4"/>
    <n v="6591"/>
    <n v="14.18"/>
    <n v="70"/>
    <x v="0"/>
    <n v="36673"/>
    <x v="1"/>
    <x v="0"/>
  </r>
  <r>
    <s v="P-0535"/>
    <s v="Dr. Hicks"/>
    <s v="Emergency"/>
    <x v="1"/>
    <n v="60"/>
    <s v="Private"/>
    <s v="Specialist Consultation"/>
    <x v="18"/>
    <n v="3785"/>
    <n v="20.2"/>
    <n v="101"/>
    <x v="1"/>
    <n v="21981"/>
    <x v="0"/>
    <x v="0"/>
  </r>
  <r>
    <s v="P-0536"/>
    <s v="Dr. Tran"/>
    <s v="Oncology"/>
    <x v="0"/>
    <n v="22"/>
    <s v="Medicaid"/>
    <s v="Surgery"/>
    <x v="26"/>
    <n v="11553"/>
    <n v="14.04"/>
    <n v="104"/>
    <x v="0"/>
    <n v="41500"/>
    <x v="0"/>
    <x v="0"/>
  </r>
  <r>
    <s v="P-0537"/>
    <s v="Dr. Adams"/>
    <s v="Neurology"/>
    <x v="1"/>
    <n v="52"/>
    <s v="Medicare"/>
    <s v="Surgery"/>
    <x v="17"/>
    <n v="8050"/>
    <n v="9.9700000000000006"/>
    <n v="96"/>
    <x v="0"/>
    <n v="46771"/>
    <x v="2"/>
    <x v="0"/>
  </r>
  <r>
    <s v="P-0538"/>
    <s v="Dr. Lawson"/>
    <s v="Neurology"/>
    <x v="1"/>
    <n v="61"/>
    <s v="Medicare"/>
    <s v="Surgery"/>
    <x v="2"/>
    <n v="7022"/>
    <n v="12.11"/>
    <n v="81"/>
    <x v="2"/>
    <n v="23756"/>
    <x v="1"/>
    <x v="0"/>
  </r>
  <r>
    <s v="P-0539"/>
    <s v="Dr. Mcguire"/>
    <s v="Orthopedics"/>
    <x v="0"/>
    <n v="43"/>
    <s v="Medicare"/>
    <s v="Diagnostics"/>
    <x v="15"/>
    <n v="6087"/>
    <n v="11.4"/>
    <n v="76"/>
    <x v="0"/>
    <n v="23385"/>
    <x v="1"/>
    <x v="0"/>
  </r>
  <r>
    <s v="P-0540"/>
    <s v="Dr. Clark"/>
    <s v="Oncology"/>
    <x v="0"/>
    <n v="51"/>
    <s v="Private"/>
    <s v="Surgery"/>
    <x v="23"/>
    <n v="5848"/>
    <n v="14.85"/>
    <n v="73"/>
    <x v="2"/>
    <n v="26989"/>
    <x v="2"/>
    <x v="0"/>
  </r>
  <r>
    <s v="P-0541"/>
    <s v="Dr. Lopez"/>
    <s v="Cardiology"/>
    <x v="1"/>
    <n v="70"/>
    <s v="Medicare"/>
    <s v="Diagnostics"/>
    <x v="14"/>
    <n v="7746"/>
    <n v="19.36"/>
    <n v="81"/>
    <x v="0"/>
    <n v="29205"/>
    <x v="2"/>
    <x v="0"/>
  </r>
  <r>
    <s v="P-0542"/>
    <s v="Dr. Reyes"/>
    <s v="Radiology"/>
    <x v="1"/>
    <n v="52"/>
    <s v="Medicare"/>
    <s v="Specialist Consultation"/>
    <x v="6"/>
    <n v="2389"/>
    <n v="1.29"/>
    <n v="57"/>
    <x v="0"/>
    <n v="11251"/>
    <x v="1"/>
    <x v="0"/>
  </r>
  <r>
    <s v="P-0543"/>
    <s v="Dr. Wright"/>
    <s v="Neurology"/>
    <x v="1"/>
    <n v="26"/>
    <s v="Medicaid"/>
    <s v="Routine Checkup"/>
    <x v="24"/>
    <n v="6317"/>
    <n v="16.23"/>
    <n v="73"/>
    <x v="0"/>
    <n v="18871"/>
    <x v="0"/>
    <x v="0"/>
  </r>
  <r>
    <s v="P-0544"/>
    <s v="Dr. Villa"/>
    <s v="General Surgery"/>
    <x v="1"/>
    <n v="45"/>
    <s v="Medicare"/>
    <s v="Diagnostics"/>
    <x v="20"/>
    <n v="8890"/>
    <n v="17.89"/>
    <n v="89"/>
    <x v="1"/>
    <n v="38421"/>
    <x v="0"/>
    <x v="0"/>
  </r>
  <r>
    <s v="P-0545"/>
    <s v="Dr. Mcguire"/>
    <s v="Orthopedics"/>
    <x v="2"/>
    <n v="65"/>
    <s v="Private"/>
    <s v="Diagnostics"/>
    <x v="24"/>
    <n v="9891"/>
    <n v="21.23"/>
    <n v="71"/>
    <x v="0"/>
    <n v="47684"/>
    <x v="0"/>
    <x v="0"/>
  </r>
  <r>
    <s v="P-0546"/>
    <s v="Dr. Reyes"/>
    <s v="Radiology"/>
    <x v="0"/>
    <n v="13"/>
    <s v="Medicare"/>
    <s v="Diagnostics"/>
    <x v="15"/>
    <n v="3199"/>
    <n v="3.47"/>
    <n v="79"/>
    <x v="0"/>
    <n v="15261"/>
    <x v="1"/>
    <x v="1"/>
  </r>
  <r>
    <s v="P-0547"/>
    <s v="Dr. Mccarty"/>
    <s v="Cardiology"/>
    <x v="1"/>
    <n v="21"/>
    <s v="Medicaid"/>
    <s v="Routine Checkup"/>
    <x v="18"/>
    <n v="8201"/>
    <n v="12.69"/>
    <n v="38"/>
    <x v="0"/>
    <n v="37611"/>
    <x v="0"/>
    <x v="0"/>
  </r>
  <r>
    <s v="P-0548"/>
    <s v="Dr. Snyder"/>
    <s v="Emergency"/>
    <x v="0"/>
    <n v="44"/>
    <s v="Private"/>
    <s v="Surgery"/>
    <x v="25"/>
    <n v="3340"/>
    <n v="20.48"/>
    <n v="110"/>
    <x v="1"/>
    <n v="8352"/>
    <x v="0"/>
    <x v="0"/>
  </r>
  <r>
    <s v="P-0549"/>
    <s v="Dr. Bradshaw"/>
    <s v="Orthopedics"/>
    <x v="0"/>
    <n v="30"/>
    <s v="Medicare"/>
    <s v="Specialist Consultation"/>
    <x v="0"/>
    <n v="6386"/>
    <n v="12.67"/>
    <n v="85"/>
    <x v="0"/>
    <n v="27417"/>
    <x v="0"/>
    <x v="0"/>
  </r>
  <r>
    <s v="P-0550"/>
    <s v="Dr. Webb"/>
    <s v="General Surgery"/>
    <x v="0"/>
    <n v="20"/>
    <s v="Private"/>
    <s v="Diagnostics"/>
    <x v="7"/>
    <n v="11620"/>
    <n v="20.23"/>
    <n v="65"/>
    <x v="0"/>
    <n v="61683"/>
    <x v="2"/>
    <x v="0"/>
  </r>
  <r>
    <s v="P-0551"/>
    <s v="Dr. Lara"/>
    <s v="Neurology"/>
    <x v="0"/>
    <n v="31"/>
    <s v="Private"/>
    <s v="Surgery"/>
    <x v="23"/>
    <n v="6634"/>
    <n v="23.17"/>
    <n v="50"/>
    <x v="0"/>
    <n v="27805"/>
    <x v="2"/>
    <x v="0"/>
  </r>
  <r>
    <s v="P-0552"/>
    <s v="Dr. Smith"/>
    <s v="General Surgery"/>
    <x v="1"/>
    <n v="49"/>
    <s v="Medicaid"/>
    <s v="Specialist Consultation"/>
    <x v="0"/>
    <n v="9519"/>
    <n v="14.75"/>
    <n v="62"/>
    <x v="1"/>
    <n v="51079"/>
    <x v="0"/>
    <x v="0"/>
  </r>
  <r>
    <s v="P-0553"/>
    <s v="Dr. Byrd"/>
    <s v="Radiology"/>
    <x v="1"/>
    <n v="65"/>
    <s v="Medicare"/>
    <s v="Specialist Consultation"/>
    <x v="14"/>
    <n v="2108"/>
    <n v="1.96"/>
    <n v="35"/>
    <x v="0"/>
    <n v="8349"/>
    <x v="2"/>
    <x v="0"/>
  </r>
  <r>
    <s v="P-0554"/>
    <s v="Dr. Garcia"/>
    <s v="Cardiology"/>
    <x v="0"/>
    <n v="63"/>
    <s v="Medicaid"/>
    <s v="Specialist Consultation"/>
    <x v="1"/>
    <n v="6977"/>
    <n v="19.66"/>
    <n v="78"/>
    <x v="1"/>
    <n v="40724"/>
    <x v="0"/>
    <x v="0"/>
  </r>
  <r>
    <s v="P-0385"/>
    <s v="Dr. Owens"/>
    <s v="Pediatrics"/>
    <x v="1"/>
    <n v="12"/>
    <s v="Private"/>
    <s v="Emergency Care"/>
    <x v="22"/>
    <n v="2346"/>
    <n v="4.8600000000000003"/>
    <n v="46"/>
    <x v="0"/>
    <n v="13319"/>
    <x v="1"/>
    <x v="1"/>
  </r>
  <r>
    <s v="P-0556"/>
    <s v="Dr. Reyes"/>
    <s v="Radiology"/>
    <x v="2"/>
    <n v="27"/>
    <s v="Medicare"/>
    <s v="Emergency Care"/>
    <x v="2"/>
    <n v="2742"/>
    <n v="3.13"/>
    <n v="51"/>
    <x v="0"/>
    <n v="16024"/>
    <x v="1"/>
    <x v="0"/>
  </r>
  <r>
    <s v="P-0557"/>
    <s v="Dr. Lawrence"/>
    <s v="Emergency"/>
    <x v="1"/>
    <n v="56"/>
    <s v="Medicaid"/>
    <s v="Specialist Consultation"/>
    <x v="18"/>
    <n v="3680"/>
    <n v="17.04"/>
    <n v="101"/>
    <x v="0"/>
    <n v="19110"/>
    <x v="0"/>
    <x v="0"/>
  </r>
  <r>
    <s v="P-0558"/>
    <s v="Dr. Clark"/>
    <s v="Oncology"/>
    <x v="1"/>
    <n v="32"/>
    <s v="Medicare"/>
    <s v="Specialist Consultation"/>
    <x v="6"/>
    <n v="6636"/>
    <n v="8.15"/>
    <n v="62"/>
    <x v="0"/>
    <n v="20303"/>
    <x v="1"/>
    <x v="0"/>
  </r>
  <r>
    <s v="P-0559"/>
    <s v="Dr. Wright"/>
    <s v="Neurology"/>
    <x v="2"/>
    <n v="27"/>
    <s v="Medicare"/>
    <s v="Emergency Care"/>
    <x v="17"/>
    <n v="6545"/>
    <n v="7.13"/>
    <n v="100"/>
    <x v="0"/>
    <n v="31150"/>
    <x v="2"/>
    <x v="0"/>
  </r>
  <r>
    <s v="P-0560"/>
    <s v="Dr. Mcguire"/>
    <s v="Orthopedics"/>
    <x v="0"/>
    <n v="48"/>
    <s v="Private"/>
    <s v="Emergency Care"/>
    <x v="17"/>
    <n v="5735"/>
    <n v="9.0299999999999994"/>
    <n v="51"/>
    <x v="0"/>
    <n v="19837"/>
    <x v="2"/>
    <x v="0"/>
  </r>
  <r>
    <s v="P-0561"/>
    <s v="Dr. Wright"/>
    <s v="Neurology"/>
    <x v="1"/>
    <n v="37"/>
    <s v="Medicare"/>
    <s v="Routine Checkup"/>
    <x v="9"/>
    <n v="5983"/>
    <n v="10.26"/>
    <n v="87"/>
    <x v="0"/>
    <n v="35505"/>
    <x v="2"/>
    <x v="0"/>
  </r>
  <r>
    <s v="P-0562"/>
    <s v="Dr. Villa"/>
    <s v="General Surgery"/>
    <x v="1"/>
    <n v="71"/>
    <s v="Medicare"/>
    <s v="Specialist Consultation"/>
    <x v="9"/>
    <n v="11154"/>
    <n v="11.1"/>
    <n v="83"/>
    <x v="0"/>
    <n v="64506"/>
    <x v="2"/>
    <x v="0"/>
  </r>
  <r>
    <s v="P-0563"/>
    <s v="Dr. Villa"/>
    <s v="General Surgery"/>
    <x v="1"/>
    <n v="68"/>
    <s v="Private"/>
    <s v="Specialist Consultation"/>
    <x v="12"/>
    <n v="8635"/>
    <n v="14.89"/>
    <n v="104"/>
    <x v="1"/>
    <n v="32345"/>
    <x v="2"/>
    <x v="0"/>
  </r>
  <r>
    <s v="P-0564"/>
    <s v="Dr. Garcia"/>
    <s v="Cardiology"/>
    <x v="0"/>
    <n v="50"/>
    <s v="Medicaid"/>
    <s v="Emergency Care"/>
    <x v="24"/>
    <n v="6379"/>
    <n v="20.73"/>
    <n v="63"/>
    <x v="0"/>
    <n v="21249"/>
    <x v="0"/>
    <x v="0"/>
  </r>
  <r>
    <s v="P-0565"/>
    <s v="Dr. Adams"/>
    <s v="Neurology"/>
    <x v="0"/>
    <n v="64"/>
    <s v="Medicaid"/>
    <s v="Routine Checkup"/>
    <x v="4"/>
    <n v="8591"/>
    <n v="18.309999999999999"/>
    <n v="62"/>
    <x v="0"/>
    <n v="27614"/>
    <x v="1"/>
    <x v="0"/>
  </r>
  <r>
    <s v="P-0566"/>
    <s v="Dr. Owens"/>
    <s v="Pediatrics"/>
    <x v="1"/>
    <n v="12"/>
    <s v="Medicare"/>
    <s v="Routine Checkup"/>
    <x v="9"/>
    <n v="2803"/>
    <n v="11.2"/>
    <n v="57"/>
    <x v="0"/>
    <n v="7554"/>
    <x v="2"/>
    <x v="1"/>
  </r>
  <r>
    <s v="P-0567"/>
    <s v="Dr. Ward"/>
    <s v="Radiology"/>
    <x v="1"/>
    <n v="17"/>
    <s v="Medicaid"/>
    <s v="Surgery"/>
    <x v="4"/>
    <n v="2138"/>
    <n v="4.22"/>
    <n v="56"/>
    <x v="0"/>
    <n v="6016"/>
    <x v="1"/>
    <x v="1"/>
  </r>
  <r>
    <s v="P-0568"/>
    <s v="Dr. Reyes"/>
    <s v="Radiology"/>
    <x v="0"/>
    <n v="23"/>
    <s v="Private"/>
    <s v="Surgery"/>
    <x v="33"/>
    <n v="2736"/>
    <n v="4.1500000000000004"/>
    <n v="44"/>
    <x v="0"/>
    <n v="12074"/>
    <x v="1"/>
    <x v="0"/>
  </r>
  <r>
    <s v="P-0569"/>
    <s v="Dr. Holmes"/>
    <s v="Radiology"/>
    <x v="1"/>
    <n v="47"/>
    <s v="Private"/>
    <s v="Routine Checkup"/>
    <x v="23"/>
    <n v="1804"/>
    <n v="5.63"/>
    <n v="64"/>
    <x v="1"/>
    <n v="9307"/>
    <x v="2"/>
    <x v="0"/>
  </r>
  <r>
    <s v="P-0570"/>
    <s v="Dr. Bradshaw"/>
    <s v="Orthopedics"/>
    <x v="0"/>
    <n v="52"/>
    <s v="Medicaid"/>
    <s v="Routine Checkup"/>
    <x v="7"/>
    <n v="6741"/>
    <n v="18.04"/>
    <n v="72"/>
    <x v="1"/>
    <n v="22207"/>
    <x v="2"/>
    <x v="0"/>
  </r>
  <r>
    <s v="P-0594"/>
    <s v="Dr. Owens"/>
    <s v="Pediatrics"/>
    <x v="1"/>
    <n v="12"/>
    <s v="Medicaid"/>
    <s v="Routine Checkup"/>
    <x v="33"/>
    <n v="2421"/>
    <n v="3.38"/>
    <n v="57"/>
    <x v="2"/>
    <n v="11224"/>
    <x v="1"/>
    <x v="1"/>
  </r>
  <r>
    <s v="P-0572"/>
    <s v="Dr. Smith"/>
    <s v="General Surgery"/>
    <x v="2"/>
    <n v="58"/>
    <s v="Medicare"/>
    <s v="Therapy"/>
    <x v="1"/>
    <n v="11724"/>
    <n v="18.59"/>
    <n v="89"/>
    <x v="0"/>
    <n v="47106"/>
    <x v="0"/>
    <x v="0"/>
  </r>
  <r>
    <s v="P-0573"/>
    <s v="Dr. Byrd"/>
    <s v="Radiology"/>
    <x v="1"/>
    <n v="37"/>
    <s v="Private"/>
    <s v="Diagnostics"/>
    <x v="22"/>
    <n v="3196"/>
    <n v="7.84"/>
    <n v="65"/>
    <x v="0"/>
    <n v="12409"/>
    <x v="1"/>
    <x v="0"/>
  </r>
  <r>
    <s v="P-0595"/>
    <s v="Dr. Reyes"/>
    <s v="Pediatrics"/>
    <x v="1"/>
    <n v="12"/>
    <s v="Medicare"/>
    <s v="Therapy"/>
    <x v="5"/>
    <n v="3559"/>
    <n v="6.34"/>
    <n v="65"/>
    <x v="2"/>
    <n v="10137"/>
    <x v="1"/>
    <x v="1"/>
  </r>
  <r>
    <s v="P-0575"/>
    <s v="Dr. Vaughn"/>
    <s v="Orthopedics"/>
    <x v="0"/>
    <n v="56"/>
    <s v="Medicaid"/>
    <s v="Routine Checkup"/>
    <x v="15"/>
    <n v="4301"/>
    <n v="12.87"/>
    <n v="60"/>
    <x v="0"/>
    <n v="18017"/>
    <x v="1"/>
    <x v="0"/>
  </r>
  <r>
    <s v="P-0149"/>
    <s v="Dr. Reyes"/>
    <s v="Pediatrics"/>
    <x v="0"/>
    <n v="11"/>
    <s v="Medicare"/>
    <s v="Diagnostics"/>
    <x v="22"/>
    <n v="3022"/>
    <n v="8.48"/>
    <n v="68"/>
    <x v="0"/>
    <n v="8318"/>
    <x v="1"/>
    <x v="1"/>
  </r>
  <r>
    <s v="P-0296"/>
    <s v="Dr. King"/>
    <s v="Pediatrics"/>
    <x v="1"/>
    <n v="11"/>
    <s v="Medicare"/>
    <s v="Surgery"/>
    <x v="18"/>
    <n v="3141"/>
    <n v="13.48"/>
    <n v="71"/>
    <x v="0"/>
    <n v="16376"/>
    <x v="0"/>
    <x v="1"/>
  </r>
  <r>
    <s v="P-0578"/>
    <s v="Dr. Davis"/>
    <s v="Neurology"/>
    <x v="1"/>
    <n v="75"/>
    <s v="Private"/>
    <s v="Surgery"/>
    <x v="26"/>
    <n v="4081"/>
    <n v="18.46"/>
    <n v="103"/>
    <x v="0"/>
    <n v="23020"/>
    <x v="0"/>
    <x v="0"/>
  </r>
  <r>
    <s v="P-0579"/>
    <s v="Dr. Davis"/>
    <s v="Neurology"/>
    <x v="1"/>
    <n v="38"/>
    <s v="Medicare"/>
    <s v="Routine Checkup"/>
    <x v="0"/>
    <n v="6992"/>
    <n v="19.920000000000002"/>
    <n v="74"/>
    <x v="1"/>
    <n v="38392"/>
    <x v="0"/>
    <x v="0"/>
  </r>
  <r>
    <s v="P-0580"/>
    <s v="Dr. Wright"/>
    <s v="Neurology"/>
    <x v="0"/>
    <n v="62"/>
    <s v="Medicaid"/>
    <s v="Emergency Care"/>
    <x v="7"/>
    <n v="6626"/>
    <n v="14.42"/>
    <n v="82"/>
    <x v="0"/>
    <n v="26545"/>
    <x v="2"/>
    <x v="0"/>
  </r>
  <r>
    <s v="P-0493"/>
    <s v="Dr. Owens"/>
    <s v="Pediatrics"/>
    <x v="0"/>
    <n v="11"/>
    <s v="Medicare"/>
    <s v="Emergency Care"/>
    <x v="33"/>
    <n v="2832"/>
    <n v="4.1399999999999997"/>
    <n v="39"/>
    <x v="0"/>
    <n v="9149"/>
    <x v="1"/>
    <x v="1"/>
  </r>
  <r>
    <s v="P-0582"/>
    <s v="Dr. Horton"/>
    <s v="General Surgery"/>
    <x v="0"/>
    <n v="57"/>
    <s v="Medicare"/>
    <s v="Specialist Consultation"/>
    <x v="14"/>
    <n v="9738"/>
    <n v="20.52"/>
    <n v="57"/>
    <x v="0"/>
    <n v="48859"/>
    <x v="2"/>
    <x v="0"/>
  </r>
  <r>
    <s v="P-0583"/>
    <s v="Dr. Horton"/>
    <s v="General Surgery"/>
    <x v="1"/>
    <n v="45"/>
    <s v="Medicaid"/>
    <s v="Emergency Care"/>
    <x v="18"/>
    <n v="7905"/>
    <n v="18.45"/>
    <n v="110"/>
    <x v="1"/>
    <n v="35378"/>
    <x v="0"/>
    <x v="0"/>
  </r>
  <r>
    <s v="P-0584"/>
    <s v="Dr. Hamilton"/>
    <s v="Oncology"/>
    <x v="1"/>
    <n v="21"/>
    <s v="Private"/>
    <s v="Therapy"/>
    <x v="14"/>
    <n v="10332"/>
    <n v="8.02"/>
    <n v="86"/>
    <x v="0"/>
    <n v="47227"/>
    <x v="2"/>
    <x v="0"/>
  </r>
  <r>
    <s v="P-0585"/>
    <s v="Dr. Cherry"/>
    <s v="Orthopedics"/>
    <x v="0"/>
    <n v="56"/>
    <s v="Medicaid"/>
    <s v="Specialist Consultation"/>
    <x v="36"/>
    <n v="7635"/>
    <n v="18.559999999999999"/>
    <n v="54"/>
    <x v="0"/>
    <n v="28024"/>
    <x v="1"/>
    <x v="0"/>
  </r>
  <r>
    <s v="P-0586"/>
    <s v="Dr. Smith"/>
    <s v="General Surgery"/>
    <x v="0"/>
    <n v="16"/>
    <s v="Medicaid"/>
    <s v="Emergency Care"/>
    <x v="0"/>
    <n v="8060"/>
    <n v="19.03"/>
    <n v="96"/>
    <x v="1"/>
    <n v="38720"/>
    <x v="0"/>
    <x v="1"/>
  </r>
  <r>
    <s v="P-0587"/>
    <s v="Dr. Vaughn"/>
    <s v="Orthopedics"/>
    <x v="0"/>
    <n v="11"/>
    <s v="Medicare"/>
    <s v="Therapy"/>
    <x v="13"/>
    <n v="3629"/>
    <n v="15"/>
    <n v="65"/>
    <x v="1"/>
    <n v="18435"/>
    <x v="0"/>
    <x v="1"/>
  </r>
  <r>
    <s v="P-0588"/>
    <s v="Dr. Snyder"/>
    <s v="Emergency"/>
    <x v="0"/>
    <n v="44"/>
    <s v="Medicare"/>
    <s v="Emergency Care"/>
    <x v="18"/>
    <n v="3917"/>
    <n v="17.07"/>
    <n v="99"/>
    <x v="0"/>
    <n v="19946"/>
    <x v="0"/>
    <x v="0"/>
  </r>
  <r>
    <s v="P-0589"/>
    <s v="Dr. Hamilton"/>
    <s v="Oncology"/>
    <x v="0"/>
    <n v="27"/>
    <s v="Private"/>
    <s v="Surgery"/>
    <x v="26"/>
    <n v="8028"/>
    <n v="15.89"/>
    <n v="79"/>
    <x v="0"/>
    <n v="33655"/>
    <x v="0"/>
    <x v="0"/>
  </r>
  <r>
    <s v="P-0590"/>
    <s v="Dr. Brooks"/>
    <s v="Orthopedics"/>
    <x v="0"/>
    <n v="29"/>
    <s v="Private"/>
    <s v="Surgery"/>
    <x v="27"/>
    <n v="5141"/>
    <n v="9.56"/>
    <n v="72"/>
    <x v="0"/>
    <n v="13967"/>
    <x v="1"/>
    <x v="0"/>
  </r>
  <r>
    <s v="P-0591"/>
    <s v="Dr. Lopez"/>
    <s v="Cardiology"/>
    <x v="1"/>
    <n v="25"/>
    <s v="Medicaid"/>
    <s v="Therapy"/>
    <x v="24"/>
    <n v="6889"/>
    <n v="13.68"/>
    <n v="88"/>
    <x v="0"/>
    <n v="27390"/>
    <x v="0"/>
    <x v="0"/>
  </r>
  <r>
    <s v="P-0877"/>
    <s v="Dr. Owens"/>
    <s v="Pediatrics"/>
    <x v="0"/>
    <n v="11"/>
    <s v="Medicaid"/>
    <s v="Routine Checkup"/>
    <x v="4"/>
    <n v="3081"/>
    <n v="8.1"/>
    <n v="30"/>
    <x v="2"/>
    <n v="16648"/>
    <x v="1"/>
    <x v="1"/>
  </r>
  <r>
    <s v="P-0593"/>
    <s v="Dr. Adams"/>
    <s v="Neurology"/>
    <x v="0"/>
    <n v="29"/>
    <s v="Private"/>
    <s v="Therapy"/>
    <x v="12"/>
    <n v="8578"/>
    <n v="18.21"/>
    <n v="84"/>
    <x v="1"/>
    <n v="35124"/>
    <x v="2"/>
    <x v="0"/>
  </r>
  <r>
    <s v="P-0007"/>
    <s v="Dr. Holloway"/>
    <s v="Pediatrics"/>
    <x v="1"/>
    <n v="10"/>
    <s v="Private"/>
    <s v="Diagnostics"/>
    <x v="7"/>
    <n v="2930"/>
    <n v="6.8"/>
    <n v="63"/>
    <x v="0"/>
    <n v="15823"/>
    <x v="2"/>
    <x v="1"/>
  </r>
  <r>
    <s v="P-0154"/>
    <s v="Dr. King"/>
    <s v="Pediatrics"/>
    <x v="1"/>
    <n v="10"/>
    <s v="Medicaid"/>
    <s v="Therapy"/>
    <x v="4"/>
    <n v="2009"/>
    <n v="7.8"/>
    <n v="54"/>
    <x v="2"/>
    <n v="8642"/>
    <x v="1"/>
    <x v="1"/>
  </r>
  <r>
    <s v="P-0596"/>
    <s v="Dr. Lopez"/>
    <s v="Cardiology"/>
    <x v="2"/>
    <n v="72"/>
    <s v="Medicare"/>
    <s v="Emergency Care"/>
    <x v="17"/>
    <n v="7329"/>
    <n v="13.84"/>
    <n v="52"/>
    <x v="0"/>
    <n v="21557"/>
    <x v="2"/>
    <x v="0"/>
  </r>
  <r>
    <s v="P-0597"/>
    <s v="Dr. Cherry"/>
    <s v="Orthopedics"/>
    <x v="0"/>
    <n v="74"/>
    <s v="Private"/>
    <s v="Routine Checkup"/>
    <x v="2"/>
    <n v="7154"/>
    <n v="11.05"/>
    <n v="83"/>
    <x v="0"/>
    <n v="33496"/>
    <x v="1"/>
    <x v="0"/>
  </r>
  <r>
    <s v="P-0598"/>
    <s v="Dr. Wright"/>
    <s v="Neurology"/>
    <x v="0"/>
    <n v="37"/>
    <s v="Medicaid"/>
    <s v="Surgery"/>
    <x v="3"/>
    <n v="7492"/>
    <n v="19.510000000000002"/>
    <n v="74"/>
    <x v="1"/>
    <n v="38565"/>
    <x v="0"/>
    <x v="0"/>
  </r>
  <r>
    <s v="P-0599"/>
    <s v="Dr. Webb"/>
    <s v="General Surgery"/>
    <x v="0"/>
    <n v="14"/>
    <s v="Medicare"/>
    <s v="Specialist Consultation"/>
    <x v="0"/>
    <n v="8197"/>
    <n v="17.45"/>
    <n v="92"/>
    <x v="1"/>
    <n v="24737"/>
    <x v="0"/>
    <x v="1"/>
  </r>
  <r>
    <s v="P-0600"/>
    <s v="Dr. Holmes"/>
    <s v="Radiology"/>
    <x v="1"/>
    <n v="39"/>
    <s v="Medicaid"/>
    <s v="Emergency Care"/>
    <x v="2"/>
    <n v="2296"/>
    <n v="10.89"/>
    <n v="37"/>
    <x v="0"/>
    <n v="6016"/>
    <x v="1"/>
    <x v="0"/>
  </r>
  <r>
    <s v="P-0601"/>
    <s v="Dr. Byrd"/>
    <s v="Radiology"/>
    <x v="0"/>
    <n v="71"/>
    <s v="Medicaid"/>
    <s v="Diagnostics"/>
    <x v="34"/>
    <n v="2929"/>
    <n v="5.32"/>
    <n v="40"/>
    <x v="0"/>
    <n v="8693"/>
    <x v="1"/>
    <x v="0"/>
  </r>
  <r>
    <s v="P-0602"/>
    <s v="Dr. Horton"/>
    <s v="General Surgery"/>
    <x v="1"/>
    <n v="48"/>
    <s v="Private"/>
    <s v="Specialist Consultation"/>
    <x v="13"/>
    <n v="10005"/>
    <n v="16.3"/>
    <n v="103"/>
    <x v="1"/>
    <n v="49553"/>
    <x v="0"/>
    <x v="0"/>
  </r>
  <r>
    <s v="P-0603"/>
    <s v="Dr. Kidd"/>
    <s v="Cardiology"/>
    <x v="0"/>
    <n v="56"/>
    <s v="Medicaid"/>
    <s v="Diagnostics"/>
    <x v="26"/>
    <n v="6814"/>
    <n v="16.29"/>
    <n v="73"/>
    <x v="1"/>
    <n v="24296"/>
    <x v="0"/>
    <x v="0"/>
  </r>
  <r>
    <s v="P-0604"/>
    <s v="Dr. Mccarty"/>
    <s v="Cardiology"/>
    <x v="1"/>
    <n v="69"/>
    <s v="Medicare"/>
    <s v="Routine Checkup"/>
    <x v="24"/>
    <n v="8476"/>
    <n v="15.25"/>
    <n v="75"/>
    <x v="1"/>
    <n v="43623"/>
    <x v="0"/>
    <x v="0"/>
  </r>
  <r>
    <s v="P-0605"/>
    <s v="Dr. Villa"/>
    <s v="General Surgery"/>
    <x v="1"/>
    <n v="76"/>
    <s v="Medicare"/>
    <s v="Diagnostics"/>
    <x v="10"/>
    <n v="11933"/>
    <n v="15.51"/>
    <n v="64"/>
    <x v="1"/>
    <n v="36849"/>
    <x v="2"/>
    <x v="0"/>
  </r>
  <r>
    <s v="P-0606"/>
    <s v="Dr. Davis"/>
    <s v="Neurology"/>
    <x v="0"/>
    <n v="21"/>
    <s v="Medicare"/>
    <s v="Specialist Consultation"/>
    <x v="21"/>
    <n v="6655"/>
    <n v="12.46"/>
    <n v="56"/>
    <x v="2"/>
    <n v="26404"/>
    <x v="1"/>
    <x v="0"/>
  </r>
  <r>
    <s v="P-0607"/>
    <s v="Dr. Lawrence"/>
    <s v="Emergency"/>
    <x v="1"/>
    <n v="30"/>
    <s v="Medicare"/>
    <s v="Emergency Care"/>
    <x v="0"/>
    <n v="3329"/>
    <n v="18.010000000000002"/>
    <n v="143"/>
    <x v="0"/>
    <n v="8769"/>
    <x v="0"/>
    <x v="0"/>
  </r>
  <r>
    <s v="P-0608"/>
    <s v="Dr. Lopez"/>
    <s v="Cardiology"/>
    <x v="1"/>
    <n v="48"/>
    <s v="Private"/>
    <s v="Surgery"/>
    <x v="2"/>
    <n v="7093"/>
    <n v="5.15"/>
    <n v="84"/>
    <x v="0"/>
    <n v="32182"/>
    <x v="1"/>
    <x v="0"/>
  </r>
  <r>
    <s v="P-0609"/>
    <s v="Dr. Anderson"/>
    <s v="Oncology"/>
    <x v="0"/>
    <n v="52"/>
    <s v="Medicare"/>
    <s v="Routine Checkup"/>
    <x v="4"/>
    <n v="5569"/>
    <n v="3.48"/>
    <n v="86"/>
    <x v="0"/>
    <n v="27511"/>
    <x v="1"/>
    <x v="0"/>
  </r>
  <r>
    <s v="P-0610"/>
    <s v="Dr. Bradshaw"/>
    <s v="Orthopedics"/>
    <x v="0"/>
    <n v="29"/>
    <s v="Medicare"/>
    <s v="Emergency Care"/>
    <x v="7"/>
    <n v="3361"/>
    <n v="17.28"/>
    <n v="74"/>
    <x v="0"/>
    <n v="18124"/>
    <x v="2"/>
    <x v="0"/>
  </r>
  <r>
    <s v="P-0158"/>
    <s v="Dr. King"/>
    <s v="Pediatrics"/>
    <x v="2"/>
    <n v="10"/>
    <s v="Medicare"/>
    <s v="Surgery"/>
    <x v="10"/>
    <n v="2818"/>
    <n v="9.52"/>
    <n v="85"/>
    <x v="0"/>
    <n v="7608"/>
    <x v="2"/>
    <x v="1"/>
  </r>
  <r>
    <s v="P-0612"/>
    <s v="Dr. Clark"/>
    <s v="Oncology"/>
    <x v="0"/>
    <n v="25"/>
    <s v="Medicaid"/>
    <s v="Emergency Care"/>
    <x v="12"/>
    <n v="7371"/>
    <n v="11.12"/>
    <n v="67"/>
    <x v="2"/>
    <n v="24296"/>
    <x v="2"/>
    <x v="0"/>
  </r>
  <r>
    <s v="P-0613"/>
    <s v="Dr. Monroe"/>
    <s v="Emergency"/>
    <x v="1"/>
    <n v="35"/>
    <s v="Private"/>
    <s v="Therapy"/>
    <x v="18"/>
    <n v="3377"/>
    <n v="19.97"/>
    <n v="90"/>
    <x v="0"/>
    <n v="10560"/>
    <x v="0"/>
    <x v="0"/>
  </r>
  <r>
    <s v="P-0614"/>
    <s v="Dr. Tran"/>
    <s v="Oncology"/>
    <x v="0"/>
    <n v="43"/>
    <s v="Private"/>
    <s v="Emergency Care"/>
    <x v="0"/>
    <n v="6444"/>
    <n v="17.93"/>
    <n v="99"/>
    <x v="1"/>
    <n v="29775"/>
    <x v="0"/>
    <x v="0"/>
  </r>
  <r>
    <s v="P-0195"/>
    <s v="Dr. Owens"/>
    <s v="Pediatrics"/>
    <x v="0"/>
    <n v="10"/>
    <s v="Medicare"/>
    <s v="Surgery"/>
    <x v="15"/>
    <n v="3262"/>
    <n v="12.76"/>
    <n v="60"/>
    <x v="0"/>
    <n v="14172"/>
    <x v="1"/>
    <x v="1"/>
  </r>
  <r>
    <s v="P-0616"/>
    <s v="Dr. Lara"/>
    <s v="Neurology"/>
    <x v="1"/>
    <n v="62"/>
    <s v="Medicare"/>
    <s v="Emergency Care"/>
    <x v="23"/>
    <n v="6101"/>
    <n v="17.940000000000001"/>
    <n v="84"/>
    <x v="0"/>
    <n v="35795"/>
    <x v="2"/>
    <x v="0"/>
  </r>
  <r>
    <s v="P-0617"/>
    <s v="Dr. Garcia"/>
    <s v="Cardiology"/>
    <x v="1"/>
    <n v="1"/>
    <s v="Medicare"/>
    <s v="Routine Checkup"/>
    <x v="1"/>
    <n v="7341"/>
    <n v="11.64"/>
    <n v="96"/>
    <x v="1"/>
    <n v="28757"/>
    <x v="0"/>
    <x v="1"/>
  </r>
  <r>
    <s v="P-0618"/>
    <s v="Dr. Ward"/>
    <s v="Radiology"/>
    <x v="0"/>
    <n v="29"/>
    <s v="Medicaid"/>
    <s v="Routine Checkup"/>
    <x v="12"/>
    <n v="2397"/>
    <n v="0.31"/>
    <n v="47"/>
    <x v="0"/>
    <n v="8647"/>
    <x v="2"/>
    <x v="0"/>
  </r>
  <r>
    <s v="P-0619"/>
    <s v="Dr. Mccarty"/>
    <s v="Cardiology"/>
    <x v="0"/>
    <n v="39"/>
    <s v="Medicaid"/>
    <s v="Specialist Consultation"/>
    <x v="17"/>
    <n v="8116"/>
    <n v="8.56"/>
    <n v="74"/>
    <x v="0"/>
    <n v="20693"/>
    <x v="2"/>
    <x v="0"/>
  </r>
  <r>
    <s v="P-0620"/>
    <s v="Dr. Lara"/>
    <s v="Neurology"/>
    <x v="1"/>
    <n v="38"/>
    <s v="Private"/>
    <s v="Specialist Consultation"/>
    <x v="27"/>
    <n v="7919"/>
    <n v="18.61"/>
    <n v="57"/>
    <x v="2"/>
    <n v="31040"/>
    <x v="1"/>
    <x v="0"/>
  </r>
  <r>
    <s v="P-0621"/>
    <s v="Dr. Lara"/>
    <s v="Neurology"/>
    <x v="0"/>
    <n v="44"/>
    <s v="Medicare"/>
    <s v="Routine Checkup"/>
    <x v="17"/>
    <n v="4714"/>
    <n v="17.079999999999998"/>
    <n v="113"/>
    <x v="0"/>
    <n v="20284"/>
    <x v="2"/>
    <x v="0"/>
  </r>
  <r>
    <s v="P-0622"/>
    <s v="Dr. Garcia"/>
    <s v="Cardiology"/>
    <x v="1"/>
    <n v="70"/>
    <s v="Private"/>
    <s v="Therapy"/>
    <x v="7"/>
    <n v="6445"/>
    <n v="11.48"/>
    <n v="72"/>
    <x v="1"/>
    <n v="33747"/>
    <x v="2"/>
    <x v="0"/>
  </r>
  <r>
    <s v="P-0623"/>
    <s v="Dr. Reyes"/>
    <s v="Radiology"/>
    <x v="2"/>
    <n v="74"/>
    <s v="Medicare"/>
    <s v="Routine Checkup"/>
    <x v="17"/>
    <n v="1579"/>
    <n v="8.57"/>
    <n v="43"/>
    <x v="0"/>
    <n v="5187"/>
    <x v="2"/>
    <x v="0"/>
  </r>
  <r>
    <s v="P-0624"/>
    <s v="Dr. Hamilton"/>
    <s v="Oncology"/>
    <x v="0"/>
    <n v="10"/>
    <s v="Private"/>
    <s v="Therapy"/>
    <x v="9"/>
    <n v="3352"/>
    <n v="16.37"/>
    <n v="80"/>
    <x v="0"/>
    <n v="18509"/>
    <x v="2"/>
    <x v="1"/>
  </r>
  <r>
    <s v="P-0625"/>
    <s v="Dr. Bradshaw"/>
    <s v="Orthopedics"/>
    <x v="0"/>
    <n v="49"/>
    <s v="Medicaid"/>
    <s v="Diagnostics"/>
    <x v="7"/>
    <n v="6280"/>
    <n v="16.14"/>
    <n v="53"/>
    <x v="0"/>
    <n v="17732"/>
    <x v="2"/>
    <x v="0"/>
  </r>
  <r>
    <s v="P-0626"/>
    <s v="Dr. Tran"/>
    <s v="Oncology"/>
    <x v="0"/>
    <n v="1"/>
    <s v="Private"/>
    <s v="Specialist Consultation"/>
    <x v="7"/>
    <n v="7390"/>
    <n v="16.190000000000001"/>
    <n v="61"/>
    <x v="1"/>
    <n v="41638"/>
    <x v="2"/>
    <x v="1"/>
  </r>
  <r>
    <s v="P-0627"/>
    <s v="Dr. Reyes"/>
    <s v="Radiology"/>
    <x v="0"/>
    <n v="43"/>
    <s v="Private"/>
    <s v="Surgery"/>
    <x v="2"/>
    <n v="2645"/>
    <n v="0"/>
    <n v="54"/>
    <x v="2"/>
    <n v="13430"/>
    <x v="1"/>
    <x v="0"/>
  </r>
  <r>
    <s v="P-0628"/>
    <s v="Dr. Reyes"/>
    <s v="Radiology"/>
    <x v="1"/>
    <n v="13"/>
    <s v="Medicaid"/>
    <s v="Therapy"/>
    <x v="5"/>
    <n v="2451"/>
    <n v="0"/>
    <n v="20"/>
    <x v="0"/>
    <n v="8782"/>
    <x v="1"/>
    <x v="1"/>
  </r>
  <r>
    <s v="P-0629"/>
    <s v="Dr. Mccarty"/>
    <s v="Cardiology"/>
    <x v="0"/>
    <n v="43"/>
    <s v="Private"/>
    <s v="Diagnostics"/>
    <x v="4"/>
    <n v="9930"/>
    <n v="9.9499999999999993"/>
    <n v="92"/>
    <x v="2"/>
    <n v="45932"/>
    <x v="1"/>
    <x v="0"/>
  </r>
  <r>
    <s v="P-0362"/>
    <s v="Dr. Reyes"/>
    <s v="Pediatrics"/>
    <x v="1"/>
    <n v="10"/>
    <s v="Medicaid"/>
    <s v="Emergency Care"/>
    <x v="34"/>
    <n v="3151"/>
    <n v="6.5"/>
    <n v="59"/>
    <x v="0"/>
    <n v="10747"/>
    <x v="1"/>
    <x v="1"/>
  </r>
  <r>
    <s v="P-0406"/>
    <s v="Dr. Owens"/>
    <s v="Pediatrics"/>
    <x v="0"/>
    <n v="10"/>
    <s v="Private"/>
    <s v="Routine Checkup"/>
    <x v="10"/>
    <n v="2632"/>
    <n v="12.21"/>
    <n v="50"/>
    <x v="0"/>
    <n v="7774"/>
    <x v="2"/>
    <x v="1"/>
  </r>
  <r>
    <s v="P-0632"/>
    <s v="Dr. Rose"/>
    <s v="Emergency"/>
    <x v="1"/>
    <n v="30"/>
    <s v="Medicare"/>
    <s v="Routine Checkup"/>
    <x v="0"/>
    <n v="4654"/>
    <n v="15.13"/>
    <n v="96"/>
    <x v="1"/>
    <n v="18002"/>
    <x v="0"/>
    <x v="0"/>
  </r>
  <r>
    <s v="P-0633"/>
    <s v="Dr. Lawrence"/>
    <s v="Emergency"/>
    <x v="0"/>
    <n v="32"/>
    <s v="Medicare"/>
    <s v="Therapy"/>
    <x v="1"/>
    <n v="3362"/>
    <n v="16.14"/>
    <n v="124"/>
    <x v="1"/>
    <n v="17556"/>
    <x v="0"/>
    <x v="0"/>
  </r>
  <r>
    <s v="P-0634"/>
    <s v="Dr. Vaughn"/>
    <s v="Orthopedics"/>
    <x v="0"/>
    <n v="47"/>
    <s v="Medicare"/>
    <s v="Specialist Consultation"/>
    <x v="23"/>
    <n v="7673"/>
    <n v="7.82"/>
    <n v="77"/>
    <x v="0"/>
    <n v="38023"/>
    <x v="2"/>
    <x v="0"/>
  </r>
  <r>
    <s v="P-0635"/>
    <s v="Dr. Reyes"/>
    <s v="Radiology"/>
    <x v="0"/>
    <n v="44"/>
    <s v="Medicaid"/>
    <s v="Therapy"/>
    <x v="15"/>
    <n v="3110"/>
    <n v="0.69"/>
    <n v="42"/>
    <x v="2"/>
    <n v="16609"/>
    <x v="1"/>
    <x v="0"/>
  </r>
  <r>
    <s v="P-0636"/>
    <s v="Dr. Wright"/>
    <s v="Neurology"/>
    <x v="1"/>
    <n v="35"/>
    <s v="Private"/>
    <s v="Therapy"/>
    <x v="4"/>
    <n v="7711"/>
    <n v="19.39"/>
    <n v="54"/>
    <x v="2"/>
    <n v="43974"/>
    <x v="1"/>
    <x v="0"/>
  </r>
  <r>
    <s v="P-0637"/>
    <s v="Dr. Anderson"/>
    <s v="Oncology"/>
    <x v="0"/>
    <n v="54"/>
    <s v="Medicare"/>
    <s v="Therapy"/>
    <x v="20"/>
    <n v="5342"/>
    <n v="16.010000000000002"/>
    <n v="67"/>
    <x v="1"/>
    <n v="24186"/>
    <x v="0"/>
    <x v="0"/>
  </r>
  <r>
    <s v="P-0638"/>
    <s v="Dr. Wang"/>
    <s v="Cardiology"/>
    <x v="0"/>
    <n v="48"/>
    <s v="Medicaid"/>
    <s v="Routine Checkup"/>
    <x v="38"/>
    <n v="7453"/>
    <n v="25.11"/>
    <n v="104"/>
    <x v="1"/>
    <n v="23373"/>
    <x v="0"/>
    <x v="0"/>
  </r>
  <r>
    <s v="P-0639"/>
    <s v="Dr. Monroe"/>
    <s v="Emergency"/>
    <x v="1"/>
    <n v="4"/>
    <s v="Medicare"/>
    <s v="Emergency Care"/>
    <x v="10"/>
    <n v="3325"/>
    <n v="11.31"/>
    <n v="110"/>
    <x v="0"/>
    <n v="9548"/>
    <x v="2"/>
    <x v="1"/>
  </r>
  <r>
    <s v="P-0640"/>
    <s v="Dr. Smith"/>
    <s v="General Surgery"/>
    <x v="0"/>
    <n v="57"/>
    <s v="Medicare"/>
    <s v="Specialist Consultation"/>
    <x v="10"/>
    <n v="8261"/>
    <n v="18.14"/>
    <n v="106"/>
    <x v="0"/>
    <n v="37345"/>
    <x v="2"/>
    <x v="0"/>
  </r>
  <r>
    <s v="P-0641"/>
    <s v="Dr. Lawson"/>
    <s v="Neurology"/>
    <x v="1"/>
    <n v="33"/>
    <s v="Private"/>
    <s v="Specialist Consultation"/>
    <x v="20"/>
    <n v="5816"/>
    <n v="15.13"/>
    <n v="131"/>
    <x v="1"/>
    <n v="23395"/>
    <x v="0"/>
    <x v="0"/>
  </r>
  <r>
    <s v="P-0642"/>
    <s v="Dr. Monroe"/>
    <s v="Emergency"/>
    <x v="0"/>
    <n v="52"/>
    <s v="Medicare"/>
    <s v="Therapy"/>
    <x v="7"/>
    <n v="3782"/>
    <n v="14.91"/>
    <n v="73"/>
    <x v="0"/>
    <n v="10835"/>
    <x v="2"/>
    <x v="0"/>
  </r>
  <r>
    <s v="P-0643"/>
    <s v="Dr. Cherry"/>
    <s v="Orthopedics"/>
    <x v="1"/>
    <n v="1"/>
    <s v="Medicaid"/>
    <s v="Diagnostics"/>
    <x v="9"/>
    <n v="6354"/>
    <n v="8.89"/>
    <n v="115"/>
    <x v="0"/>
    <n v="29807"/>
    <x v="2"/>
    <x v="1"/>
  </r>
  <r>
    <s v="P-0644"/>
    <s v="Dr. Garcia"/>
    <s v="Cardiology"/>
    <x v="1"/>
    <n v="36"/>
    <s v="Medicare"/>
    <s v="Diagnostics"/>
    <x v="4"/>
    <n v="7806"/>
    <n v="15.4"/>
    <n v="72"/>
    <x v="0"/>
    <n v="38922"/>
    <x v="1"/>
    <x v="0"/>
  </r>
  <r>
    <s v="P-0645"/>
    <s v="Dr. Wang"/>
    <s v="Cardiology"/>
    <x v="0"/>
    <n v="51"/>
    <s v="Medicaid"/>
    <s v="Specialist Consultation"/>
    <x v="7"/>
    <n v="8175"/>
    <n v="10.57"/>
    <n v="74"/>
    <x v="1"/>
    <n v="47066"/>
    <x v="2"/>
    <x v="0"/>
  </r>
  <r>
    <s v="P-0646"/>
    <s v="Dr. Kidd"/>
    <s v="Cardiology"/>
    <x v="1"/>
    <n v="60"/>
    <s v="Medicare"/>
    <s v="Emergency Care"/>
    <x v="18"/>
    <n v="8862"/>
    <n v="21.28"/>
    <n v="95"/>
    <x v="1"/>
    <n v="52628"/>
    <x v="0"/>
    <x v="0"/>
  </r>
  <r>
    <s v="P-0647"/>
    <s v="Dr. Smith"/>
    <s v="General Surgery"/>
    <x v="1"/>
    <n v="42"/>
    <s v="Private"/>
    <s v="Diagnostics"/>
    <x v="7"/>
    <n v="8792"/>
    <n v="15.46"/>
    <n v="111"/>
    <x v="0"/>
    <n v="36114"/>
    <x v="2"/>
    <x v="0"/>
  </r>
  <r>
    <s v="P-0648"/>
    <s v="Dr. Mccarty"/>
    <s v="Cardiology"/>
    <x v="0"/>
    <n v="42"/>
    <s v="Private"/>
    <s v="Routine Checkup"/>
    <x v="3"/>
    <n v="8087"/>
    <n v="15.78"/>
    <n v="72"/>
    <x v="0"/>
    <n v="35086"/>
    <x v="0"/>
    <x v="0"/>
  </r>
  <r>
    <s v="P-0649"/>
    <s v="Dr. Lawrence"/>
    <s v="Emergency"/>
    <x v="0"/>
    <n v="37"/>
    <s v="Private"/>
    <s v="Routine Checkup"/>
    <x v="15"/>
    <n v="4458"/>
    <n v="13.66"/>
    <n v="65"/>
    <x v="2"/>
    <n v="15328"/>
    <x v="1"/>
    <x v="0"/>
  </r>
  <r>
    <s v="P-0650"/>
    <s v="Dr. Snyder"/>
    <s v="Emergency"/>
    <x v="1"/>
    <n v="29"/>
    <s v="Private"/>
    <s v="Routine Checkup"/>
    <x v="10"/>
    <n v="3274"/>
    <n v="18.440000000000001"/>
    <n v="102"/>
    <x v="0"/>
    <n v="18393"/>
    <x v="2"/>
    <x v="0"/>
  </r>
  <r>
    <s v="P-0651"/>
    <s v="Dr. Rose"/>
    <s v="Emergency"/>
    <x v="0"/>
    <n v="9"/>
    <s v="Medicaid"/>
    <s v="Specialist Consultation"/>
    <x v="7"/>
    <n v="3658"/>
    <n v="15.75"/>
    <n v="65"/>
    <x v="0"/>
    <n v="14538"/>
    <x v="2"/>
    <x v="1"/>
  </r>
  <r>
    <s v="P-0652"/>
    <s v="Dr. Ward"/>
    <s v="Radiology"/>
    <x v="1"/>
    <n v="51"/>
    <s v="Medicare"/>
    <s v="Specialist Consultation"/>
    <x v="35"/>
    <n v="2393"/>
    <n v="9.7200000000000006"/>
    <n v="13"/>
    <x v="0"/>
    <n v="6747"/>
    <x v="1"/>
    <x v="0"/>
  </r>
  <r>
    <s v="P-0653"/>
    <s v="Dr. Reyes"/>
    <s v="Pediatrics"/>
    <x v="0"/>
    <n v="10"/>
    <s v="Medicaid"/>
    <s v="Diagnostics"/>
    <x v="5"/>
    <n v="2703"/>
    <n v="6.01"/>
    <n v="89"/>
    <x v="0"/>
    <n v="6923"/>
    <x v="1"/>
    <x v="1"/>
  </r>
  <r>
    <s v="P-0654"/>
    <s v="Dr. Mccarty"/>
    <s v="Cardiology"/>
    <x v="0"/>
    <n v="46"/>
    <s v="Private"/>
    <s v="Routine Checkup"/>
    <x v="14"/>
    <n v="6246"/>
    <n v="19.97"/>
    <n v="73"/>
    <x v="1"/>
    <n v="21609"/>
    <x v="2"/>
    <x v="0"/>
  </r>
  <r>
    <s v="P-0655"/>
    <s v="Dr. Tran"/>
    <s v="Oncology"/>
    <x v="2"/>
    <n v="68"/>
    <s v="Medicare"/>
    <s v="Emergency Care"/>
    <x v="20"/>
    <n v="9348"/>
    <n v="18.649999999999999"/>
    <n v="116"/>
    <x v="1"/>
    <n v="27496"/>
    <x v="0"/>
    <x v="0"/>
  </r>
  <r>
    <s v="P-0656"/>
    <s v="Dr. Villa"/>
    <s v="General Surgery"/>
    <x v="0"/>
    <n v="52"/>
    <s v="Medicare"/>
    <s v="Diagnostics"/>
    <x v="22"/>
    <n v="6936"/>
    <n v="18.86"/>
    <n v="78"/>
    <x v="2"/>
    <n v="36310"/>
    <x v="1"/>
    <x v="0"/>
  </r>
  <r>
    <s v="P-0657"/>
    <s v="Dr. Mccarty"/>
    <s v="Cardiology"/>
    <x v="1"/>
    <n v="61"/>
    <s v="Medicare"/>
    <s v="Routine Checkup"/>
    <x v="29"/>
    <n v="6354"/>
    <n v="19.03"/>
    <n v="95"/>
    <x v="0"/>
    <n v="37189"/>
    <x v="0"/>
    <x v="0"/>
  </r>
  <r>
    <s v="P-0658"/>
    <s v="Dr. Vaughn"/>
    <s v="Orthopedics"/>
    <x v="0"/>
    <n v="46"/>
    <s v="Medicaid"/>
    <s v="Therapy"/>
    <x v="12"/>
    <n v="6624"/>
    <n v="8.73"/>
    <n v="65"/>
    <x v="0"/>
    <n v="28021"/>
    <x v="2"/>
    <x v="0"/>
  </r>
  <r>
    <s v="P-0659"/>
    <s v="Dr. Clark"/>
    <s v="Oncology"/>
    <x v="1"/>
    <n v="53"/>
    <s v="Medicare"/>
    <s v="Routine Checkup"/>
    <x v="14"/>
    <n v="9409"/>
    <n v="14.01"/>
    <n v="68"/>
    <x v="0"/>
    <n v="31191"/>
    <x v="2"/>
    <x v="0"/>
  </r>
  <r>
    <s v="P-0660"/>
    <s v="Dr. Anderson"/>
    <s v="Oncology"/>
    <x v="1"/>
    <n v="54"/>
    <s v="Medicare"/>
    <s v="Emergency Care"/>
    <x v="9"/>
    <n v="10346"/>
    <n v="16.16"/>
    <n v="62"/>
    <x v="1"/>
    <n v="40547"/>
    <x v="2"/>
    <x v="0"/>
  </r>
  <r>
    <s v="P-0661"/>
    <s v="Dr. Tran"/>
    <s v="Oncology"/>
    <x v="1"/>
    <n v="25"/>
    <s v="Medicaid"/>
    <s v="Emergency Care"/>
    <x v="12"/>
    <n v="5466"/>
    <n v="15.65"/>
    <n v="52"/>
    <x v="0"/>
    <n v="30802"/>
    <x v="2"/>
    <x v="0"/>
  </r>
  <r>
    <s v="P-0059"/>
    <s v="Dr. Reyes"/>
    <s v="Pediatrics"/>
    <x v="1"/>
    <n v="9"/>
    <s v="Medicaid"/>
    <s v="Diagnostics"/>
    <x v="9"/>
    <n v="2729"/>
    <n v="10.49"/>
    <n v="60"/>
    <x v="0"/>
    <n v="15935"/>
    <x v="2"/>
    <x v="1"/>
  </r>
  <r>
    <s v="P-0663"/>
    <s v="Dr. Bradshaw"/>
    <s v="Orthopedics"/>
    <x v="1"/>
    <n v="33"/>
    <s v="Private"/>
    <s v="Surgery"/>
    <x v="17"/>
    <n v="5786"/>
    <n v="8.35"/>
    <n v="56"/>
    <x v="0"/>
    <n v="17104"/>
    <x v="2"/>
    <x v="0"/>
  </r>
  <r>
    <s v="P-0664"/>
    <s v="Dr. Castillo"/>
    <s v="General Surgery"/>
    <x v="2"/>
    <n v="22"/>
    <s v="Private"/>
    <s v="Specialist Consultation"/>
    <x v="15"/>
    <n v="11423"/>
    <n v="11.96"/>
    <n v="105"/>
    <x v="0"/>
    <n v="55851"/>
    <x v="1"/>
    <x v="0"/>
  </r>
  <r>
    <s v="P-0665"/>
    <s v="Dr. Bradshaw"/>
    <s v="Orthopedics"/>
    <x v="1"/>
    <n v="17"/>
    <s v="Private"/>
    <s v="Therapy"/>
    <x v="12"/>
    <n v="5936"/>
    <n v="9.8000000000000007"/>
    <n v="90"/>
    <x v="0"/>
    <n v="32133"/>
    <x v="2"/>
    <x v="1"/>
  </r>
  <r>
    <s v="P-0666"/>
    <s v="Dr. Reyes"/>
    <s v="Radiology"/>
    <x v="1"/>
    <n v="66"/>
    <s v="Medicaid"/>
    <s v="Emergency Care"/>
    <x v="17"/>
    <n v="1954"/>
    <n v="8.18"/>
    <n v="68"/>
    <x v="0"/>
    <n v="10224"/>
    <x v="2"/>
    <x v="0"/>
  </r>
  <r>
    <s v="P-0667"/>
    <s v="Dr. Mccarty"/>
    <s v="Cardiology"/>
    <x v="1"/>
    <n v="40"/>
    <s v="Medicare"/>
    <s v="Emergency Care"/>
    <x v="16"/>
    <n v="5543"/>
    <n v="23.78"/>
    <n v="100"/>
    <x v="1"/>
    <n v="28643"/>
    <x v="0"/>
    <x v="0"/>
  </r>
  <r>
    <s v="P-0668"/>
    <s v="Dr. Snyder"/>
    <s v="Emergency"/>
    <x v="0"/>
    <n v="47"/>
    <s v="Private"/>
    <s v="Routine Checkup"/>
    <x v="26"/>
    <n v="2879"/>
    <n v="21.41"/>
    <n v="107"/>
    <x v="1"/>
    <n v="16389"/>
    <x v="0"/>
    <x v="0"/>
  </r>
  <r>
    <s v="P-0669"/>
    <s v="Dr. Brooks"/>
    <s v="Orthopedics"/>
    <x v="0"/>
    <n v="72"/>
    <s v="Medicare"/>
    <s v="Specialist Consultation"/>
    <x v="23"/>
    <n v="7047"/>
    <n v="8.14"/>
    <n v="91"/>
    <x v="0"/>
    <n v="33076"/>
    <x v="2"/>
    <x v="0"/>
  </r>
  <r>
    <s v="P-0085"/>
    <s v="Dr. Holloway"/>
    <s v="Pediatrics"/>
    <x v="1"/>
    <n v="9"/>
    <s v="Medicare"/>
    <s v="Routine Checkup"/>
    <x v="12"/>
    <n v="3141"/>
    <n v="11.08"/>
    <n v="15"/>
    <x v="0"/>
    <n v="9383"/>
    <x v="2"/>
    <x v="1"/>
  </r>
  <r>
    <s v="P-0671"/>
    <s v="Dr. Anderson"/>
    <s v="Oncology"/>
    <x v="0"/>
    <n v="60"/>
    <s v="Medicaid"/>
    <s v="Emergency Care"/>
    <x v="27"/>
    <n v="9363"/>
    <n v="9.08"/>
    <n v="68"/>
    <x v="0"/>
    <n v="27855"/>
    <x v="1"/>
    <x v="0"/>
  </r>
  <r>
    <s v="P-0672"/>
    <s v="Dr. Lawson"/>
    <s v="Neurology"/>
    <x v="1"/>
    <n v="34"/>
    <s v="Medicare"/>
    <s v="Diagnostics"/>
    <x v="9"/>
    <n v="6129"/>
    <n v="13"/>
    <n v="73"/>
    <x v="0"/>
    <n v="17218"/>
    <x v="2"/>
    <x v="0"/>
  </r>
  <r>
    <s v="P-0673"/>
    <s v="Dr. Reyes"/>
    <s v="Radiology"/>
    <x v="0"/>
    <n v="21"/>
    <s v="Private"/>
    <s v="Surgery"/>
    <x v="17"/>
    <n v="2216"/>
    <n v="8.33"/>
    <n v="81"/>
    <x v="0"/>
    <n v="12743"/>
    <x v="2"/>
    <x v="0"/>
  </r>
  <r>
    <s v="P-0674"/>
    <s v="Dr. Mcguire"/>
    <s v="Orthopedics"/>
    <x v="1"/>
    <n v="69"/>
    <s v="Private"/>
    <s v="Emergency Care"/>
    <x v="9"/>
    <n v="8131"/>
    <n v="10.16"/>
    <n v="74"/>
    <x v="0"/>
    <n v="30607"/>
    <x v="2"/>
    <x v="0"/>
  </r>
  <r>
    <s v="P-0675"/>
    <s v="Dr. Wright"/>
    <s v="Neurology"/>
    <x v="0"/>
    <n v="32"/>
    <s v="Medicaid"/>
    <s v="Therapy"/>
    <x v="12"/>
    <n v="7209"/>
    <n v="6.31"/>
    <n v="93"/>
    <x v="0"/>
    <n v="38612"/>
    <x v="2"/>
    <x v="0"/>
  </r>
  <r>
    <s v="P-0676"/>
    <s v="Dr. Monroe"/>
    <s v="Emergency"/>
    <x v="0"/>
    <n v="72"/>
    <s v="Medicare"/>
    <s v="Routine Checkup"/>
    <x v="14"/>
    <n v="4148"/>
    <n v="18.91"/>
    <n v="103"/>
    <x v="1"/>
    <n v="19516"/>
    <x v="2"/>
    <x v="0"/>
  </r>
  <r>
    <s v="P-0677"/>
    <s v="Dr. Lopez"/>
    <s v="Cardiology"/>
    <x v="2"/>
    <n v="23"/>
    <s v="Medicare"/>
    <s v="Therapy"/>
    <x v="12"/>
    <n v="6516"/>
    <n v="17.96"/>
    <n v="79"/>
    <x v="0"/>
    <n v="23588"/>
    <x v="2"/>
    <x v="0"/>
  </r>
  <r>
    <s v="P-0678"/>
    <s v="Dr. Hicks"/>
    <s v="Emergency"/>
    <x v="1"/>
    <n v="19"/>
    <s v="Private"/>
    <s v="Emergency Care"/>
    <x v="29"/>
    <n v="3314"/>
    <n v="22.15"/>
    <n v="110"/>
    <x v="0"/>
    <n v="8384"/>
    <x v="0"/>
    <x v="0"/>
  </r>
  <r>
    <s v="P-0679"/>
    <s v="Dr. Holmes"/>
    <s v="Radiology"/>
    <x v="0"/>
    <n v="46"/>
    <s v="Medicaid"/>
    <s v="Routine Checkup"/>
    <x v="21"/>
    <n v="3073"/>
    <n v="0"/>
    <n v="38"/>
    <x v="0"/>
    <n v="15405"/>
    <x v="1"/>
    <x v="0"/>
  </r>
  <r>
    <s v="P-0680"/>
    <s v="Dr. Kidd"/>
    <s v="Cardiology"/>
    <x v="1"/>
    <n v="78"/>
    <s v="Private"/>
    <s v="Emergency Care"/>
    <x v="1"/>
    <n v="7940"/>
    <n v="13.71"/>
    <n v="76"/>
    <x v="0"/>
    <n v="26428"/>
    <x v="0"/>
    <x v="0"/>
  </r>
  <r>
    <s v="P-0681"/>
    <s v="Dr. Lawrence"/>
    <s v="Emergency"/>
    <x v="0"/>
    <n v="66"/>
    <s v="Private"/>
    <s v="Routine Checkup"/>
    <x v="18"/>
    <n v="2418"/>
    <n v="15.84"/>
    <n v="118"/>
    <x v="0"/>
    <n v="9837"/>
    <x v="0"/>
    <x v="0"/>
  </r>
  <r>
    <s v="P-0682"/>
    <s v="Dr. Clark"/>
    <s v="Oncology"/>
    <x v="1"/>
    <n v="16"/>
    <s v="Medicaid"/>
    <s v="Specialist Consultation"/>
    <x v="7"/>
    <n v="5656"/>
    <n v="19.260000000000002"/>
    <n v="78"/>
    <x v="0"/>
    <n v="23758"/>
    <x v="2"/>
    <x v="1"/>
  </r>
  <r>
    <s v="P-0683"/>
    <s v="Dr. Mccarty"/>
    <s v="Cardiology"/>
    <x v="0"/>
    <n v="61"/>
    <s v="Private"/>
    <s v="Emergency Care"/>
    <x v="9"/>
    <n v="6684"/>
    <n v="21.56"/>
    <n v="87"/>
    <x v="0"/>
    <n v="28228"/>
    <x v="2"/>
    <x v="0"/>
  </r>
  <r>
    <s v="P-0684"/>
    <s v="Dr. Lopez"/>
    <s v="Cardiology"/>
    <x v="0"/>
    <n v="41"/>
    <s v="Medicare"/>
    <s v="Routine Checkup"/>
    <x v="17"/>
    <n v="7394"/>
    <n v="15.31"/>
    <n v="57"/>
    <x v="0"/>
    <n v="32279"/>
    <x v="2"/>
    <x v="0"/>
  </r>
  <r>
    <s v="P-0685"/>
    <s v="Dr. Wang"/>
    <s v="Cardiology"/>
    <x v="1"/>
    <n v="59"/>
    <s v="Medicare"/>
    <s v="Emergency Care"/>
    <x v="18"/>
    <n v="6558"/>
    <n v="12.24"/>
    <n v="128"/>
    <x v="1"/>
    <n v="26652"/>
    <x v="0"/>
    <x v="0"/>
  </r>
  <r>
    <s v="P-0686"/>
    <s v="Dr. Davis"/>
    <s v="Neurology"/>
    <x v="1"/>
    <n v="31"/>
    <s v="Medicaid"/>
    <s v="Surgery"/>
    <x v="10"/>
    <n v="6079"/>
    <n v="10.37"/>
    <n v="103"/>
    <x v="0"/>
    <n v="24110"/>
    <x v="2"/>
    <x v="0"/>
  </r>
  <r>
    <s v="P-0687"/>
    <s v="Dr. Castillo"/>
    <s v="General Surgery"/>
    <x v="1"/>
    <n v="27"/>
    <s v="Medicare"/>
    <s v="Routine Checkup"/>
    <x v="12"/>
    <n v="10174"/>
    <n v="10.47"/>
    <n v="95"/>
    <x v="0"/>
    <n v="34175"/>
    <x v="2"/>
    <x v="0"/>
  </r>
  <r>
    <s v="P-0148"/>
    <s v="Dr. Lopez"/>
    <s v="Pediatrics"/>
    <x v="0"/>
    <n v="9"/>
    <s v="Medicare"/>
    <s v="Surgery"/>
    <x v="5"/>
    <n v="2381"/>
    <n v="5.88"/>
    <n v="64"/>
    <x v="2"/>
    <n v="10104"/>
    <x v="1"/>
    <x v="1"/>
  </r>
  <r>
    <s v="P-0689"/>
    <s v="Dr. Webb"/>
    <s v="General Surgery"/>
    <x v="1"/>
    <n v="74"/>
    <s v="Medicaid"/>
    <s v="Therapy"/>
    <x v="3"/>
    <n v="7133"/>
    <n v="19.66"/>
    <n v="81"/>
    <x v="1"/>
    <n v="28096"/>
    <x v="0"/>
    <x v="0"/>
  </r>
  <r>
    <s v="P-0690"/>
    <s v="Dr. Hamilton"/>
    <s v="Oncology"/>
    <x v="0"/>
    <n v="19"/>
    <s v="Medicaid"/>
    <s v="Surgery"/>
    <x v="2"/>
    <n v="7529"/>
    <n v="15.08"/>
    <n v="55"/>
    <x v="0"/>
    <n v="35062"/>
    <x v="1"/>
    <x v="0"/>
  </r>
  <r>
    <s v="P-0691"/>
    <s v="Dr. Lawrence"/>
    <s v="Emergency"/>
    <x v="1"/>
    <n v="47"/>
    <s v="Private"/>
    <s v="Surgery"/>
    <x v="12"/>
    <n v="2804"/>
    <n v="12.22"/>
    <n v="100"/>
    <x v="0"/>
    <n v="10939"/>
    <x v="2"/>
    <x v="0"/>
  </r>
  <r>
    <s v="P-0692"/>
    <s v="Dr. Tran"/>
    <s v="Oncology"/>
    <x v="1"/>
    <n v="42"/>
    <s v="Medicaid"/>
    <s v="Emergency Care"/>
    <x v="7"/>
    <n v="7852"/>
    <n v="20.23"/>
    <n v="91"/>
    <x v="0"/>
    <n v="25151"/>
    <x v="2"/>
    <x v="0"/>
  </r>
  <r>
    <s v="P-0693"/>
    <s v="Dr. Reyes"/>
    <s v="Radiology"/>
    <x v="1"/>
    <n v="53"/>
    <s v="Medicare"/>
    <s v="Diagnostics"/>
    <x v="42"/>
    <n v="2540"/>
    <n v="4.8499999999999996"/>
    <n v="52"/>
    <x v="2"/>
    <n v="12085"/>
    <x v="1"/>
    <x v="0"/>
  </r>
  <r>
    <s v="P-0238"/>
    <s v="Dr. King"/>
    <s v="Pediatrics"/>
    <x v="1"/>
    <n v="9"/>
    <s v="Private"/>
    <s v="Diagnostics"/>
    <x v="27"/>
    <n v="2268"/>
    <n v="8.4700000000000006"/>
    <n v="56"/>
    <x v="2"/>
    <n v="8184"/>
    <x v="1"/>
    <x v="1"/>
  </r>
  <r>
    <s v="P-0695"/>
    <s v="Dr. Pierce"/>
    <s v="Oncology"/>
    <x v="0"/>
    <n v="49"/>
    <s v="Medicare"/>
    <s v="Emergency Care"/>
    <x v="0"/>
    <n v="10548"/>
    <n v="14.08"/>
    <n v="70"/>
    <x v="0"/>
    <n v="50302"/>
    <x v="0"/>
    <x v="0"/>
  </r>
  <r>
    <s v="P-0696"/>
    <s v="Dr. Smith"/>
    <s v="General Surgery"/>
    <x v="1"/>
    <n v="47"/>
    <s v="Medicaid"/>
    <s v="Routine Checkup"/>
    <x v="18"/>
    <n v="7048"/>
    <n v="18.43"/>
    <n v="92"/>
    <x v="0"/>
    <n v="19418"/>
    <x v="0"/>
    <x v="0"/>
  </r>
  <r>
    <s v="P-0697"/>
    <s v="Dr. Lawson"/>
    <s v="Neurology"/>
    <x v="1"/>
    <n v="17"/>
    <s v="Private"/>
    <s v="Diagnostics"/>
    <x v="18"/>
    <n v="7174"/>
    <n v="16.98"/>
    <n v="104"/>
    <x v="0"/>
    <n v="29358"/>
    <x v="0"/>
    <x v="1"/>
  </r>
  <r>
    <s v="P-0698"/>
    <s v="Dr. Monroe"/>
    <s v="Emergency"/>
    <x v="0"/>
    <n v="33"/>
    <s v="Medicare"/>
    <s v="Diagnostics"/>
    <x v="11"/>
    <n v="4899"/>
    <n v="26.11"/>
    <n v="117"/>
    <x v="1"/>
    <n v="26878"/>
    <x v="0"/>
    <x v="0"/>
  </r>
  <r>
    <s v="P-0699"/>
    <s v="Dr. Adams"/>
    <s v="Neurology"/>
    <x v="1"/>
    <n v="40"/>
    <s v="Medicare"/>
    <s v="Specialist Consultation"/>
    <x v="13"/>
    <n v="5804"/>
    <n v="16.18"/>
    <n v="81"/>
    <x v="0"/>
    <n v="30535"/>
    <x v="0"/>
    <x v="0"/>
  </r>
  <r>
    <s v="P-0670"/>
    <s v="Dr. Reyes"/>
    <s v="Pediatrics"/>
    <x v="1"/>
    <n v="9"/>
    <s v="Private"/>
    <s v="Emergency Care"/>
    <x v="36"/>
    <n v="3419"/>
    <n v="3.13"/>
    <n v="53"/>
    <x v="0"/>
    <n v="9833"/>
    <x v="1"/>
    <x v="1"/>
  </r>
  <r>
    <s v="P-0701"/>
    <s v="Dr. Davis"/>
    <s v="Neurology"/>
    <x v="0"/>
    <n v="21"/>
    <s v="Medicare"/>
    <s v="Therapy"/>
    <x v="24"/>
    <n v="7838"/>
    <n v="18.190000000000001"/>
    <n v="84"/>
    <x v="1"/>
    <n v="41942"/>
    <x v="0"/>
    <x v="0"/>
  </r>
  <r>
    <s v="P-0702"/>
    <s v="Dr. Cherry"/>
    <s v="Orthopedics"/>
    <x v="0"/>
    <n v="45"/>
    <s v="Private"/>
    <s v="Emergency Care"/>
    <x v="17"/>
    <n v="6060"/>
    <n v="14.54"/>
    <n v="89"/>
    <x v="0"/>
    <n v="25606"/>
    <x v="2"/>
    <x v="0"/>
  </r>
  <r>
    <s v="P-0703"/>
    <s v="Dr. Tran"/>
    <s v="Oncology"/>
    <x v="1"/>
    <n v="23"/>
    <s v="Medicaid"/>
    <s v="Surgery"/>
    <x v="9"/>
    <n v="8446"/>
    <n v="15.17"/>
    <n v="16"/>
    <x v="1"/>
    <n v="35656"/>
    <x v="2"/>
    <x v="0"/>
  </r>
  <r>
    <s v="P-0704"/>
    <s v="Dr. Hicks"/>
    <s v="Emergency"/>
    <x v="0"/>
    <n v="14"/>
    <s v="Private"/>
    <s v="Routine Checkup"/>
    <x v="31"/>
    <n v="3453"/>
    <n v="23.82"/>
    <n v="118"/>
    <x v="1"/>
    <n v="11519"/>
    <x v="0"/>
    <x v="1"/>
  </r>
  <r>
    <s v="P-0776"/>
    <s v="Dr. Owens"/>
    <s v="Pediatrics"/>
    <x v="0"/>
    <n v="9"/>
    <s v="Medicaid"/>
    <s v="Diagnostics"/>
    <x v="28"/>
    <n v="3365"/>
    <n v="0"/>
    <n v="38"/>
    <x v="0"/>
    <n v="17872"/>
    <x v="1"/>
    <x v="1"/>
  </r>
  <r>
    <s v="P-0706"/>
    <s v="Dr. Monroe"/>
    <s v="Emergency"/>
    <x v="0"/>
    <n v="29"/>
    <s v="Private"/>
    <s v="Emergency Care"/>
    <x v="1"/>
    <n v="3430"/>
    <n v="19.510000000000002"/>
    <n v="69"/>
    <x v="1"/>
    <n v="14070"/>
    <x v="0"/>
    <x v="0"/>
  </r>
  <r>
    <s v="P-0783"/>
    <s v="Dr. King"/>
    <s v="Pediatrics"/>
    <x v="0"/>
    <n v="9"/>
    <s v="Medicaid"/>
    <s v="Surgery"/>
    <x v="4"/>
    <n v="3285"/>
    <n v="1.01"/>
    <n v="64"/>
    <x v="0"/>
    <n v="8228"/>
    <x v="1"/>
    <x v="1"/>
  </r>
  <r>
    <s v="P-0708"/>
    <s v="Dr. Wang"/>
    <s v="Cardiology"/>
    <x v="1"/>
    <n v="37"/>
    <s v="Private"/>
    <s v="Routine Checkup"/>
    <x v="13"/>
    <n v="6521"/>
    <n v="19.47"/>
    <n v="93"/>
    <x v="0"/>
    <n v="36978"/>
    <x v="0"/>
    <x v="0"/>
  </r>
  <r>
    <s v="P-0709"/>
    <s v="Dr. Holmes"/>
    <s v="Radiology"/>
    <x v="0"/>
    <n v="41"/>
    <s v="Private"/>
    <s v="Specialist Consultation"/>
    <x v="5"/>
    <n v="2077"/>
    <n v="4.9400000000000004"/>
    <n v="41"/>
    <x v="0"/>
    <n v="11904"/>
    <x v="1"/>
    <x v="0"/>
  </r>
  <r>
    <s v="P-0098"/>
    <s v="Dr. Holloway"/>
    <s v="Pediatrics"/>
    <x v="0"/>
    <n v="8"/>
    <s v="Private"/>
    <s v="Specialist Consultation"/>
    <x v="5"/>
    <n v="1752"/>
    <n v="3.04"/>
    <n v="6"/>
    <x v="0"/>
    <n v="5495"/>
    <x v="1"/>
    <x v="1"/>
  </r>
  <r>
    <s v="P-0711"/>
    <s v="Dr. Brooks"/>
    <s v="Orthopedics"/>
    <x v="1"/>
    <n v="56"/>
    <s v="Medicaid"/>
    <s v="Emergency Care"/>
    <x v="7"/>
    <n v="3706"/>
    <n v="12.37"/>
    <n v="87"/>
    <x v="1"/>
    <n v="14141"/>
    <x v="2"/>
    <x v="0"/>
  </r>
  <r>
    <s v="P-0712"/>
    <s v="Dr. Byrd"/>
    <s v="Radiology"/>
    <x v="1"/>
    <n v="49"/>
    <s v="Medicaid"/>
    <s v="Diagnostics"/>
    <x v="15"/>
    <n v="2400"/>
    <n v="1.47"/>
    <n v="77"/>
    <x v="2"/>
    <n v="12735"/>
    <x v="1"/>
    <x v="0"/>
  </r>
  <r>
    <s v="P-0713"/>
    <s v="Dr. Tran"/>
    <s v="Oncology"/>
    <x v="1"/>
    <n v="1"/>
    <s v="Medicare"/>
    <s v="Routine Checkup"/>
    <x v="31"/>
    <n v="7101"/>
    <n v="15.92"/>
    <n v="69"/>
    <x v="0"/>
    <n v="33288"/>
    <x v="0"/>
    <x v="1"/>
  </r>
  <r>
    <s v="P-0123"/>
    <s v="Dr. Reyes"/>
    <s v="Pediatrics"/>
    <x v="0"/>
    <n v="8"/>
    <s v="Medicare"/>
    <s v="Diagnostics"/>
    <x v="10"/>
    <n v="3852"/>
    <n v="5.72"/>
    <n v="83"/>
    <x v="0"/>
    <n v="20629"/>
    <x v="2"/>
    <x v="1"/>
  </r>
  <r>
    <s v="P-0715"/>
    <s v="Dr. Wang"/>
    <s v="Cardiology"/>
    <x v="1"/>
    <n v="35"/>
    <s v="Medicare"/>
    <s v="Routine Checkup"/>
    <x v="14"/>
    <n v="6038"/>
    <n v="10.6"/>
    <n v="68"/>
    <x v="1"/>
    <n v="23704"/>
    <x v="2"/>
    <x v="0"/>
  </r>
  <r>
    <s v="P-0716"/>
    <s v="Dr. Pierce"/>
    <s v="Oncology"/>
    <x v="1"/>
    <n v="34"/>
    <s v="Private"/>
    <s v="Specialist Consultation"/>
    <x v="6"/>
    <n v="8071"/>
    <n v="19.03"/>
    <n v="83"/>
    <x v="2"/>
    <n v="25002"/>
    <x v="1"/>
    <x v="0"/>
  </r>
  <r>
    <s v="P-0717"/>
    <s v="Dr. Lawrence"/>
    <s v="Emergency"/>
    <x v="1"/>
    <n v="32"/>
    <s v="Medicaid"/>
    <s v="Surgery"/>
    <x v="3"/>
    <n v="2561"/>
    <n v="19.73"/>
    <n v="89"/>
    <x v="0"/>
    <n v="7618"/>
    <x v="0"/>
    <x v="0"/>
  </r>
  <r>
    <s v="P-0718"/>
    <s v="Dr. Lara"/>
    <s v="Neurology"/>
    <x v="0"/>
    <n v="53"/>
    <s v="Medicare"/>
    <s v="Diagnostics"/>
    <x v="10"/>
    <n v="8067"/>
    <n v="17.440000000000001"/>
    <n v="74"/>
    <x v="0"/>
    <n v="24567"/>
    <x v="2"/>
    <x v="0"/>
  </r>
  <r>
    <s v="P-0719"/>
    <s v="Dr. Reyes"/>
    <s v="Radiology"/>
    <x v="0"/>
    <n v="57"/>
    <s v="Medicaid"/>
    <s v="Specialist Consultation"/>
    <x v="15"/>
    <n v="2114"/>
    <n v="11.44"/>
    <n v="35"/>
    <x v="2"/>
    <n v="5954"/>
    <x v="1"/>
    <x v="0"/>
  </r>
  <r>
    <s v="P-0720"/>
    <s v="Dr. Anderson"/>
    <s v="Oncology"/>
    <x v="1"/>
    <n v="24"/>
    <s v="Private"/>
    <s v="Diagnostics"/>
    <x v="17"/>
    <n v="7991"/>
    <n v="11.37"/>
    <n v="46"/>
    <x v="0"/>
    <n v="29786"/>
    <x v="2"/>
    <x v="0"/>
  </r>
  <r>
    <s v="P-0721"/>
    <s v="Dr. Hicks"/>
    <s v="Emergency"/>
    <x v="1"/>
    <n v="58"/>
    <s v="Private"/>
    <s v="Emergency Care"/>
    <x v="20"/>
    <n v="3225"/>
    <n v="13.93"/>
    <n v="122"/>
    <x v="1"/>
    <n v="17075"/>
    <x v="0"/>
    <x v="0"/>
  </r>
  <r>
    <s v="P-0200"/>
    <s v="Dr. Holloway"/>
    <s v="Pediatrics"/>
    <x v="0"/>
    <n v="8"/>
    <s v="Medicare"/>
    <s v="Emergency Care"/>
    <x v="5"/>
    <n v="2040"/>
    <n v="6.37"/>
    <n v="37"/>
    <x v="2"/>
    <n v="9649"/>
    <x v="1"/>
    <x v="1"/>
  </r>
  <r>
    <s v="P-0723"/>
    <s v="Dr. Mccarty"/>
    <s v="Cardiology"/>
    <x v="0"/>
    <n v="34"/>
    <s v="Private"/>
    <s v="Diagnostics"/>
    <x v="11"/>
    <n v="8157"/>
    <n v="16.63"/>
    <n v="111"/>
    <x v="1"/>
    <n v="31204"/>
    <x v="0"/>
    <x v="0"/>
  </r>
  <r>
    <s v="P-0724"/>
    <s v="Dr. Castillo"/>
    <s v="General Surgery"/>
    <x v="1"/>
    <n v="53"/>
    <s v="Medicaid"/>
    <s v="Routine Checkup"/>
    <x v="1"/>
    <n v="10602"/>
    <n v="18.46"/>
    <n v="115"/>
    <x v="1"/>
    <n v="53983"/>
    <x v="0"/>
    <x v="0"/>
  </r>
  <r>
    <s v="P-0725"/>
    <s v="Dr. Ward"/>
    <s v="Radiology"/>
    <x v="1"/>
    <n v="56"/>
    <s v="Medicare"/>
    <s v="Routine Checkup"/>
    <x v="17"/>
    <n v="2723"/>
    <n v="3"/>
    <n v="73"/>
    <x v="0"/>
    <n v="11227"/>
    <x v="2"/>
    <x v="0"/>
  </r>
  <r>
    <s v="P-0726"/>
    <s v="Dr. Clark"/>
    <s v="Oncology"/>
    <x v="0"/>
    <n v="34"/>
    <s v="Medicaid"/>
    <s v="Specialist Consultation"/>
    <x v="35"/>
    <n v="7918"/>
    <n v="13.01"/>
    <n v="59"/>
    <x v="2"/>
    <n v="38182"/>
    <x v="1"/>
    <x v="0"/>
  </r>
  <r>
    <s v="P-0727"/>
    <s v="Dr. Brooks"/>
    <s v="Orthopedics"/>
    <x v="1"/>
    <n v="35"/>
    <s v="Private"/>
    <s v="Emergency Care"/>
    <x v="14"/>
    <n v="6003"/>
    <n v="16.920000000000002"/>
    <n v="85"/>
    <x v="1"/>
    <n v="22361"/>
    <x v="2"/>
    <x v="0"/>
  </r>
  <r>
    <s v="P-0728"/>
    <s v="Dr. Byrd"/>
    <s v="Radiology"/>
    <x v="0"/>
    <n v="89"/>
    <s v="Medicare"/>
    <s v="Routine Checkup"/>
    <x v="6"/>
    <n v="1870"/>
    <n v="8.15"/>
    <n v="68"/>
    <x v="0"/>
    <n v="5950"/>
    <x v="1"/>
    <x v="0"/>
  </r>
  <r>
    <s v="P-0729"/>
    <s v="Dr. Hicks"/>
    <s v="Emergency"/>
    <x v="1"/>
    <n v="49"/>
    <s v="Private"/>
    <s v="Diagnostics"/>
    <x v="13"/>
    <n v="4052"/>
    <n v="21.88"/>
    <n v="135"/>
    <x v="1"/>
    <n v="22436"/>
    <x v="0"/>
    <x v="0"/>
  </r>
  <r>
    <s v="P-0730"/>
    <s v="Dr. Webb"/>
    <s v="General Surgery"/>
    <x v="1"/>
    <n v="54"/>
    <s v="Private"/>
    <s v="Routine Checkup"/>
    <x v="10"/>
    <n v="6958"/>
    <n v="16.39"/>
    <n v="93"/>
    <x v="0"/>
    <n v="25181"/>
    <x v="2"/>
    <x v="0"/>
  </r>
  <r>
    <s v="P-0731"/>
    <s v="Dr. Bradshaw"/>
    <s v="Orthopedics"/>
    <x v="1"/>
    <n v="31"/>
    <s v="Private"/>
    <s v="Diagnostics"/>
    <x v="9"/>
    <n v="4872"/>
    <n v="16.48"/>
    <n v="70"/>
    <x v="0"/>
    <n v="20454"/>
    <x v="2"/>
    <x v="0"/>
  </r>
  <r>
    <s v="P-0732"/>
    <s v="Dr. Holmes"/>
    <s v="Radiology"/>
    <x v="0"/>
    <n v="33"/>
    <s v="Medicaid"/>
    <s v="Diagnostics"/>
    <x v="6"/>
    <n v="1463"/>
    <n v="1.19"/>
    <n v="71"/>
    <x v="0"/>
    <n v="7798"/>
    <x v="1"/>
    <x v="0"/>
  </r>
  <r>
    <s v="P-0733"/>
    <s v="Dr. Mccarty"/>
    <s v="Cardiology"/>
    <x v="1"/>
    <n v="52"/>
    <s v="Medicare"/>
    <s v="Surgery"/>
    <x v="17"/>
    <n v="5322"/>
    <n v="19.55"/>
    <n v="40"/>
    <x v="0"/>
    <n v="26782"/>
    <x v="2"/>
    <x v="0"/>
  </r>
  <r>
    <s v="P-0694"/>
    <s v="Dr. Lopez"/>
    <s v="Pediatrics"/>
    <x v="1"/>
    <n v="8"/>
    <s v="Private"/>
    <s v="Diagnostics"/>
    <x v="0"/>
    <n v="3119"/>
    <n v="10.07"/>
    <n v="54"/>
    <x v="0"/>
    <n v="13244"/>
    <x v="0"/>
    <x v="1"/>
  </r>
  <r>
    <s v="P-0735"/>
    <s v="Dr. Villa"/>
    <s v="General Surgery"/>
    <x v="1"/>
    <n v="42"/>
    <s v="Medicare"/>
    <s v="Therapy"/>
    <x v="9"/>
    <n v="7816"/>
    <n v="16.8"/>
    <n v="106"/>
    <x v="2"/>
    <n v="26190"/>
    <x v="2"/>
    <x v="0"/>
  </r>
  <r>
    <s v="P-0736"/>
    <s v="Dr. Monroe"/>
    <s v="Emergency"/>
    <x v="0"/>
    <n v="30"/>
    <s v="Medicaid"/>
    <s v="Emergency Care"/>
    <x v="13"/>
    <n v="3379"/>
    <n v="12.56"/>
    <n v="120"/>
    <x v="1"/>
    <n v="16078"/>
    <x v="0"/>
    <x v="0"/>
  </r>
  <r>
    <s v="P-0737"/>
    <s v="Dr. Wang"/>
    <s v="Cardiology"/>
    <x v="0"/>
    <n v="65"/>
    <s v="Medicare"/>
    <s v="Therapy"/>
    <x v="4"/>
    <n v="5972"/>
    <n v="15.43"/>
    <n v="94"/>
    <x v="0"/>
    <n v="15083"/>
    <x v="1"/>
    <x v="0"/>
  </r>
  <r>
    <s v="P-0738"/>
    <s v="Dr. Tran"/>
    <s v="Oncology"/>
    <x v="1"/>
    <n v="33"/>
    <s v="Medicare"/>
    <s v="Therapy"/>
    <x v="10"/>
    <n v="9259"/>
    <n v="14.52"/>
    <n v="80"/>
    <x v="0"/>
    <n v="37996"/>
    <x v="2"/>
    <x v="0"/>
  </r>
  <r>
    <s v="P-0739"/>
    <s v="Dr. Byrd"/>
    <s v="Radiology"/>
    <x v="0"/>
    <n v="48"/>
    <s v="Medicare"/>
    <s v="Therapy"/>
    <x v="5"/>
    <n v="2471"/>
    <n v="2.06"/>
    <n v="52"/>
    <x v="0"/>
    <n v="10116"/>
    <x v="1"/>
    <x v="0"/>
  </r>
  <r>
    <s v="P-0740"/>
    <s v="Dr. Clark"/>
    <s v="Oncology"/>
    <x v="1"/>
    <n v="8"/>
    <s v="Medicare"/>
    <s v="Specialist Consultation"/>
    <x v="12"/>
    <n v="8022"/>
    <n v="8.9499999999999993"/>
    <n v="100"/>
    <x v="0"/>
    <n v="29555"/>
    <x v="2"/>
    <x v="1"/>
  </r>
  <r>
    <s v="P-0741"/>
    <s v="Dr. Rose"/>
    <s v="Emergency"/>
    <x v="0"/>
    <n v="59"/>
    <s v="Medicaid"/>
    <s v="Therapy"/>
    <x v="9"/>
    <n v="4001"/>
    <n v="27.58"/>
    <n v="120"/>
    <x v="0"/>
    <n v="17805"/>
    <x v="2"/>
    <x v="0"/>
  </r>
  <r>
    <s v="P-0742"/>
    <s v="Dr. Lawson"/>
    <s v="Neurology"/>
    <x v="0"/>
    <n v="27"/>
    <s v="Medicare"/>
    <s v="Routine Checkup"/>
    <x v="14"/>
    <n v="5405"/>
    <n v="15.53"/>
    <n v="109"/>
    <x v="0"/>
    <n v="26629"/>
    <x v="2"/>
    <x v="0"/>
  </r>
  <r>
    <s v="P-0743"/>
    <s v="Dr. Adams"/>
    <s v="Neurology"/>
    <x v="0"/>
    <n v="3"/>
    <s v="Private"/>
    <s v="Emergency Care"/>
    <x v="12"/>
    <n v="7958"/>
    <n v="14.25"/>
    <n v="89"/>
    <x v="0"/>
    <n v="25563"/>
    <x v="2"/>
    <x v="1"/>
  </r>
  <r>
    <s v="P-0744"/>
    <s v="Dr. Reyes"/>
    <s v="Radiology"/>
    <x v="2"/>
    <n v="38"/>
    <s v="Medicare"/>
    <s v="Routine Checkup"/>
    <x v="35"/>
    <n v="2564"/>
    <n v="0"/>
    <n v="59"/>
    <x v="0"/>
    <n v="9964"/>
    <x v="1"/>
    <x v="0"/>
  </r>
  <r>
    <s v="P-0745"/>
    <s v="Dr. Davis"/>
    <s v="Neurology"/>
    <x v="1"/>
    <n v="38"/>
    <s v="Medicaid"/>
    <s v="Emergency Care"/>
    <x v="12"/>
    <n v="7466"/>
    <n v="14.18"/>
    <n v="63"/>
    <x v="2"/>
    <n v="44492"/>
    <x v="2"/>
    <x v="0"/>
  </r>
  <r>
    <s v="P-0746"/>
    <s v="Dr. Kidd"/>
    <s v="Cardiology"/>
    <x v="0"/>
    <n v="31"/>
    <s v="Medicaid"/>
    <s v="Diagnostics"/>
    <x v="7"/>
    <n v="6387"/>
    <n v="9.5"/>
    <n v="83"/>
    <x v="0"/>
    <n v="29174"/>
    <x v="2"/>
    <x v="0"/>
  </r>
  <r>
    <s v="P-0747"/>
    <s v="Dr. Vaughn"/>
    <s v="Orthopedics"/>
    <x v="1"/>
    <n v="49"/>
    <s v="Private"/>
    <s v="Specialist Consultation"/>
    <x v="23"/>
    <n v="6049"/>
    <n v="16.149999999999999"/>
    <n v="77"/>
    <x v="2"/>
    <n v="26824"/>
    <x v="2"/>
    <x v="0"/>
  </r>
  <r>
    <s v="P-0748"/>
    <s v="Dr. Reyes"/>
    <s v="Radiology"/>
    <x v="1"/>
    <n v="10"/>
    <s v="Private"/>
    <s v="Therapy"/>
    <x v="21"/>
    <n v="2543"/>
    <n v="3.3"/>
    <n v="49"/>
    <x v="2"/>
    <n v="10667"/>
    <x v="1"/>
    <x v="1"/>
  </r>
  <r>
    <s v="P-0749"/>
    <s v="Dr. Garcia"/>
    <s v="Cardiology"/>
    <x v="0"/>
    <n v="46"/>
    <s v="Private"/>
    <s v="Diagnostics"/>
    <x v="0"/>
    <n v="4450"/>
    <n v="13.18"/>
    <n v="70"/>
    <x v="0"/>
    <n v="11764"/>
    <x v="0"/>
    <x v="0"/>
  </r>
  <r>
    <s v="P-0096"/>
    <s v="Dr. Lopez"/>
    <s v="Pediatrics"/>
    <x v="1"/>
    <n v="7"/>
    <s v="Medicaid"/>
    <s v="Routine Checkup"/>
    <x v="23"/>
    <n v="2593"/>
    <n v="8.6"/>
    <n v="63"/>
    <x v="0"/>
    <n v="14632"/>
    <x v="2"/>
    <x v="1"/>
  </r>
  <r>
    <s v="P-0751"/>
    <s v="Dr. Castillo"/>
    <s v="General Surgery"/>
    <x v="1"/>
    <n v="29"/>
    <s v="Medicare"/>
    <s v="Routine Checkup"/>
    <x v="24"/>
    <n v="10851"/>
    <n v="19.010000000000002"/>
    <n v="96"/>
    <x v="0"/>
    <n v="54242"/>
    <x v="0"/>
    <x v="0"/>
  </r>
  <r>
    <s v="P-0752"/>
    <s v="Dr. Reyes"/>
    <s v="Radiology"/>
    <x v="1"/>
    <n v="45"/>
    <s v="Medicare"/>
    <s v="Specialist Consultation"/>
    <x v="6"/>
    <n v="2537"/>
    <n v="0.9"/>
    <n v="61"/>
    <x v="0"/>
    <n v="10626"/>
    <x v="1"/>
    <x v="0"/>
  </r>
  <r>
    <s v="P-0753"/>
    <s v="Dr. Pierce"/>
    <s v="Oncology"/>
    <x v="0"/>
    <n v="44"/>
    <s v="Medicare"/>
    <s v="Diagnostics"/>
    <x v="27"/>
    <n v="7785"/>
    <n v="16.079999999999998"/>
    <n v="51"/>
    <x v="0"/>
    <n v="35914"/>
    <x v="1"/>
    <x v="0"/>
  </r>
  <r>
    <s v="P-0754"/>
    <s v="Dr. Hicks"/>
    <s v="Emergency"/>
    <x v="0"/>
    <n v="30"/>
    <s v="Medicare"/>
    <s v="Diagnostics"/>
    <x v="24"/>
    <n v="3272"/>
    <n v="14.25"/>
    <n v="76"/>
    <x v="0"/>
    <n v="9096"/>
    <x v="0"/>
    <x v="0"/>
  </r>
  <r>
    <s v="P-0755"/>
    <s v="Dr. Mcguire"/>
    <s v="Orthopedics"/>
    <x v="0"/>
    <n v="39"/>
    <s v="Medicaid"/>
    <s v="Emergency Care"/>
    <x v="17"/>
    <n v="6179"/>
    <n v="12.39"/>
    <n v="74"/>
    <x v="0"/>
    <n v="16579"/>
    <x v="2"/>
    <x v="0"/>
  </r>
  <r>
    <s v="P-0756"/>
    <s v="Dr. Anderson"/>
    <s v="Oncology"/>
    <x v="1"/>
    <n v="55"/>
    <s v="Medicaid"/>
    <s v="Surgery"/>
    <x v="9"/>
    <n v="8064"/>
    <n v="19.73"/>
    <n v="88"/>
    <x v="0"/>
    <n v="40683"/>
    <x v="2"/>
    <x v="0"/>
  </r>
  <r>
    <s v="P-0139"/>
    <s v="Dr. King"/>
    <s v="Pediatrics"/>
    <x v="0"/>
    <n v="7"/>
    <s v="Private"/>
    <s v="Diagnostics"/>
    <x v="22"/>
    <n v="3341"/>
    <n v="9.7899999999999991"/>
    <n v="69"/>
    <x v="2"/>
    <n v="9887"/>
    <x v="1"/>
    <x v="1"/>
  </r>
  <r>
    <s v="P-0758"/>
    <s v="Dr. Lopez"/>
    <s v="Cardiology"/>
    <x v="1"/>
    <n v="60"/>
    <s v="Medicare"/>
    <s v="Specialist Consultation"/>
    <x v="3"/>
    <n v="6857"/>
    <n v="19.96"/>
    <n v="61"/>
    <x v="0"/>
    <n v="36461"/>
    <x v="0"/>
    <x v="0"/>
  </r>
  <r>
    <s v="P-0759"/>
    <s v="Dr. Smith"/>
    <s v="General Surgery"/>
    <x v="0"/>
    <n v="27"/>
    <s v="Private"/>
    <s v="Therapy"/>
    <x v="20"/>
    <n v="9247"/>
    <n v="28.67"/>
    <n v="94"/>
    <x v="1"/>
    <n v="33930"/>
    <x v="0"/>
    <x v="0"/>
  </r>
  <r>
    <s v="P-0760"/>
    <s v="Dr. Lawson"/>
    <s v="Neurology"/>
    <x v="1"/>
    <n v="90"/>
    <s v="Medicaid"/>
    <s v="Surgery"/>
    <x v="29"/>
    <n v="5354"/>
    <n v="20.62"/>
    <n v="103"/>
    <x v="1"/>
    <n v="24196"/>
    <x v="0"/>
    <x v="0"/>
  </r>
  <r>
    <s v="P-0761"/>
    <s v="Dr. Davis"/>
    <s v="Neurology"/>
    <x v="0"/>
    <n v="36"/>
    <s v="Private"/>
    <s v="Routine Checkup"/>
    <x v="13"/>
    <n v="7214"/>
    <n v="22.21"/>
    <n v="70"/>
    <x v="1"/>
    <n v="32227"/>
    <x v="0"/>
    <x v="0"/>
  </r>
  <r>
    <s v="P-0762"/>
    <s v="Dr. Anderson"/>
    <s v="Oncology"/>
    <x v="0"/>
    <n v="54"/>
    <s v="Private"/>
    <s v="Emergency Care"/>
    <x v="22"/>
    <n v="6740"/>
    <n v="8.42"/>
    <n v="84"/>
    <x v="0"/>
    <n v="39069"/>
    <x v="1"/>
    <x v="0"/>
  </r>
  <r>
    <s v="P-0763"/>
    <s v="Dr. Castillo"/>
    <s v="General Surgery"/>
    <x v="0"/>
    <n v="37"/>
    <s v="Medicaid"/>
    <s v="Routine Checkup"/>
    <x v="29"/>
    <n v="7347"/>
    <n v="23.92"/>
    <n v="99"/>
    <x v="1"/>
    <n v="23280"/>
    <x v="0"/>
    <x v="0"/>
  </r>
  <r>
    <s v="P-0764"/>
    <s v="Dr. Brooks"/>
    <s v="Orthopedics"/>
    <x v="0"/>
    <n v="40"/>
    <s v="Medicaid"/>
    <s v="Surgery"/>
    <x v="14"/>
    <n v="4931"/>
    <n v="5.91"/>
    <n v="103"/>
    <x v="0"/>
    <n v="17027"/>
    <x v="2"/>
    <x v="0"/>
  </r>
  <r>
    <s v="P-0765"/>
    <s v="Dr. Garcia"/>
    <s v="Cardiology"/>
    <x v="1"/>
    <n v="38"/>
    <s v="Medicare"/>
    <s v="Therapy"/>
    <x v="6"/>
    <n v="7209"/>
    <n v="19.079999999999998"/>
    <n v="74"/>
    <x v="2"/>
    <n v="27257"/>
    <x v="1"/>
    <x v="0"/>
  </r>
  <r>
    <s v="P-0766"/>
    <s v="Dr. Webb"/>
    <s v="General Surgery"/>
    <x v="2"/>
    <n v="47"/>
    <s v="Medicare"/>
    <s v="Therapy"/>
    <x v="24"/>
    <n v="10303"/>
    <n v="17.239999999999998"/>
    <n v="122"/>
    <x v="0"/>
    <n v="53311"/>
    <x v="0"/>
    <x v="0"/>
  </r>
  <r>
    <s v="P-0209"/>
    <s v="Dr. Lopez"/>
    <s v="Pediatrics"/>
    <x v="1"/>
    <n v="7"/>
    <s v="Medicaid"/>
    <s v="Surgery"/>
    <x v="12"/>
    <n v="3397"/>
    <n v="12.69"/>
    <n v="74"/>
    <x v="1"/>
    <n v="20199"/>
    <x v="2"/>
    <x v="1"/>
  </r>
  <r>
    <s v="P-0768"/>
    <s v="Dr. Wang"/>
    <s v="Cardiology"/>
    <x v="1"/>
    <n v="36"/>
    <s v="Private"/>
    <s v="Routine Checkup"/>
    <x v="22"/>
    <n v="8849"/>
    <n v="16.68"/>
    <n v="34"/>
    <x v="0"/>
    <n v="43581"/>
    <x v="1"/>
    <x v="0"/>
  </r>
  <r>
    <s v="P-0769"/>
    <s v="Dr. Anderson"/>
    <s v="Oncology"/>
    <x v="0"/>
    <n v="81"/>
    <s v="Medicaid"/>
    <s v="Routine Checkup"/>
    <x v="23"/>
    <n v="6310"/>
    <n v="12.97"/>
    <n v="90"/>
    <x v="2"/>
    <n v="29895"/>
    <x v="2"/>
    <x v="0"/>
  </r>
  <r>
    <s v="P-0770"/>
    <s v="Dr. Mcguire"/>
    <s v="Orthopedics"/>
    <x v="0"/>
    <n v="58"/>
    <s v="Medicaid"/>
    <s v="Emergency Care"/>
    <x v="6"/>
    <n v="5044"/>
    <n v="12.67"/>
    <n v="69"/>
    <x v="0"/>
    <n v="26629"/>
    <x v="1"/>
    <x v="0"/>
  </r>
  <r>
    <s v="P-0771"/>
    <s v="Dr. Webb"/>
    <s v="General Surgery"/>
    <x v="0"/>
    <n v="64"/>
    <s v="Medicaid"/>
    <s v="Emergency Care"/>
    <x v="17"/>
    <n v="7920"/>
    <n v="10.76"/>
    <n v="94"/>
    <x v="0"/>
    <n v="22260"/>
    <x v="2"/>
    <x v="0"/>
  </r>
  <r>
    <s v="P-0772"/>
    <s v="Dr. Hamilton"/>
    <s v="Oncology"/>
    <x v="0"/>
    <n v="36"/>
    <s v="Medicare"/>
    <s v="Specialist Consultation"/>
    <x v="26"/>
    <n v="7124"/>
    <n v="11.3"/>
    <n v="96"/>
    <x v="1"/>
    <n v="25803"/>
    <x v="0"/>
    <x v="0"/>
  </r>
  <r>
    <s v="P-0773"/>
    <s v="Dr. Mcguire"/>
    <s v="Orthopedics"/>
    <x v="0"/>
    <n v="36"/>
    <s v="Medicare"/>
    <s v="Surgery"/>
    <x v="4"/>
    <n v="4047"/>
    <n v="20.09"/>
    <n v="60"/>
    <x v="0"/>
    <n v="22773"/>
    <x v="1"/>
    <x v="0"/>
  </r>
  <r>
    <s v="P-0774"/>
    <s v="Dr. Cherry"/>
    <s v="Orthopedics"/>
    <x v="1"/>
    <n v="29"/>
    <s v="Medicaid"/>
    <s v="Therapy"/>
    <x v="18"/>
    <n v="5209"/>
    <n v="13.85"/>
    <n v="98"/>
    <x v="1"/>
    <n v="27748"/>
    <x v="0"/>
    <x v="0"/>
  </r>
  <r>
    <s v="P-0775"/>
    <s v="Dr. Byrd"/>
    <s v="Radiology"/>
    <x v="1"/>
    <n v="18"/>
    <s v="Medicaid"/>
    <s v="Specialist Consultation"/>
    <x v="18"/>
    <n v="3145"/>
    <n v="15.35"/>
    <n v="59"/>
    <x v="0"/>
    <n v="17377"/>
    <x v="0"/>
    <x v="1"/>
  </r>
  <r>
    <s v="P-0226"/>
    <s v="Dr. Holloway"/>
    <s v="Pediatrics"/>
    <x v="1"/>
    <n v="7"/>
    <s v="Private"/>
    <s v="Routine Checkup"/>
    <x v="4"/>
    <n v="2495"/>
    <n v="4.3099999999999996"/>
    <n v="55"/>
    <x v="2"/>
    <n v="13020"/>
    <x v="1"/>
    <x v="1"/>
  </r>
  <r>
    <s v="P-0777"/>
    <s v="Dr. Bradshaw"/>
    <s v="Orthopedics"/>
    <x v="0"/>
    <n v="77"/>
    <s v="Medicare"/>
    <s v="Diagnostics"/>
    <x v="0"/>
    <n v="4539"/>
    <n v="17.45"/>
    <n v="83"/>
    <x v="0"/>
    <n v="20422"/>
    <x v="0"/>
    <x v="0"/>
  </r>
  <r>
    <s v="P-0351"/>
    <s v="Dr. Reyes"/>
    <s v="Pediatrics"/>
    <x v="1"/>
    <n v="7"/>
    <s v="Medicare"/>
    <s v="Surgery"/>
    <x v="33"/>
    <n v="3234"/>
    <n v="2.69"/>
    <n v="66"/>
    <x v="2"/>
    <n v="12704"/>
    <x v="1"/>
    <x v="1"/>
  </r>
  <r>
    <s v="P-0779"/>
    <s v="Dr. Cherry"/>
    <s v="Orthopedics"/>
    <x v="1"/>
    <n v="40"/>
    <s v="Private"/>
    <s v="Emergency Care"/>
    <x v="10"/>
    <n v="7029"/>
    <n v="14.21"/>
    <n v="68"/>
    <x v="0"/>
    <n v="19770"/>
    <x v="2"/>
    <x v="0"/>
  </r>
  <r>
    <s v="P-0780"/>
    <s v="Dr. Reyes"/>
    <s v="Radiology"/>
    <x v="0"/>
    <n v="14"/>
    <s v="Medicaid"/>
    <s v="Emergency Care"/>
    <x v="19"/>
    <n v="2986"/>
    <n v="2.0099999999999998"/>
    <n v="38"/>
    <x v="0"/>
    <n v="8401"/>
    <x v="1"/>
    <x v="1"/>
  </r>
  <r>
    <s v="P-0781"/>
    <s v="Dr. Villa"/>
    <s v="General Surgery"/>
    <x v="1"/>
    <n v="31"/>
    <s v="Medicare"/>
    <s v="Surgery"/>
    <x v="24"/>
    <n v="6281"/>
    <n v="16.12"/>
    <n v="89"/>
    <x v="0"/>
    <n v="19241"/>
    <x v="0"/>
    <x v="0"/>
  </r>
  <r>
    <s v="P-0782"/>
    <s v="Dr. Reyes"/>
    <s v="Radiology"/>
    <x v="0"/>
    <n v="58"/>
    <s v="Medicaid"/>
    <s v="Routine Checkup"/>
    <x v="6"/>
    <n v="2587"/>
    <n v="1.1399999999999999"/>
    <n v="46"/>
    <x v="2"/>
    <n v="15472"/>
    <x v="1"/>
    <x v="0"/>
  </r>
  <r>
    <s v="P-0574"/>
    <s v="Dr. Lopez"/>
    <s v="Pediatrics"/>
    <x v="0"/>
    <n v="7"/>
    <s v="Medicaid"/>
    <s v="Specialist Consultation"/>
    <x v="9"/>
    <n v="2667"/>
    <n v="15.76"/>
    <n v="48"/>
    <x v="0"/>
    <n v="12592"/>
    <x v="2"/>
    <x v="1"/>
  </r>
  <r>
    <s v="P-0662"/>
    <s v="Dr. Holloway"/>
    <s v="Pediatrics"/>
    <x v="0"/>
    <n v="7"/>
    <s v="Medicare"/>
    <s v="Specialist Consultation"/>
    <x v="22"/>
    <n v="2970"/>
    <n v="9.9600000000000009"/>
    <n v="45"/>
    <x v="0"/>
    <n v="10559"/>
    <x v="1"/>
    <x v="1"/>
  </r>
  <r>
    <s v="P-0785"/>
    <s v="Dr. Wright"/>
    <s v="Neurology"/>
    <x v="1"/>
    <n v="38"/>
    <s v="Private"/>
    <s v="Specialist Consultation"/>
    <x v="31"/>
    <n v="5130"/>
    <n v="16.71"/>
    <n v="105"/>
    <x v="1"/>
    <n v="26054"/>
    <x v="0"/>
    <x v="0"/>
  </r>
  <r>
    <s v="P-0786"/>
    <s v="Dr. Vaughn"/>
    <s v="Orthopedics"/>
    <x v="0"/>
    <n v="50"/>
    <s v="Private"/>
    <s v="Specialist Consultation"/>
    <x v="4"/>
    <n v="5809"/>
    <n v="10.050000000000001"/>
    <n v="74"/>
    <x v="1"/>
    <n v="20945"/>
    <x v="1"/>
    <x v="0"/>
  </r>
  <r>
    <s v="P-0710"/>
    <s v="Dr. King"/>
    <s v="Pediatrics"/>
    <x v="0"/>
    <n v="7"/>
    <s v="Private"/>
    <s v="Surgery"/>
    <x v="10"/>
    <n v="3603"/>
    <n v="13.13"/>
    <n v="66"/>
    <x v="0"/>
    <n v="10440"/>
    <x v="2"/>
    <x v="1"/>
  </r>
  <r>
    <s v="P-0788"/>
    <s v="Dr. Mcguire"/>
    <s v="Orthopedics"/>
    <x v="0"/>
    <n v="38"/>
    <s v="Medicare"/>
    <s v="Diagnostics"/>
    <x v="17"/>
    <n v="5245"/>
    <n v="10.83"/>
    <n v="35"/>
    <x v="0"/>
    <n v="15141"/>
    <x v="2"/>
    <x v="0"/>
  </r>
  <r>
    <s v="P-0789"/>
    <s v="Dr. Vaughn"/>
    <s v="Orthopedics"/>
    <x v="1"/>
    <n v="41"/>
    <s v="Private"/>
    <s v="Surgery"/>
    <x v="17"/>
    <n v="7635"/>
    <n v="10.79"/>
    <n v="45"/>
    <x v="2"/>
    <n v="28004"/>
    <x v="2"/>
    <x v="0"/>
  </r>
  <r>
    <s v="P-0790"/>
    <s v="Dr. Rose"/>
    <s v="Emergency"/>
    <x v="0"/>
    <n v="66"/>
    <s v="Medicaid"/>
    <s v="Emergency Care"/>
    <x v="13"/>
    <n v="3421"/>
    <n v="23.77"/>
    <n v="95"/>
    <x v="1"/>
    <n v="19717"/>
    <x v="0"/>
    <x v="0"/>
  </r>
  <r>
    <s v="P-0791"/>
    <s v="Dr. Webb"/>
    <s v="General Surgery"/>
    <x v="0"/>
    <n v="53"/>
    <s v="Medicaid"/>
    <s v="Surgery"/>
    <x v="12"/>
    <n v="13629"/>
    <n v="8"/>
    <n v="109"/>
    <x v="0"/>
    <n v="43481"/>
    <x v="2"/>
    <x v="0"/>
  </r>
  <r>
    <s v="P-0792"/>
    <s v="Dr. Mcguire"/>
    <s v="Orthopedics"/>
    <x v="1"/>
    <n v="58"/>
    <s v="Private"/>
    <s v="Routine Checkup"/>
    <x v="2"/>
    <n v="6823"/>
    <n v="11.4"/>
    <n v="53"/>
    <x v="0"/>
    <n v="38992"/>
    <x v="1"/>
    <x v="0"/>
  </r>
  <r>
    <s v="P-0793"/>
    <s v="Dr. Hamilton"/>
    <s v="Oncology"/>
    <x v="1"/>
    <n v="72"/>
    <s v="Medicaid"/>
    <s v="Surgery"/>
    <x v="2"/>
    <n v="5870"/>
    <n v="5.29"/>
    <n v="49"/>
    <x v="0"/>
    <n v="19333"/>
    <x v="1"/>
    <x v="0"/>
  </r>
  <r>
    <s v="P-0794"/>
    <s v="Dr. Wright"/>
    <s v="Neurology"/>
    <x v="0"/>
    <n v="66"/>
    <s v="Private"/>
    <s v="Emergency Care"/>
    <x v="9"/>
    <n v="7093"/>
    <n v="14"/>
    <n v="60"/>
    <x v="0"/>
    <n v="40299"/>
    <x v="2"/>
    <x v="0"/>
  </r>
  <r>
    <s v="P-0795"/>
    <s v="Dr. Villa"/>
    <s v="General Surgery"/>
    <x v="0"/>
    <n v="7"/>
    <s v="Private"/>
    <s v="Diagnostics"/>
    <x v="9"/>
    <n v="6862"/>
    <n v="15.41"/>
    <n v="101"/>
    <x v="0"/>
    <n v="29237"/>
    <x v="2"/>
    <x v="1"/>
  </r>
  <r>
    <s v="P-0796"/>
    <s v="Dr. Lawrence"/>
    <s v="Emergency"/>
    <x v="1"/>
    <n v="49"/>
    <s v="Private"/>
    <s v="Routine Checkup"/>
    <x v="20"/>
    <n v="4136"/>
    <n v="16.37"/>
    <n v="95"/>
    <x v="1"/>
    <n v="13106"/>
    <x v="0"/>
    <x v="0"/>
  </r>
  <r>
    <s v="P-0797"/>
    <s v="Dr. Lara"/>
    <s v="Neurology"/>
    <x v="0"/>
    <n v="29"/>
    <s v="Private"/>
    <s v="Routine Checkup"/>
    <x v="3"/>
    <n v="5577"/>
    <n v="17.579999999999998"/>
    <n v="107"/>
    <x v="1"/>
    <n v="32353"/>
    <x v="0"/>
    <x v="0"/>
  </r>
  <r>
    <s v="P-0798"/>
    <s v="Dr. Holmes"/>
    <s v="Radiology"/>
    <x v="1"/>
    <n v="25"/>
    <s v="Medicare"/>
    <s v="Surgery"/>
    <x v="22"/>
    <n v="964"/>
    <n v="8.11"/>
    <n v="37"/>
    <x v="1"/>
    <n v="5433"/>
    <x v="1"/>
    <x v="0"/>
  </r>
  <r>
    <s v="P-0799"/>
    <s v="Dr. Lawrence"/>
    <s v="Emergency"/>
    <x v="0"/>
    <n v="29"/>
    <s v="Medicaid"/>
    <s v="Diagnostics"/>
    <x v="23"/>
    <n v="3019"/>
    <n v="15.53"/>
    <n v="74"/>
    <x v="0"/>
    <n v="10321"/>
    <x v="2"/>
    <x v="0"/>
  </r>
  <r>
    <s v="P-0800"/>
    <s v="Dr. Hicks"/>
    <s v="Emergency"/>
    <x v="0"/>
    <n v="53"/>
    <s v="Medicaid"/>
    <s v="Routine Checkup"/>
    <x v="13"/>
    <n v="1676"/>
    <n v="15.9"/>
    <n v="117"/>
    <x v="1"/>
    <n v="5203"/>
    <x v="0"/>
    <x v="0"/>
  </r>
  <r>
    <s v="P-0801"/>
    <s v="Dr. Lawrence"/>
    <s v="Emergency"/>
    <x v="0"/>
    <n v="60"/>
    <s v="Private"/>
    <s v="Routine Checkup"/>
    <x v="3"/>
    <n v="2555"/>
    <n v="25.07"/>
    <n v="105"/>
    <x v="1"/>
    <n v="11892"/>
    <x v="0"/>
    <x v="0"/>
  </r>
  <r>
    <s v="P-0767"/>
    <s v="Dr. Reyes"/>
    <s v="Pediatrics"/>
    <x v="1"/>
    <n v="7"/>
    <s v="Medicare"/>
    <s v="Specialist Consultation"/>
    <x v="32"/>
    <n v="2691"/>
    <n v="3.2"/>
    <n v="49"/>
    <x v="2"/>
    <n v="7793"/>
    <x v="1"/>
    <x v="1"/>
  </r>
  <r>
    <s v="P-0803"/>
    <s v="Dr. Cherry"/>
    <s v="Orthopedics"/>
    <x v="1"/>
    <n v="24"/>
    <s v="Private"/>
    <s v="Diagnostics"/>
    <x v="4"/>
    <n v="5956"/>
    <n v="14.64"/>
    <n v="70"/>
    <x v="0"/>
    <n v="25270"/>
    <x v="1"/>
    <x v="0"/>
  </r>
  <r>
    <s v="P-0804"/>
    <s v="Dr. Mcguire"/>
    <s v="Orthopedics"/>
    <x v="0"/>
    <n v="64"/>
    <s v="Medicaid"/>
    <s v="Therapy"/>
    <x v="12"/>
    <n v="6467"/>
    <n v="15.3"/>
    <n v="63"/>
    <x v="0"/>
    <n v="33444"/>
    <x v="2"/>
    <x v="0"/>
  </r>
  <r>
    <s v="P-0853"/>
    <s v="Dr. Holloway"/>
    <s v="Pediatrics"/>
    <x v="1"/>
    <n v="7"/>
    <s v="Private"/>
    <s v="Surgery"/>
    <x v="27"/>
    <n v="2024"/>
    <n v="0"/>
    <n v="61"/>
    <x v="2"/>
    <n v="7392"/>
    <x v="1"/>
    <x v="1"/>
  </r>
  <r>
    <s v="P-0806"/>
    <s v="Dr. Villa"/>
    <s v="General Surgery"/>
    <x v="0"/>
    <n v="57"/>
    <s v="Private"/>
    <s v="Surgery"/>
    <x v="10"/>
    <n v="11131"/>
    <n v="21.14"/>
    <n v="52"/>
    <x v="0"/>
    <n v="43399"/>
    <x v="2"/>
    <x v="0"/>
  </r>
  <r>
    <s v="P-0807"/>
    <s v="Dr. Monroe"/>
    <s v="Emergency"/>
    <x v="1"/>
    <n v="47"/>
    <s v="Private"/>
    <s v="Routine Checkup"/>
    <x v="26"/>
    <n v="3001"/>
    <n v="16.46"/>
    <n v="118"/>
    <x v="0"/>
    <n v="14439"/>
    <x v="0"/>
    <x v="0"/>
  </r>
  <r>
    <s v="P-0808"/>
    <s v="Dr. Rose"/>
    <s v="Emergency"/>
    <x v="0"/>
    <n v="16"/>
    <s v="Private"/>
    <s v="Diagnostics"/>
    <x v="10"/>
    <n v="3061"/>
    <n v="18.579999999999998"/>
    <n v="107"/>
    <x v="1"/>
    <n v="12324"/>
    <x v="2"/>
    <x v="1"/>
  </r>
  <r>
    <s v="P-0809"/>
    <s v="Dr. Snyder"/>
    <s v="Emergency"/>
    <x v="0"/>
    <n v="59"/>
    <s v="Medicare"/>
    <s v="Therapy"/>
    <x v="3"/>
    <n v="3615"/>
    <n v="12.47"/>
    <n v="120"/>
    <x v="0"/>
    <n v="14471"/>
    <x v="0"/>
    <x v="0"/>
  </r>
  <r>
    <s v="P-0810"/>
    <s v="Dr. Rose"/>
    <s v="Emergency"/>
    <x v="2"/>
    <n v="20"/>
    <s v="Medicaid"/>
    <s v="Emergency Care"/>
    <x v="2"/>
    <n v="2949"/>
    <n v="14.86"/>
    <n v="107"/>
    <x v="0"/>
    <n v="16781"/>
    <x v="1"/>
    <x v="0"/>
  </r>
  <r>
    <s v="P-0811"/>
    <s v="Dr. Lawrence"/>
    <s v="Emergency"/>
    <x v="0"/>
    <n v="68"/>
    <s v="Medicare"/>
    <s v="Surgery"/>
    <x v="13"/>
    <n v="3853"/>
    <n v="20.51"/>
    <n v="79"/>
    <x v="1"/>
    <n v="16827"/>
    <x v="0"/>
    <x v="0"/>
  </r>
  <r>
    <s v="P-0812"/>
    <s v="Dr. Reyes"/>
    <s v="Radiology"/>
    <x v="0"/>
    <n v="31"/>
    <s v="Medicare"/>
    <s v="Specialist Consultation"/>
    <x v="5"/>
    <n v="2189"/>
    <n v="8.4499999999999993"/>
    <n v="29"/>
    <x v="0"/>
    <n v="12104"/>
    <x v="1"/>
    <x v="0"/>
  </r>
  <r>
    <s v="P-0813"/>
    <s v="Dr. Adams"/>
    <s v="Neurology"/>
    <x v="0"/>
    <n v="41"/>
    <s v="Medicaid"/>
    <s v="Emergency Care"/>
    <x v="22"/>
    <n v="8179"/>
    <n v="12"/>
    <n v="87"/>
    <x v="0"/>
    <n v="47917"/>
    <x v="1"/>
    <x v="0"/>
  </r>
  <r>
    <s v="P-0814"/>
    <s v="Dr. Mcguire"/>
    <s v="Orthopedics"/>
    <x v="0"/>
    <n v="54"/>
    <s v="Medicaid"/>
    <s v="Therapy"/>
    <x v="7"/>
    <n v="5306"/>
    <n v="11.97"/>
    <n v="101"/>
    <x v="0"/>
    <n v="16092"/>
    <x v="2"/>
    <x v="0"/>
  </r>
  <r>
    <s v="P-0815"/>
    <s v="Dr. Vaughn"/>
    <s v="Orthopedics"/>
    <x v="0"/>
    <n v="20"/>
    <s v="Private"/>
    <s v="Surgery"/>
    <x v="12"/>
    <n v="8027"/>
    <n v="18.68"/>
    <n v="94"/>
    <x v="0"/>
    <n v="27511"/>
    <x v="2"/>
    <x v="0"/>
  </r>
  <r>
    <s v="P-0816"/>
    <s v="Dr. Mccarty"/>
    <s v="Cardiology"/>
    <x v="0"/>
    <n v="78"/>
    <s v="Private"/>
    <s v="Diagnostics"/>
    <x v="27"/>
    <n v="8576"/>
    <n v="18.600000000000001"/>
    <n v="38"/>
    <x v="0"/>
    <n v="25960"/>
    <x v="1"/>
    <x v="0"/>
  </r>
  <r>
    <s v="P-0817"/>
    <s v="Dr. Garcia"/>
    <s v="Cardiology"/>
    <x v="0"/>
    <n v="41"/>
    <s v="Medicaid"/>
    <s v="Routine Checkup"/>
    <x v="10"/>
    <n v="6910"/>
    <n v="10.199999999999999"/>
    <n v="97"/>
    <x v="0"/>
    <n v="39763"/>
    <x v="2"/>
    <x v="0"/>
  </r>
  <r>
    <s v="P-0818"/>
    <s v="Dr. Vaughn"/>
    <s v="Orthopedics"/>
    <x v="2"/>
    <n v="8"/>
    <s v="Medicare"/>
    <s v="Specialist Consultation"/>
    <x v="21"/>
    <n v="6251"/>
    <n v="10.95"/>
    <n v="12"/>
    <x v="0"/>
    <n v="35554"/>
    <x v="1"/>
    <x v="1"/>
  </r>
  <r>
    <s v="P-0819"/>
    <s v="Dr. Reyes"/>
    <s v="Radiology"/>
    <x v="1"/>
    <n v="45"/>
    <s v="Medicaid"/>
    <s v="Surgery"/>
    <x v="22"/>
    <n v="3043"/>
    <n v="7.77"/>
    <n v="58"/>
    <x v="0"/>
    <n v="7972"/>
    <x v="1"/>
    <x v="0"/>
  </r>
  <r>
    <s v="P-0820"/>
    <s v="Dr. Clark"/>
    <s v="Oncology"/>
    <x v="1"/>
    <n v="20"/>
    <s v="Private"/>
    <s v="Emergency Care"/>
    <x v="21"/>
    <n v="7235"/>
    <n v="9.51"/>
    <n v="79"/>
    <x v="0"/>
    <n v="19972"/>
    <x v="1"/>
    <x v="0"/>
  </r>
  <r>
    <s v="P-0821"/>
    <s v="Dr. Garcia"/>
    <s v="Cardiology"/>
    <x v="0"/>
    <n v="18"/>
    <s v="Medicaid"/>
    <s v="Surgery"/>
    <x v="2"/>
    <n v="9660"/>
    <n v="20.09"/>
    <n v="85"/>
    <x v="0"/>
    <n v="35496"/>
    <x v="1"/>
    <x v="1"/>
  </r>
  <r>
    <s v="P-0822"/>
    <s v="Dr. Lawson"/>
    <s v="Neurology"/>
    <x v="0"/>
    <n v="37"/>
    <s v="Private"/>
    <s v="Specialist Consultation"/>
    <x v="31"/>
    <n v="9345"/>
    <n v="14.07"/>
    <n v="120"/>
    <x v="0"/>
    <n v="26168"/>
    <x v="0"/>
    <x v="0"/>
  </r>
  <r>
    <s v="P-0823"/>
    <s v="Dr. Wang"/>
    <s v="Cardiology"/>
    <x v="0"/>
    <n v="29"/>
    <s v="Medicare"/>
    <s v="Diagnostics"/>
    <x v="14"/>
    <n v="8574"/>
    <n v="9.0299999999999994"/>
    <n v="92"/>
    <x v="0"/>
    <n v="21710"/>
    <x v="2"/>
    <x v="0"/>
  </r>
  <r>
    <s v="P-0824"/>
    <s v="Dr. Mcguire"/>
    <s v="Orthopedics"/>
    <x v="1"/>
    <n v="16"/>
    <s v="Private"/>
    <s v="Emergency Care"/>
    <x v="5"/>
    <n v="6583"/>
    <n v="10.7"/>
    <n v="88"/>
    <x v="0"/>
    <n v="37615"/>
    <x v="1"/>
    <x v="1"/>
  </r>
  <r>
    <s v="P-0825"/>
    <s v="Dr. Brooks"/>
    <s v="Orthopedics"/>
    <x v="0"/>
    <n v="19"/>
    <s v="Medicare"/>
    <s v="Surgery"/>
    <x v="4"/>
    <n v="7078"/>
    <n v="12.15"/>
    <n v="67"/>
    <x v="2"/>
    <n v="40175"/>
    <x v="1"/>
    <x v="0"/>
  </r>
  <r>
    <s v="P-0826"/>
    <s v="Dr. Garcia"/>
    <s v="Cardiology"/>
    <x v="0"/>
    <n v="46"/>
    <s v="Private"/>
    <s v="Emergency Care"/>
    <x v="0"/>
    <n v="6677"/>
    <n v="19.88"/>
    <n v="64"/>
    <x v="0"/>
    <n v="23192"/>
    <x v="0"/>
    <x v="0"/>
  </r>
  <r>
    <s v="P-0827"/>
    <s v="Dr. Adams"/>
    <s v="Neurology"/>
    <x v="1"/>
    <n v="52"/>
    <s v="Medicare"/>
    <s v="Therapy"/>
    <x v="7"/>
    <n v="6083"/>
    <n v="7.88"/>
    <n v="86"/>
    <x v="0"/>
    <n v="25564"/>
    <x v="2"/>
    <x v="0"/>
  </r>
  <r>
    <s v="P-0828"/>
    <s v="Dr. Bradshaw"/>
    <s v="Orthopedics"/>
    <x v="1"/>
    <n v="57"/>
    <s v="Medicare"/>
    <s v="Routine Checkup"/>
    <x v="10"/>
    <n v="7786"/>
    <n v="16.45"/>
    <n v="82"/>
    <x v="0"/>
    <n v="26681"/>
    <x v="2"/>
    <x v="0"/>
  </r>
  <r>
    <s v="P-0829"/>
    <s v="Dr. Kidd"/>
    <s v="Cardiology"/>
    <x v="1"/>
    <n v="48"/>
    <s v="Medicare"/>
    <s v="Diagnostics"/>
    <x v="22"/>
    <n v="5904"/>
    <n v="18.829999999999998"/>
    <n v="90"/>
    <x v="0"/>
    <n v="30670"/>
    <x v="1"/>
    <x v="0"/>
  </r>
  <r>
    <s v="P-0830"/>
    <s v="Dr. Holmes"/>
    <s v="Radiology"/>
    <x v="0"/>
    <n v="38"/>
    <s v="Medicaid"/>
    <s v="Routine Checkup"/>
    <x v="0"/>
    <n v="2537"/>
    <n v="10.27"/>
    <n v="55"/>
    <x v="1"/>
    <n v="11501"/>
    <x v="0"/>
    <x v="0"/>
  </r>
  <r>
    <s v="P-0831"/>
    <s v="Dr. Lopez"/>
    <s v="Cardiology"/>
    <x v="0"/>
    <n v="32"/>
    <s v="Private"/>
    <s v="Routine Checkup"/>
    <x v="26"/>
    <n v="9026"/>
    <n v="19.75"/>
    <n v="116"/>
    <x v="0"/>
    <n v="49725"/>
    <x v="0"/>
    <x v="0"/>
  </r>
  <r>
    <s v="P-0832"/>
    <s v="Dr. Kidd"/>
    <s v="Cardiology"/>
    <x v="0"/>
    <n v="11"/>
    <s v="Medicare"/>
    <s v="Therapy"/>
    <x v="23"/>
    <n v="6850"/>
    <n v="9.52"/>
    <n v="79"/>
    <x v="0"/>
    <n v="35099"/>
    <x v="2"/>
    <x v="1"/>
  </r>
  <r>
    <s v="P-0833"/>
    <s v="Dr. Webb"/>
    <s v="General Surgery"/>
    <x v="0"/>
    <n v="43"/>
    <s v="Medicare"/>
    <s v="Therapy"/>
    <x v="10"/>
    <n v="9013"/>
    <n v="11.09"/>
    <n v="76"/>
    <x v="1"/>
    <n v="47140"/>
    <x v="2"/>
    <x v="0"/>
  </r>
  <r>
    <s v="P-0834"/>
    <s v="Dr. Monroe"/>
    <s v="Emergency"/>
    <x v="0"/>
    <n v="30"/>
    <s v="Medicare"/>
    <s v="Emergency Care"/>
    <x v="13"/>
    <n v="3614"/>
    <n v="20.98"/>
    <n v="124"/>
    <x v="3"/>
    <n v="16688"/>
    <x v="0"/>
    <x v="0"/>
  </r>
  <r>
    <s v="P-0835"/>
    <s v="Dr. Holmes"/>
    <s v="Radiology"/>
    <x v="1"/>
    <n v="32"/>
    <s v="Medicare"/>
    <s v="Specialist Consultation"/>
    <x v="14"/>
    <n v="1840"/>
    <n v="5.08"/>
    <n v="101"/>
    <x v="2"/>
    <n v="5444"/>
    <x v="2"/>
    <x v="0"/>
  </r>
  <r>
    <s v="P-0923"/>
    <s v="Dr. Lopez"/>
    <s v="Pediatrics"/>
    <x v="1"/>
    <n v="7"/>
    <s v="Medicare"/>
    <s v="Diagnostics"/>
    <x v="10"/>
    <n v="2905"/>
    <n v="9.23"/>
    <n v="75"/>
    <x v="0"/>
    <n v="16349"/>
    <x v="2"/>
    <x v="1"/>
  </r>
  <r>
    <s v="P-0837"/>
    <s v="Dr. Hamilton"/>
    <s v="Oncology"/>
    <x v="0"/>
    <n v="70"/>
    <s v="Medicaid"/>
    <s v="Specialist Consultation"/>
    <x v="12"/>
    <n v="5970"/>
    <n v="13.33"/>
    <n v="70"/>
    <x v="1"/>
    <n v="18006"/>
    <x v="2"/>
    <x v="0"/>
  </r>
  <r>
    <s v="P-0838"/>
    <s v="Dr. Kidd"/>
    <s v="Cardiology"/>
    <x v="0"/>
    <n v="68"/>
    <s v="Private"/>
    <s v="Surgery"/>
    <x v="20"/>
    <n v="7399"/>
    <n v="16.559999999999999"/>
    <n v="125"/>
    <x v="1"/>
    <n v="26325"/>
    <x v="0"/>
    <x v="0"/>
  </r>
  <r>
    <s v="P-0998"/>
    <s v="Dr. Holloway"/>
    <s v="Pediatrics"/>
    <x v="0"/>
    <n v="7"/>
    <s v="Private"/>
    <s v="Surgery"/>
    <x v="35"/>
    <n v="4006"/>
    <n v="4.71"/>
    <n v="36"/>
    <x v="0"/>
    <n v="22318"/>
    <x v="1"/>
    <x v="1"/>
  </r>
  <r>
    <s v="P-0840"/>
    <s v="Dr. Lawrence"/>
    <s v="Emergency"/>
    <x v="0"/>
    <n v="90"/>
    <s v="Private"/>
    <s v="Therapy"/>
    <x v="10"/>
    <n v="3761"/>
    <n v="21.41"/>
    <n v="98"/>
    <x v="0"/>
    <n v="21323"/>
    <x v="2"/>
    <x v="0"/>
  </r>
  <r>
    <s v="P-0841"/>
    <s v="Dr. Horton"/>
    <s v="General Surgery"/>
    <x v="0"/>
    <n v="46"/>
    <s v="Private"/>
    <s v="Surgery"/>
    <x v="10"/>
    <n v="10542"/>
    <n v="18.59"/>
    <n v="74"/>
    <x v="0"/>
    <n v="57842"/>
    <x v="2"/>
    <x v="0"/>
  </r>
  <r>
    <s v="P-0111"/>
    <s v="Dr. Reyes"/>
    <s v="Pediatrics"/>
    <x v="0"/>
    <n v="6"/>
    <s v="Private"/>
    <s v="Routine Checkup"/>
    <x v="23"/>
    <n v="2623"/>
    <n v="15.25"/>
    <n v="95"/>
    <x v="0"/>
    <n v="13896"/>
    <x v="2"/>
    <x v="1"/>
  </r>
  <r>
    <s v="P-0843"/>
    <s v="Dr. Tran"/>
    <s v="Oncology"/>
    <x v="0"/>
    <n v="36"/>
    <s v="Medicare"/>
    <s v="Routine Checkup"/>
    <x v="0"/>
    <n v="6772"/>
    <n v="11.58"/>
    <n v="114"/>
    <x v="1"/>
    <n v="28422"/>
    <x v="0"/>
    <x v="0"/>
  </r>
  <r>
    <s v="P-0844"/>
    <s v="Dr. Kidd"/>
    <s v="Cardiology"/>
    <x v="1"/>
    <n v="17"/>
    <s v="Medicaid"/>
    <s v="Surgery"/>
    <x v="10"/>
    <n v="7142"/>
    <n v="17.329999999999998"/>
    <n v="62"/>
    <x v="0"/>
    <n v="39727"/>
    <x v="2"/>
    <x v="1"/>
  </r>
  <r>
    <s v="P-0845"/>
    <s v="Dr. Kidd"/>
    <s v="Cardiology"/>
    <x v="1"/>
    <n v="33"/>
    <s v="Private"/>
    <s v="Surgery"/>
    <x v="3"/>
    <n v="7811"/>
    <n v="21.65"/>
    <n v="79"/>
    <x v="0"/>
    <n v="23368"/>
    <x v="0"/>
    <x v="0"/>
  </r>
  <r>
    <s v="P-0846"/>
    <s v="Dr. Lawrence"/>
    <s v="Emergency"/>
    <x v="1"/>
    <n v="20"/>
    <s v="Private"/>
    <s v="Therapy"/>
    <x v="3"/>
    <n v="5662"/>
    <n v="19.12"/>
    <n v="120"/>
    <x v="0"/>
    <n v="30850"/>
    <x v="0"/>
    <x v="0"/>
  </r>
  <r>
    <s v="P-0847"/>
    <s v="Dr. Lawrence"/>
    <s v="Emergency"/>
    <x v="0"/>
    <n v="37"/>
    <s v="Medicaid"/>
    <s v="Specialist Consultation"/>
    <x v="0"/>
    <n v="3487"/>
    <n v="14.09"/>
    <n v="114"/>
    <x v="1"/>
    <n v="13161"/>
    <x v="0"/>
    <x v="0"/>
  </r>
  <r>
    <s v="P-0848"/>
    <s v="Dr. Vaughn"/>
    <s v="Orthopedics"/>
    <x v="0"/>
    <n v="26"/>
    <s v="Medicaid"/>
    <s v="Specialist Consultation"/>
    <x v="22"/>
    <n v="4012"/>
    <n v="9.9499999999999993"/>
    <n v="81"/>
    <x v="0"/>
    <n v="10468"/>
    <x v="1"/>
    <x v="0"/>
  </r>
  <r>
    <s v="P-0849"/>
    <s v="Dr. Villa"/>
    <s v="General Surgery"/>
    <x v="1"/>
    <n v="45"/>
    <s v="Private"/>
    <s v="Routine Checkup"/>
    <x v="9"/>
    <n v="7233"/>
    <n v="11.38"/>
    <n v="105"/>
    <x v="0"/>
    <n v="29290"/>
    <x v="2"/>
    <x v="0"/>
  </r>
  <r>
    <s v="P-0850"/>
    <s v="Dr. Villa"/>
    <s v="General Surgery"/>
    <x v="0"/>
    <n v="13"/>
    <s v="Medicaid"/>
    <s v="Therapy"/>
    <x v="25"/>
    <n v="8296"/>
    <n v="17.73"/>
    <n v="151"/>
    <x v="1"/>
    <n v="42172"/>
    <x v="0"/>
    <x v="1"/>
  </r>
  <r>
    <s v="P-0851"/>
    <s v="Dr. Villa"/>
    <s v="General Surgery"/>
    <x v="0"/>
    <n v="51"/>
    <s v="Private"/>
    <s v="Emergency Care"/>
    <x v="23"/>
    <n v="9813"/>
    <n v="15.58"/>
    <n v="68"/>
    <x v="0"/>
    <n v="36632"/>
    <x v="2"/>
    <x v="0"/>
  </r>
  <r>
    <s v="P-0852"/>
    <s v="Dr. Pierce"/>
    <s v="Oncology"/>
    <x v="1"/>
    <n v="61"/>
    <s v="Medicaid"/>
    <s v="Diagnostics"/>
    <x v="27"/>
    <n v="9085"/>
    <n v="14.21"/>
    <n v="54"/>
    <x v="0"/>
    <n v="38271"/>
    <x v="1"/>
    <x v="0"/>
  </r>
  <r>
    <s v="P-0365"/>
    <s v="Dr. Reyes"/>
    <s v="Pediatrics"/>
    <x v="1"/>
    <n v="6"/>
    <s v="Private"/>
    <s v="Emergency Care"/>
    <x v="17"/>
    <n v="3329"/>
    <n v="6.98"/>
    <n v="70"/>
    <x v="0"/>
    <n v="12452"/>
    <x v="2"/>
    <x v="1"/>
  </r>
  <r>
    <s v="P-0854"/>
    <s v="Dr. Lara"/>
    <s v="Neurology"/>
    <x v="1"/>
    <n v="44"/>
    <s v="Medicaid"/>
    <s v="Routine Checkup"/>
    <x v="23"/>
    <n v="4866"/>
    <n v="15.67"/>
    <n v="78"/>
    <x v="0"/>
    <n v="19894"/>
    <x v="2"/>
    <x v="0"/>
  </r>
  <r>
    <s v="P-0855"/>
    <s v="Dr. Pierce"/>
    <s v="Oncology"/>
    <x v="0"/>
    <n v="68"/>
    <s v="Medicare"/>
    <s v="Routine Checkup"/>
    <x v="35"/>
    <n v="4313"/>
    <n v="12.56"/>
    <n v="82"/>
    <x v="2"/>
    <n v="13636"/>
    <x v="1"/>
    <x v="0"/>
  </r>
  <r>
    <s v="P-0856"/>
    <s v="Dr. Webb"/>
    <s v="General Surgery"/>
    <x v="0"/>
    <n v="50"/>
    <s v="Private"/>
    <s v="Surgery"/>
    <x v="20"/>
    <n v="7594"/>
    <n v="18.04"/>
    <n v="108"/>
    <x v="0"/>
    <n v="21076"/>
    <x v="0"/>
    <x v="0"/>
  </r>
  <r>
    <s v="P-0857"/>
    <s v="Dr. Rose"/>
    <s v="Emergency"/>
    <x v="1"/>
    <n v="1"/>
    <s v="Medicare"/>
    <s v="Surgery"/>
    <x v="25"/>
    <n v="2929"/>
    <n v="18.7"/>
    <n v="123"/>
    <x v="1"/>
    <n v="17441"/>
    <x v="0"/>
    <x v="1"/>
  </r>
  <r>
    <s v="P-0858"/>
    <s v="Dr. Lara"/>
    <s v="Neurology"/>
    <x v="1"/>
    <n v="81"/>
    <s v="Medicaid"/>
    <s v="Emergency Care"/>
    <x v="22"/>
    <n v="5655"/>
    <n v="13.88"/>
    <n v="101"/>
    <x v="0"/>
    <n v="14626"/>
    <x v="1"/>
    <x v="0"/>
  </r>
  <r>
    <s v="P-0859"/>
    <s v="Dr. Byrd"/>
    <s v="Radiology"/>
    <x v="0"/>
    <n v="48"/>
    <s v="Medicaid"/>
    <s v="Routine Checkup"/>
    <x v="10"/>
    <n v="2381"/>
    <n v="4.5199999999999996"/>
    <n v="72"/>
    <x v="0"/>
    <n v="6499"/>
    <x v="2"/>
    <x v="0"/>
  </r>
  <r>
    <s v="P-0860"/>
    <s v="Dr. Adams"/>
    <s v="Neurology"/>
    <x v="1"/>
    <n v="58"/>
    <s v="Medicaid"/>
    <s v="Therapy"/>
    <x v="10"/>
    <n v="4266"/>
    <n v="10.19"/>
    <n v="125"/>
    <x v="1"/>
    <n v="25158"/>
    <x v="2"/>
    <x v="0"/>
  </r>
  <r>
    <s v="P-0511"/>
    <s v="Dr. Reyes"/>
    <s v="Pediatrics"/>
    <x v="0"/>
    <n v="6"/>
    <s v="Private"/>
    <s v="Diagnostics"/>
    <x v="22"/>
    <n v="3306"/>
    <n v="15.74"/>
    <n v="49"/>
    <x v="0"/>
    <n v="9106"/>
    <x v="1"/>
    <x v="1"/>
  </r>
  <r>
    <s v="P-0862"/>
    <s v="Dr. Hamilton"/>
    <s v="Oncology"/>
    <x v="1"/>
    <n v="7"/>
    <s v="Medicare"/>
    <s v="Diagnostics"/>
    <x v="3"/>
    <n v="6575"/>
    <n v="16.510000000000002"/>
    <n v="88"/>
    <x v="0"/>
    <n v="26005"/>
    <x v="0"/>
    <x v="1"/>
  </r>
  <r>
    <s v="P-0863"/>
    <s v="Dr. Webb"/>
    <s v="General Surgery"/>
    <x v="1"/>
    <n v="1"/>
    <s v="Medicaid"/>
    <s v="Specialist Consultation"/>
    <x v="2"/>
    <n v="8458"/>
    <n v="14.47"/>
    <n v="84"/>
    <x v="2"/>
    <n v="29618"/>
    <x v="1"/>
    <x v="1"/>
  </r>
  <r>
    <s v="P-0864"/>
    <s v="Dr. Vaughn"/>
    <s v="Orthopedics"/>
    <x v="0"/>
    <n v="17"/>
    <s v="Medicaid"/>
    <s v="Specialist Consultation"/>
    <x v="7"/>
    <n v="5809"/>
    <n v="12.87"/>
    <n v="71"/>
    <x v="1"/>
    <n v="17112"/>
    <x v="2"/>
    <x v="1"/>
  </r>
  <r>
    <s v="P-0865"/>
    <s v="Dr. Anderson"/>
    <s v="Oncology"/>
    <x v="1"/>
    <n v="32"/>
    <s v="Medicaid"/>
    <s v="Diagnostics"/>
    <x v="15"/>
    <n v="8576"/>
    <n v="10.36"/>
    <n v="84"/>
    <x v="0"/>
    <n v="38171"/>
    <x v="1"/>
    <x v="0"/>
  </r>
  <r>
    <s v="P-0805"/>
    <s v="Dr. Lopez"/>
    <s v="Pediatrics"/>
    <x v="0"/>
    <n v="6"/>
    <s v="Private"/>
    <s v="Diagnostics"/>
    <x v="14"/>
    <n v="2898"/>
    <n v="14.55"/>
    <n v="49"/>
    <x v="0"/>
    <n v="15556"/>
    <x v="2"/>
    <x v="1"/>
  </r>
  <r>
    <s v="P-0988"/>
    <s v="Dr. Reyes"/>
    <s v="Pediatrics"/>
    <x v="2"/>
    <n v="6"/>
    <s v="Medicare"/>
    <s v="Routine Checkup"/>
    <x v="22"/>
    <n v="3024"/>
    <n v="6.63"/>
    <n v="64"/>
    <x v="2"/>
    <n v="10988"/>
    <x v="1"/>
    <x v="1"/>
  </r>
  <r>
    <s v="P-0868"/>
    <s v="Dr. Byrd"/>
    <s v="Radiology"/>
    <x v="1"/>
    <n v="17"/>
    <s v="Medicare"/>
    <s v="Emergency Care"/>
    <x v="37"/>
    <n v="3050"/>
    <n v="3.48"/>
    <n v="16"/>
    <x v="2"/>
    <n v="11191"/>
    <x v="1"/>
    <x v="1"/>
  </r>
  <r>
    <s v="P-0869"/>
    <s v="Dr. Garcia"/>
    <s v="Cardiology"/>
    <x v="1"/>
    <n v="45"/>
    <s v="Private"/>
    <s v="Specialist Consultation"/>
    <x v="10"/>
    <n v="6901"/>
    <n v="5.91"/>
    <n v="106"/>
    <x v="0"/>
    <n v="25536"/>
    <x v="2"/>
    <x v="0"/>
  </r>
  <r>
    <s v="P-0870"/>
    <s v="Dr. Monroe"/>
    <s v="Emergency"/>
    <x v="1"/>
    <n v="41"/>
    <s v="Private"/>
    <s v="Diagnostics"/>
    <x v="3"/>
    <n v="1705"/>
    <n v="17.61"/>
    <n v="88"/>
    <x v="0"/>
    <n v="9999"/>
    <x v="0"/>
    <x v="0"/>
  </r>
  <r>
    <s v="P-0871"/>
    <s v="Dr. Cherry"/>
    <s v="Orthopedics"/>
    <x v="0"/>
    <n v="70"/>
    <s v="Medicaid"/>
    <s v="Diagnostics"/>
    <x v="4"/>
    <n v="5718"/>
    <n v="8.43"/>
    <n v="83"/>
    <x v="1"/>
    <n v="31528"/>
    <x v="1"/>
    <x v="0"/>
  </r>
  <r>
    <s v="P-0872"/>
    <s v="Dr. Tran"/>
    <s v="Oncology"/>
    <x v="1"/>
    <n v="37"/>
    <s v="Medicare"/>
    <s v="Emergency Care"/>
    <x v="18"/>
    <n v="8809"/>
    <n v="21.96"/>
    <n v="89"/>
    <x v="1"/>
    <n v="51200"/>
    <x v="0"/>
    <x v="0"/>
  </r>
  <r>
    <s v="P-0873"/>
    <s v="Dr. Tran"/>
    <s v="Oncology"/>
    <x v="1"/>
    <n v="9"/>
    <s v="Medicaid"/>
    <s v="Specialist Consultation"/>
    <x v="15"/>
    <n v="9075"/>
    <n v="14.67"/>
    <n v="62"/>
    <x v="0"/>
    <n v="31747"/>
    <x v="1"/>
    <x v="1"/>
  </r>
  <r>
    <s v="P-0874"/>
    <s v="Dr. Bradshaw"/>
    <s v="Orthopedics"/>
    <x v="0"/>
    <n v="59"/>
    <s v="Medicare"/>
    <s v="Surgery"/>
    <x v="37"/>
    <n v="5810"/>
    <n v="9.86"/>
    <n v="61"/>
    <x v="2"/>
    <n v="29341"/>
    <x v="1"/>
    <x v="0"/>
  </r>
  <r>
    <s v="P-0787"/>
    <s v="Dr. Holloway"/>
    <s v="Pediatrics"/>
    <x v="1"/>
    <n v="5"/>
    <s v="Private"/>
    <s v="Specialist Consultation"/>
    <x v="10"/>
    <n v="3100"/>
    <n v="12.65"/>
    <n v="67"/>
    <x v="0"/>
    <n v="12073"/>
    <x v="2"/>
    <x v="1"/>
  </r>
  <r>
    <s v="P-0876"/>
    <s v="Dr. Tran"/>
    <s v="Oncology"/>
    <x v="0"/>
    <n v="39"/>
    <s v="Medicare"/>
    <s v="Routine Checkup"/>
    <x v="4"/>
    <n v="9983"/>
    <n v="14"/>
    <n v="71"/>
    <x v="0"/>
    <n v="37220"/>
    <x v="1"/>
    <x v="0"/>
  </r>
  <r>
    <s v="P-0938"/>
    <s v="Dr. Holloway"/>
    <s v="Pediatrics"/>
    <x v="0"/>
    <n v="5"/>
    <s v="Medicaid"/>
    <s v="Specialist Consultation"/>
    <x v="15"/>
    <n v="2779"/>
    <n v="6.16"/>
    <n v="57"/>
    <x v="0"/>
    <n v="13374"/>
    <x v="1"/>
    <x v="1"/>
  </r>
  <r>
    <s v="P-0878"/>
    <s v="Dr. Hamilton"/>
    <s v="Oncology"/>
    <x v="1"/>
    <n v="50"/>
    <s v="Medicaid"/>
    <s v="Emergency Care"/>
    <x v="33"/>
    <n v="10775"/>
    <n v="10.1"/>
    <n v="82"/>
    <x v="0"/>
    <n v="43892"/>
    <x v="1"/>
    <x v="0"/>
  </r>
  <r>
    <s v="P-0879"/>
    <s v="Dr. Adams"/>
    <s v="Neurology"/>
    <x v="0"/>
    <n v="45"/>
    <s v="Private"/>
    <s v="Surgery"/>
    <x v="4"/>
    <n v="8278"/>
    <n v="15.5"/>
    <n v="62"/>
    <x v="2"/>
    <n v="23980"/>
    <x v="1"/>
    <x v="0"/>
  </r>
  <r>
    <s v="P-0880"/>
    <s v="Dr. Snyder"/>
    <s v="Emergency"/>
    <x v="1"/>
    <n v="45"/>
    <s v="Medicare"/>
    <s v="Routine Checkup"/>
    <x v="41"/>
    <n v="3423"/>
    <n v="16.489999999999998"/>
    <n v="146"/>
    <x v="1"/>
    <n v="17498"/>
    <x v="0"/>
    <x v="0"/>
  </r>
  <r>
    <s v="P-0881"/>
    <s v="Dr. Davis"/>
    <s v="Neurology"/>
    <x v="0"/>
    <n v="78"/>
    <s v="Private"/>
    <s v="Diagnostics"/>
    <x v="13"/>
    <n v="6811"/>
    <n v="16.95"/>
    <n v="102"/>
    <x v="0"/>
    <n v="17058"/>
    <x v="0"/>
    <x v="0"/>
  </r>
  <r>
    <s v="P-0882"/>
    <s v="Dr. Webb"/>
    <s v="General Surgery"/>
    <x v="1"/>
    <n v="46"/>
    <s v="Medicare"/>
    <s v="Therapy"/>
    <x v="24"/>
    <n v="7504"/>
    <n v="24.05"/>
    <n v="74"/>
    <x v="0"/>
    <n v="20708"/>
    <x v="0"/>
    <x v="0"/>
  </r>
  <r>
    <s v="P-0883"/>
    <s v="Dr. Rose"/>
    <s v="Emergency"/>
    <x v="0"/>
    <n v="53"/>
    <s v="Medicare"/>
    <s v="Surgery"/>
    <x v="20"/>
    <n v="3876"/>
    <n v="19.23"/>
    <n v="102"/>
    <x v="0"/>
    <n v="17561"/>
    <x v="0"/>
    <x v="0"/>
  </r>
  <r>
    <s v="P-0274"/>
    <s v="Dr. King"/>
    <s v="Pediatrics"/>
    <x v="1"/>
    <n v="4"/>
    <s v="Medicaid"/>
    <s v="Diagnostics"/>
    <x v="34"/>
    <n v="2022"/>
    <n v="13.09"/>
    <n v="36"/>
    <x v="0"/>
    <n v="6049"/>
    <x v="1"/>
    <x v="1"/>
  </r>
  <r>
    <s v="P-0885"/>
    <s v="Dr. Anderson"/>
    <s v="Oncology"/>
    <x v="0"/>
    <n v="26"/>
    <s v="Medicaid"/>
    <s v="Routine Checkup"/>
    <x v="7"/>
    <n v="7657"/>
    <n v="17.350000000000001"/>
    <n v="69"/>
    <x v="1"/>
    <n v="27732"/>
    <x v="2"/>
    <x v="0"/>
  </r>
  <r>
    <s v="P-0886"/>
    <s v="Dr. Byrd"/>
    <s v="Radiology"/>
    <x v="0"/>
    <n v="66"/>
    <s v="Private"/>
    <s v="Diagnostics"/>
    <x v="6"/>
    <n v="1911"/>
    <n v="5.91"/>
    <n v="41"/>
    <x v="2"/>
    <n v="9129"/>
    <x v="1"/>
    <x v="0"/>
  </r>
  <r>
    <s v="P-0887"/>
    <s v="Dr. Anderson"/>
    <s v="Oncology"/>
    <x v="0"/>
    <n v="42"/>
    <s v="Medicare"/>
    <s v="Diagnostics"/>
    <x v="5"/>
    <n v="8399"/>
    <n v="15.6"/>
    <n v="99"/>
    <x v="0"/>
    <n v="30568"/>
    <x v="1"/>
    <x v="0"/>
  </r>
  <r>
    <s v="P-0888"/>
    <s v="Dr. Cherry"/>
    <s v="Orthopedics"/>
    <x v="0"/>
    <n v="42"/>
    <s v="Medicaid"/>
    <s v="Therapy"/>
    <x v="12"/>
    <n v="5336"/>
    <n v="12.61"/>
    <n v="69"/>
    <x v="0"/>
    <n v="19553"/>
    <x v="2"/>
    <x v="0"/>
  </r>
  <r>
    <s v="P-0889"/>
    <s v="Dr. Smith"/>
    <s v="General Surgery"/>
    <x v="0"/>
    <n v="12"/>
    <s v="Medicaid"/>
    <s v="Emergency Care"/>
    <x v="26"/>
    <n v="9904"/>
    <n v="13.44"/>
    <n v="86"/>
    <x v="0"/>
    <n v="35838"/>
    <x v="0"/>
    <x v="1"/>
  </r>
  <r>
    <s v="P-0890"/>
    <s v="Dr. Wang"/>
    <s v="Cardiology"/>
    <x v="1"/>
    <n v="30"/>
    <s v="Medicaid"/>
    <s v="Therapy"/>
    <x v="23"/>
    <n v="7824"/>
    <n v="18.91"/>
    <n v="88"/>
    <x v="0"/>
    <n v="37890"/>
    <x v="2"/>
    <x v="0"/>
  </r>
  <r>
    <s v="P-0891"/>
    <s v="Dr. Pierce"/>
    <s v="Oncology"/>
    <x v="0"/>
    <n v="89"/>
    <s v="Medicare"/>
    <s v="Surgery"/>
    <x v="12"/>
    <n v="8175"/>
    <n v="12.33"/>
    <n v="72"/>
    <x v="2"/>
    <n v="30666"/>
    <x v="2"/>
    <x v="0"/>
  </r>
  <r>
    <s v="P-0892"/>
    <s v="Dr. Kidd"/>
    <s v="Cardiology"/>
    <x v="1"/>
    <n v="62"/>
    <s v="Medicaid"/>
    <s v="Diagnostics"/>
    <x v="22"/>
    <n v="8050"/>
    <n v="17.559999999999999"/>
    <n v="58"/>
    <x v="0"/>
    <n v="35941"/>
    <x v="1"/>
    <x v="0"/>
  </r>
  <r>
    <s v="P-0893"/>
    <s v="Dr. Rose"/>
    <s v="Emergency"/>
    <x v="0"/>
    <n v="46"/>
    <s v="Medicare"/>
    <s v="Therapy"/>
    <x v="13"/>
    <n v="5349"/>
    <n v="20.39"/>
    <n v="130"/>
    <x v="0"/>
    <n v="24884"/>
    <x v="0"/>
    <x v="0"/>
  </r>
  <r>
    <s v="P-0894"/>
    <s v="Dr. Horton"/>
    <s v="General Surgery"/>
    <x v="1"/>
    <n v="26"/>
    <s v="Medicaid"/>
    <s v="Routine Checkup"/>
    <x v="29"/>
    <n v="10371"/>
    <n v="20.3"/>
    <n v="94"/>
    <x v="1"/>
    <n v="56339"/>
    <x v="0"/>
    <x v="0"/>
  </r>
  <r>
    <s v="P-0340"/>
    <s v="Dr. Holloway"/>
    <s v="Pediatrics"/>
    <x v="0"/>
    <n v="4"/>
    <s v="Medicaid"/>
    <s v="Therapy"/>
    <x v="23"/>
    <n v="4091"/>
    <n v="8.16"/>
    <n v="86"/>
    <x v="0"/>
    <n v="21682"/>
    <x v="2"/>
    <x v="1"/>
  </r>
  <r>
    <s v="P-0896"/>
    <s v="Dr. Lawrence"/>
    <s v="Emergency"/>
    <x v="1"/>
    <n v="59"/>
    <s v="Medicaid"/>
    <s v="Routine Checkup"/>
    <x v="26"/>
    <n v="3188"/>
    <n v="17.43"/>
    <n v="135"/>
    <x v="1"/>
    <n v="16472"/>
    <x v="0"/>
    <x v="0"/>
  </r>
  <r>
    <s v="P-0897"/>
    <s v="Dr. Reyes"/>
    <s v="Radiology"/>
    <x v="1"/>
    <n v="69"/>
    <s v="Medicaid"/>
    <s v="Specialist Consultation"/>
    <x v="15"/>
    <n v="2452"/>
    <n v="3.67"/>
    <n v="47"/>
    <x v="0"/>
    <n v="6751"/>
    <x v="1"/>
    <x v="0"/>
  </r>
  <r>
    <s v="P-0898"/>
    <s v="Dr. Reyes"/>
    <s v="Radiology"/>
    <x v="0"/>
    <n v="42"/>
    <s v="Private"/>
    <s v="Emergency Care"/>
    <x v="15"/>
    <n v="2516"/>
    <n v="6.21"/>
    <n v="60"/>
    <x v="0"/>
    <n v="7520"/>
    <x v="1"/>
    <x v="0"/>
  </r>
  <r>
    <s v="P-0899"/>
    <s v="Dr. Villa"/>
    <s v="General Surgery"/>
    <x v="1"/>
    <n v="41"/>
    <s v="Private"/>
    <s v="Emergency Care"/>
    <x v="26"/>
    <n v="9129"/>
    <n v="19.95"/>
    <n v="77"/>
    <x v="0"/>
    <n v="22847"/>
    <x v="0"/>
    <x v="0"/>
  </r>
  <r>
    <s v="P-0900"/>
    <s v="Dr. Wright"/>
    <s v="Neurology"/>
    <x v="0"/>
    <n v="59"/>
    <s v="Medicaid"/>
    <s v="Routine Checkup"/>
    <x v="23"/>
    <n v="7311"/>
    <n v="10.6"/>
    <n v="94"/>
    <x v="0"/>
    <n v="22472"/>
    <x v="2"/>
    <x v="0"/>
  </r>
  <r>
    <s v="P-0901"/>
    <s v="Dr. Mcguire"/>
    <s v="Orthopedics"/>
    <x v="1"/>
    <n v="27"/>
    <s v="Medicaid"/>
    <s v="Surgery"/>
    <x v="14"/>
    <n v="8805"/>
    <n v="8.56"/>
    <n v="96"/>
    <x v="0"/>
    <n v="31339"/>
    <x v="2"/>
    <x v="0"/>
  </r>
  <r>
    <s v="P-0902"/>
    <s v="Dr. Reyes"/>
    <s v="Radiology"/>
    <x v="1"/>
    <n v="25"/>
    <s v="Medicaid"/>
    <s v="Emergency Care"/>
    <x v="9"/>
    <n v="2119"/>
    <n v="6.54"/>
    <n v="54"/>
    <x v="0"/>
    <n v="10847"/>
    <x v="2"/>
    <x v="0"/>
  </r>
  <r>
    <s v="P-0903"/>
    <s v="Dr. Rose"/>
    <s v="Emergency"/>
    <x v="1"/>
    <n v="56"/>
    <s v="Medicaid"/>
    <s v="Therapy"/>
    <x v="13"/>
    <n v="3419"/>
    <n v="18.59"/>
    <n v="103"/>
    <x v="0"/>
    <n v="13232"/>
    <x v="0"/>
    <x v="0"/>
  </r>
  <r>
    <s v="P-0904"/>
    <s v="Dr. Lawrence"/>
    <s v="Emergency"/>
    <x v="1"/>
    <n v="64"/>
    <s v="Medicaid"/>
    <s v="Emergency Care"/>
    <x v="41"/>
    <n v="2490"/>
    <n v="21.31"/>
    <n v="135"/>
    <x v="1"/>
    <n v="12491"/>
    <x v="0"/>
    <x v="0"/>
  </r>
  <r>
    <s v="P-0905"/>
    <s v="Dr. Brooks"/>
    <s v="Orthopedics"/>
    <x v="0"/>
    <n v="82"/>
    <s v="Medicare"/>
    <s v="Surgery"/>
    <x v="5"/>
    <n v="5037"/>
    <n v="7.41"/>
    <n v="75"/>
    <x v="0"/>
    <n v="28411"/>
    <x v="1"/>
    <x v="0"/>
  </r>
  <r>
    <s v="P-0906"/>
    <s v="Dr. Holmes"/>
    <s v="Radiology"/>
    <x v="0"/>
    <n v="1"/>
    <s v="Private"/>
    <s v="Surgery"/>
    <x v="33"/>
    <n v="1430"/>
    <n v="4.42"/>
    <n v="68"/>
    <x v="2"/>
    <n v="4672"/>
    <x v="1"/>
    <x v="1"/>
  </r>
  <r>
    <s v="P-0907"/>
    <s v="Dr. Davis"/>
    <s v="Neurology"/>
    <x v="1"/>
    <n v="82"/>
    <s v="Medicaid"/>
    <s v="Surgery"/>
    <x v="4"/>
    <n v="5495"/>
    <n v="11.52"/>
    <n v="72"/>
    <x v="0"/>
    <n v="18679"/>
    <x v="1"/>
    <x v="0"/>
  </r>
  <r>
    <s v="P-0908"/>
    <s v="Dr. Cherry"/>
    <s v="Orthopedics"/>
    <x v="1"/>
    <n v="15"/>
    <s v="Medicaid"/>
    <s v="Specialist Consultation"/>
    <x v="3"/>
    <n v="3988"/>
    <n v="12.43"/>
    <n v="67"/>
    <x v="0"/>
    <n v="15290"/>
    <x v="0"/>
    <x v="1"/>
  </r>
  <r>
    <s v="P-0374"/>
    <s v="Dr. Lopez"/>
    <s v="Pediatrics"/>
    <x v="0"/>
    <n v="4"/>
    <s v="Medicaid"/>
    <s v="Routine Checkup"/>
    <x v="36"/>
    <n v="2972"/>
    <n v="4.9400000000000004"/>
    <n v="65"/>
    <x v="2"/>
    <n v="14593"/>
    <x v="1"/>
    <x v="1"/>
  </r>
  <r>
    <s v="P-0910"/>
    <s v="Dr. Garcia"/>
    <s v="Cardiology"/>
    <x v="1"/>
    <n v="18"/>
    <s v="Medicaid"/>
    <s v="Surgery"/>
    <x v="24"/>
    <n v="10133"/>
    <n v="12.24"/>
    <n v="77"/>
    <x v="0"/>
    <n v="56155"/>
    <x v="0"/>
    <x v="1"/>
  </r>
  <r>
    <s v="P-0911"/>
    <s v="Dr. Wang"/>
    <s v="Cardiology"/>
    <x v="1"/>
    <n v="10"/>
    <s v="Medicaid"/>
    <s v="Specialist Consultation"/>
    <x v="24"/>
    <n v="6914"/>
    <n v="13"/>
    <n v="124"/>
    <x v="0"/>
    <n v="37422"/>
    <x v="0"/>
    <x v="1"/>
  </r>
  <r>
    <s v="P-0420"/>
    <s v="Dr. Lopez"/>
    <s v="Pediatrics"/>
    <x v="0"/>
    <n v="4"/>
    <s v="Medicare"/>
    <s v="Routine Checkup"/>
    <x v="22"/>
    <n v="2606"/>
    <n v="5.07"/>
    <n v="59"/>
    <x v="2"/>
    <n v="10768"/>
    <x v="1"/>
    <x v="1"/>
  </r>
  <r>
    <s v="P-0913"/>
    <s v="Dr. Adams"/>
    <s v="Neurology"/>
    <x v="1"/>
    <n v="16"/>
    <s v="Medicaid"/>
    <s v="Diagnostics"/>
    <x v="24"/>
    <n v="6111"/>
    <n v="13.57"/>
    <n v="80"/>
    <x v="1"/>
    <n v="22931"/>
    <x v="0"/>
    <x v="1"/>
  </r>
  <r>
    <s v="P-0914"/>
    <s v="Dr. Pierce"/>
    <s v="Oncology"/>
    <x v="1"/>
    <n v="46"/>
    <s v="Medicaid"/>
    <s v="Emergency Care"/>
    <x v="17"/>
    <n v="11287"/>
    <n v="16.329999999999998"/>
    <n v="99"/>
    <x v="0"/>
    <n v="29986"/>
    <x v="2"/>
    <x v="0"/>
  </r>
  <r>
    <s v="P-0915"/>
    <s v="Dr. Smith"/>
    <s v="General Surgery"/>
    <x v="1"/>
    <n v="43"/>
    <s v="Medicaid"/>
    <s v="Emergency Care"/>
    <x v="18"/>
    <n v="10770"/>
    <n v="17.5"/>
    <n v="81"/>
    <x v="1"/>
    <n v="38859"/>
    <x v="0"/>
    <x v="0"/>
  </r>
  <r>
    <s v="P-0916"/>
    <s v="Dr. Bradshaw"/>
    <s v="Orthopedics"/>
    <x v="1"/>
    <n v="23"/>
    <s v="Medicaid"/>
    <s v="Surgery"/>
    <x v="10"/>
    <n v="7705"/>
    <n v="12.07"/>
    <n v="68"/>
    <x v="1"/>
    <n v="42151"/>
    <x v="2"/>
    <x v="0"/>
  </r>
  <r>
    <s v="P-0700"/>
    <s v="Dr. Owens"/>
    <s v="Pediatrics"/>
    <x v="1"/>
    <n v="4"/>
    <s v="Medicaid"/>
    <s v="Diagnostics"/>
    <x v="21"/>
    <n v="3468"/>
    <n v="4.13"/>
    <n v="34"/>
    <x v="2"/>
    <n v="10212"/>
    <x v="1"/>
    <x v="1"/>
  </r>
  <r>
    <s v="P-0918"/>
    <s v="Dr. Wang"/>
    <s v="Cardiology"/>
    <x v="0"/>
    <n v="35"/>
    <s v="Private"/>
    <s v="Diagnostics"/>
    <x v="10"/>
    <n v="8461"/>
    <n v="15.91"/>
    <n v="110"/>
    <x v="1"/>
    <n v="22612"/>
    <x v="2"/>
    <x v="0"/>
  </r>
  <r>
    <s v="P-0919"/>
    <s v="Dr. Horton"/>
    <s v="General Surgery"/>
    <x v="1"/>
    <n v="29"/>
    <s v="Medicaid"/>
    <s v="Diagnostics"/>
    <x v="17"/>
    <n v="8610"/>
    <n v="13.24"/>
    <n v="102"/>
    <x v="0"/>
    <n v="26902"/>
    <x v="2"/>
    <x v="0"/>
  </r>
  <r>
    <s v="P-0920"/>
    <s v="Dr. Davis"/>
    <s v="Neurology"/>
    <x v="0"/>
    <n v="58"/>
    <s v="Medicare"/>
    <s v="Surgery"/>
    <x v="10"/>
    <n v="6982"/>
    <n v="16.98"/>
    <n v="81"/>
    <x v="0"/>
    <n v="36253"/>
    <x v="2"/>
    <x v="0"/>
  </r>
  <r>
    <s v="P-0921"/>
    <s v="Dr. Lawson"/>
    <s v="Neurology"/>
    <x v="1"/>
    <n v="11"/>
    <s v="Private"/>
    <s v="Specialist Consultation"/>
    <x v="6"/>
    <n v="5759"/>
    <n v="13.57"/>
    <n v="110"/>
    <x v="2"/>
    <n v="21640"/>
    <x v="1"/>
    <x v="1"/>
  </r>
  <r>
    <s v="P-0922"/>
    <s v="Dr. Reyes"/>
    <s v="Radiology"/>
    <x v="0"/>
    <n v="1"/>
    <s v="Private"/>
    <s v="Specialist Consultation"/>
    <x v="15"/>
    <n v="2879"/>
    <n v="6.07"/>
    <n v="36"/>
    <x v="0"/>
    <n v="8616"/>
    <x v="1"/>
    <x v="1"/>
  </r>
  <r>
    <s v="P-0970"/>
    <s v="Dr. Owens"/>
    <s v="Pediatrics"/>
    <x v="1"/>
    <n v="4"/>
    <s v="Medicaid"/>
    <s v="Surgery"/>
    <x v="10"/>
    <n v="3308"/>
    <n v="14.2"/>
    <n v="35"/>
    <x v="0"/>
    <n v="10896"/>
    <x v="2"/>
    <x v="1"/>
  </r>
  <r>
    <s v="P-0924"/>
    <s v="Dr. Smith"/>
    <s v="General Surgery"/>
    <x v="1"/>
    <n v="85"/>
    <s v="Medicaid"/>
    <s v="Therapy"/>
    <x v="13"/>
    <n v="8498"/>
    <n v="18.059999999999999"/>
    <n v="102"/>
    <x v="1"/>
    <n v="35178"/>
    <x v="0"/>
    <x v="0"/>
  </r>
  <r>
    <s v="P-0925"/>
    <s v="Dr. Wang"/>
    <s v="Cardiology"/>
    <x v="0"/>
    <n v="36"/>
    <s v="Private"/>
    <s v="Therapy"/>
    <x v="3"/>
    <n v="8274"/>
    <n v="15.27"/>
    <n v="86"/>
    <x v="0"/>
    <n v="47377"/>
    <x v="0"/>
    <x v="0"/>
  </r>
  <r>
    <s v="P-0926"/>
    <s v="Dr. Hamilton"/>
    <s v="Oncology"/>
    <x v="0"/>
    <n v="61"/>
    <s v="Medicaid"/>
    <s v="Emergency Care"/>
    <x v="10"/>
    <n v="6530"/>
    <n v="16.559999999999999"/>
    <n v="98"/>
    <x v="1"/>
    <n v="21346"/>
    <x v="2"/>
    <x v="0"/>
  </r>
  <r>
    <s v="P-0927"/>
    <s v="Dr. Garcia"/>
    <s v="Cardiology"/>
    <x v="0"/>
    <n v="73"/>
    <s v="Medicaid"/>
    <s v="Emergency Care"/>
    <x v="9"/>
    <n v="6661"/>
    <n v="21.87"/>
    <n v="78"/>
    <x v="0"/>
    <n v="31917"/>
    <x v="2"/>
    <x v="0"/>
  </r>
  <r>
    <s v="P-0928"/>
    <s v="Dr. Byrd"/>
    <s v="Radiology"/>
    <x v="1"/>
    <n v="29"/>
    <s v="Private"/>
    <s v="Therapy"/>
    <x v="15"/>
    <n v="2138"/>
    <n v="3.6"/>
    <n v="26"/>
    <x v="0"/>
    <n v="8752"/>
    <x v="1"/>
    <x v="0"/>
  </r>
  <r>
    <s v="P-0929"/>
    <s v="Dr. Vaughn"/>
    <s v="Orthopedics"/>
    <x v="0"/>
    <n v="64"/>
    <s v="Medicaid"/>
    <s v="Surgery"/>
    <x v="3"/>
    <n v="3663"/>
    <n v="15.91"/>
    <n v="97"/>
    <x v="0"/>
    <n v="18048"/>
    <x v="0"/>
    <x v="0"/>
  </r>
  <r>
    <s v="P-0930"/>
    <s v="Dr. Wright"/>
    <s v="Neurology"/>
    <x v="1"/>
    <n v="86"/>
    <s v="Medicaid"/>
    <s v="Specialist Consultation"/>
    <x v="12"/>
    <n v="7397"/>
    <n v="10.65"/>
    <n v="74"/>
    <x v="2"/>
    <n v="34485"/>
    <x v="2"/>
    <x v="0"/>
  </r>
  <r>
    <s v="P-0931"/>
    <s v="Dr. Cherry"/>
    <s v="Orthopedics"/>
    <x v="1"/>
    <n v="64"/>
    <s v="Medicaid"/>
    <s v="Emergency Care"/>
    <x v="10"/>
    <n v="7480"/>
    <n v="11.97"/>
    <n v="72"/>
    <x v="0"/>
    <n v="24723"/>
    <x v="2"/>
    <x v="0"/>
  </r>
  <r>
    <s v="P-0932"/>
    <s v="Dr. Reyes"/>
    <s v="Radiology"/>
    <x v="0"/>
    <n v="68"/>
    <s v="Medicaid"/>
    <s v="Routine Checkup"/>
    <x v="6"/>
    <n v="2569"/>
    <n v="0"/>
    <n v="38"/>
    <x v="2"/>
    <n v="12196"/>
    <x v="1"/>
    <x v="0"/>
  </r>
  <r>
    <s v="P-0933"/>
    <s v="Dr. Davis"/>
    <s v="Neurology"/>
    <x v="1"/>
    <n v="36"/>
    <s v="Private"/>
    <s v="Routine Checkup"/>
    <x v="12"/>
    <n v="6351"/>
    <n v="15.34"/>
    <n v="84"/>
    <x v="0"/>
    <n v="23578"/>
    <x v="2"/>
    <x v="0"/>
  </r>
  <r>
    <s v="P-0934"/>
    <s v="Dr. Lara"/>
    <s v="Neurology"/>
    <x v="0"/>
    <n v="36"/>
    <s v="Private"/>
    <s v="Routine Checkup"/>
    <x v="10"/>
    <n v="6889"/>
    <n v="12.69"/>
    <n v="126"/>
    <x v="0"/>
    <n v="26810"/>
    <x v="2"/>
    <x v="0"/>
  </r>
  <r>
    <s v="P-0935"/>
    <s v="Dr. Webb"/>
    <s v="General Surgery"/>
    <x v="1"/>
    <n v="21"/>
    <s v="Medicare"/>
    <s v="Routine Checkup"/>
    <x v="1"/>
    <n v="14003"/>
    <n v="12.85"/>
    <n v="80"/>
    <x v="0"/>
    <n v="81501"/>
    <x v="0"/>
    <x v="0"/>
  </r>
  <r>
    <s v="P-0936"/>
    <s v="Dr. Monroe"/>
    <s v="Emergency"/>
    <x v="0"/>
    <n v="44"/>
    <s v="Medicare"/>
    <s v="Surgery"/>
    <x v="20"/>
    <n v="3080"/>
    <n v="10.14"/>
    <n v="103"/>
    <x v="0"/>
    <n v="12172"/>
    <x v="0"/>
    <x v="0"/>
  </r>
  <r>
    <s v="P-0937"/>
    <s v="Dr. Horton"/>
    <s v="General Surgery"/>
    <x v="0"/>
    <n v="62"/>
    <s v="Private"/>
    <s v="Specialist Consultation"/>
    <x v="9"/>
    <n v="8077"/>
    <n v="19.73"/>
    <n v="117"/>
    <x v="2"/>
    <n v="30644"/>
    <x v="2"/>
    <x v="0"/>
  </r>
  <r>
    <s v="P-0220"/>
    <s v="Dr. King"/>
    <s v="Pediatrics"/>
    <x v="0"/>
    <n v="3"/>
    <s v="Medicaid"/>
    <s v="Diagnostics"/>
    <x v="36"/>
    <n v="3113"/>
    <n v="10.31"/>
    <n v="32"/>
    <x v="0"/>
    <n v="16342"/>
    <x v="1"/>
    <x v="1"/>
  </r>
  <r>
    <s v="P-0939"/>
    <s v="Dr. Brooks"/>
    <s v="Orthopedics"/>
    <x v="0"/>
    <n v="41"/>
    <s v="Medicaid"/>
    <s v="Routine Checkup"/>
    <x v="14"/>
    <n v="6429"/>
    <n v="12.26"/>
    <n v="96"/>
    <x v="0"/>
    <n v="17940"/>
    <x v="2"/>
    <x v="0"/>
  </r>
  <r>
    <s v="P-0940"/>
    <s v="Dr. Holmes"/>
    <s v="Radiology"/>
    <x v="1"/>
    <n v="39"/>
    <s v="Medicaid"/>
    <s v="Emergency Care"/>
    <x v="2"/>
    <n v="3128"/>
    <n v="6.35"/>
    <n v="18"/>
    <x v="0"/>
    <n v="13237"/>
    <x v="1"/>
    <x v="0"/>
  </r>
  <r>
    <s v="P-0941"/>
    <s v="Dr. Mcguire"/>
    <s v="Orthopedics"/>
    <x v="2"/>
    <n v="61"/>
    <s v="Private"/>
    <s v="Therapy"/>
    <x v="26"/>
    <n v="3669"/>
    <n v="11.98"/>
    <n v="90"/>
    <x v="1"/>
    <n v="18560"/>
    <x v="0"/>
    <x v="0"/>
  </r>
  <r>
    <s v="P-0942"/>
    <s v="Dr. Reyes"/>
    <s v="Radiology"/>
    <x v="0"/>
    <n v="31"/>
    <s v="Medicare"/>
    <s v="Surgery"/>
    <x v="2"/>
    <n v="1583"/>
    <n v="6.04"/>
    <n v="34"/>
    <x v="0"/>
    <n v="7586"/>
    <x v="1"/>
    <x v="0"/>
  </r>
  <r>
    <s v="P-0943"/>
    <s v="Dr. Smith"/>
    <s v="General Surgery"/>
    <x v="1"/>
    <n v="37"/>
    <s v="Private"/>
    <s v="Surgery"/>
    <x v="26"/>
    <n v="9938"/>
    <n v="22.35"/>
    <n v="105"/>
    <x v="0"/>
    <n v="48548"/>
    <x v="0"/>
    <x v="0"/>
  </r>
  <r>
    <s v="P-0944"/>
    <s v="Dr. Adams"/>
    <s v="Neurology"/>
    <x v="1"/>
    <n v="41"/>
    <s v="Medicaid"/>
    <s v="Diagnostics"/>
    <x v="18"/>
    <n v="6558"/>
    <n v="17.13"/>
    <n v="77"/>
    <x v="0"/>
    <n v="32543"/>
    <x v="0"/>
    <x v="0"/>
  </r>
  <r>
    <s v="P-0945"/>
    <s v="Dr. Anderson"/>
    <s v="Oncology"/>
    <x v="1"/>
    <n v="19"/>
    <s v="Medicare"/>
    <s v="Therapy"/>
    <x v="13"/>
    <n v="8786"/>
    <n v="13.08"/>
    <n v="109"/>
    <x v="1"/>
    <n v="38392"/>
    <x v="0"/>
    <x v="0"/>
  </r>
  <r>
    <s v="P-0946"/>
    <s v="Dr. Lopez"/>
    <s v="Cardiology"/>
    <x v="1"/>
    <n v="56"/>
    <s v="Medicare"/>
    <s v="Specialist Consultation"/>
    <x v="14"/>
    <n v="5016"/>
    <n v="9.33"/>
    <n v="67"/>
    <x v="0"/>
    <n v="20983"/>
    <x v="2"/>
    <x v="0"/>
  </r>
  <r>
    <s v="P-0947"/>
    <s v="Dr. Kidd"/>
    <s v="Cardiology"/>
    <x v="0"/>
    <n v="15"/>
    <s v="Medicare"/>
    <s v="Routine Checkup"/>
    <x v="18"/>
    <n v="7189"/>
    <n v="14.7"/>
    <n v="58"/>
    <x v="0"/>
    <n v="38505"/>
    <x v="0"/>
    <x v="1"/>
  </r>
  <r>
    <s v="P-0948"/>
    <s v="Dr. Lara"/>
    <s v="Neurology"/>
    <x v="1"/>
    <n v="43"/>
    <s v="Private"/>
    <s v="Routine Checkup"/>
    <x v="3"/>
    <n v="7743"/>
    <n v="9.42"/>
    <n v="118"/>
    <x v="1"/>
    <n v="39154"/>
    <x v="0"/>
    <x v="0"/>
  </r>
  <r>
    <s v="P-0949"/>
    <s v="Dr. Adams"/>
    <s v="Neurology"/>
    <x v="0"/>
    <n v="29"/>
    <s v="Private"/>
    <s v="Therapy"/>
    <x v="24"/>
    <n v="3571"/>
    <n v="16.34"/>
    <n v="80"/>
    <x v="0"/>
    <n v="13114"/>
    <x v="0"/>
    <x v="0"/>
  </r>
  <r>
    <s v="P-0950"/>
    <s v="Dr. Lawson"/>
    <s v="Neurology"/>
    <x v="1"/>
    <n v="34"/>
    <s v="Private"/>
    <s v="Therapy"/>
    <x v="22"/>
    <n v="7983"/>
    <n v="10.28"/>
    <n v="65"/>
    <x v="0"/>
    <n v="21798"/>
    <x v="1"/>
    <x v="0"/>
  </r>
  <r>
    <s v="P-0951"/>
    <s v="Dr. Byrd"/>
    <s v="Radiology"/>
    <x v="2"/>
    <n v="37"/>
    <s v="Medicaid"/>
    <s v="Emergency Care"/>
    <x v="2"/>
    <n v="2415"/>
    <n v="7.4"/>
    <n v="19"/>
    <x v="0"/>
    <n v="7111"/>
    <x v="1"/>
    <x v="0"/>
  </r>
  <r>
    <s v="P-0952"/>
    <s v="Dr. Bradshaw"/>
    <s v="Orthopedics"/>
    <x v="1"/>
    <n v="41"/>
    <s v="Medicaid"/>
    <s v="Surgery"/>
    <x v="3"/>
    <n v="5607"/>
    <n v="10.63"/>
    <n v="68"/>
    <x v="0"/>
    <n v="23958"/>
    <x v="0"/>
    <x v="0"/>
  </r>
  <r>
    <s v="P-0953"/>
    <s v="Dr. Webb"/>
    <s v="General Surgery"/>
    <x v="1"/>
    <n v="8"/>
    <s v="Medicare"/>
    <s v="Therapy"/>
    <x v="18"/>
    <n v="10866"/>
    <n v="13.36"/>
    <n v="107"/>
    <x v="0"/>
    <n v="30877"/>
    <x v="0"/>
    <x v="1"/>
  </r>
  <r>
    <s v="P-0954"/>
    <s v="Dr. Davis"/>
    <s v="Neurology"/>
    <x v="0"/>
    <n v="39"/>
    <s v="Private"/>
    <s v="Therapy"/>
    <x v="18"/>
    <n v="3816"/>
    <n v="18.02"/>
    <n v="105"/>
    <x v="1"/>
    <n v="16553"/>
    <x v="0"/>
    <x v="0"/>
  </r>
  <r>
    <s v="P-0955"/>
    <s v="Dr. Cherry"/>
    <s v="Orthopedics"/>
    <x v="0"/>
    <n v="40"/>
    <s v="Medicare"/>
    <s v="Surgery"/>
    <x v="14"/>
    <n v="6482"/>
    <n v="17.28"/>
    <n v="46"/>
    <x v="0"/>
    <n v="32148"/>
    <x v="2"/>
    <x v="0"/>
  </r>
  <r>
    <s v="P-0956"/>
    <s v="Dr. Lopez"/>
    <s v="Cardiology"/>
    <x v="1"/>
    <n v="55"/>
    <s v="Private"/>
    <s v="Emergency Care"/>
    <x v="11"/>
    <n v="7661"/>
    <n v="12.88"/>
    <n v="109"/>
    <x v="1"/>
    <n v="37101"/>
    <x v="0"/>
    <x v="0"/>
  </r>
  <r>
    <s v="P-0957"/>
    <s v="Dr. Monroe"/>
    <s v="Emergency"/>
    <x v="0"/>
    <n v="53"/>
    <s v="Medicaid"/>
    <s v="Specialist Consultation"/>
    <x v="2"/>
    <n v="4245"/>
    <n v="16.97"/>
    <n v="82"/>
    <x v="0"/>
    <n v="11884"/>
    <x v="1"/>
    <x v="0"/>
  </r>
  <r>
    <s v="P-0958"/>
    <s v="Dr. Ward"/>
    <s v="Radiology"/>
    <x v="0"/>
    <n v="56"/>
    <s v="Private"/>
    <s v="Surgery"/>
    <x v="15"/>
    <n v="3152"/>
    <n v="0"/>
    <n v="31"/>
    <x v="2"/>
    <n v="9071"/>
    <x v="1"/>
    <x v="0"/>
  </r>
  <r>
    <s v="P-0959"/>
    <s v="Dr. Rose"/>
    <s v="Emergency"/>
    <x v="0"/>
    <n v="47"/>
    <s v="Private"/>
    <s v="Emergency Care"/>
    <x v="38"/>
    <n v="4684"/>
    <n v="18.579999999999998"/>
    <n v="95"/>
    <x v="1"/>
    <n v="18236"/>
    <x v="0"/>
    <x v="0"/>
  </r>
  <r>
    <s v="P-0960"/>
    <s v="Dr. Webb"/>
    <s v="General Surgery"/>
    <x v="0"/>
    <n v="62"/>
    <s v="Medicaid"/>
    <s v="Emergency Care"/>
    <x v="23"/>
    <n v="8644"/>
    <n v="21.67"/>
    <n v="60"/>
    <x v="0"/>
    <n v="42582"/>
    <x v="2"/>
    <x v="0"/>
  </r>
  <r>
    <s v="P-0961"/>
    <s v="Dr. Byrd"/>
    <s v="Radiology"/>
    <x v="1"/>
    <n v="56"/>
    <s v="Private"/>
    <s v="Specialist Consultation"/>
    <x v="12"/>
    <n v="3270"/>
    <n v="10.02"/>
    <n v="54"/>
    <x v="0"/>
    <n v="16285"/>
    <x v="2"/>
    <x v="0"/>
  </r>
  <r>
    <s v="P-0962"/>
    <s v="Dr. Ward"/>
    <s v="Radiology"/>
    <x v="0"/>
    <n v="34"/>
    <s v="Medicare"/>
    <s v="Surgery"/>
    <x v="18"/>
    <n v="2048"/>
    <n v="0"/>
    <n v="35"/>
    <x v="0"/>
    <n v="7060"/>
    <x v="0"/>
    <x v="0"/>
  </r>
  <r>
    <s v="P-0278"/>
    <s v="Dr. Lopez"/>
    <s v="Pediatrics"/>
    <x v="1"/>
    <n v="3"/>
    <s v="Medicaid"/>
    <s v="Specialist Consultation"/>
    <x v="22"/>
    <n v="3943"/>
    <n v="9"/>
    <n v="36"/>
    <x v="2"/>
    <n v="14029"/>
    <x v="1"/>
    <x v="1"/>
  </r>
  <r>
    <s v="P-0964"/>
    <s v="Dr. Kidd"/>
    <s v="Cardiology"/>
    <x v="1"/>
    <n v="22"/>
    <s v="Medicare"/>
    <s v="Routine Checkup"/>
    <x v="1"/>
    <n v="5628"/>
    <n v="18.62"/>
    <n v="84"/>
    <x v="0"/>
    <n v="30326"/>
    <x v="0"/>
    <x v="0"/>
  </r>
  <r>
    <s v="P-0965"/>
    <s v="Dr. Wang"/>
    <s v="Cardiology"/>
    <x v="0"/>
    <n v="42"/>
    <s v="Medicaid"/>
    <s v="Surgery"/>
    <x v="13"/>
    <n v="7959"/>
    <n v="21.61"/>
    <n v="107"/>
    <x v="0"/>
    <n v="41787"/>
    <x v="0"/>
    <x v="0"/>
  </r>
  <r>
    <s v="P-0966"/>
    <s v="Dr. Cherry"/>
    <s v="Orthopedics"/>
    <x v="1"/>
    <n v="58"/>
    <s v="Medicaid"/>
    <s v="Emergency Care"/>
    <x v="22"/>
    <n v="2412"/>
    <n v="7.64"/>
    <n v="73"/>
    <x v="0"/>
    <n v="10710"/>
    <x v="1"/>
    <x v="0"/>
  </r>
  <r>
    <s v="P-0967"/>
    <s v="Dr. Mccarty"/>
    <s v="Cardiology"/>
    <x v="1"/>
    <n v="42"/>
    <s v="Medicaid"/>
    <s v="Routine Checkup"/>
    <x v="14"/>
    <n v="10000"/>
    <n v="14.12"/>
    <n v="58"/>
    <x v="2"/>
    <n v="31905"/>
    <x v="2"/>
    <x v="0"/>
  </r>
  <r>
    <s v="P-0331"/>
    <s v="Dr. King"/>
    <s v="Pediatrics"/>
    <x v="1"/>
    <n v="3"/>
    <s v="Medicare"/>
    <s v="Surgery"/>
    <x v="23"/>
    <n v="2594"/>
    <n v="8.14"/>
    <n v="50"/>
    <x v="0"/>
    <n v="8576"/>
    <x v="2"/>
    <x v="1"/>
  </r>
  <r>
    <s v="P-0969"/>
    <s v="Dr. Brooks"/>
    <s v="Orthopedics"/>
    <x v="0"/>
    <n v="39"/>
    <s v="Medicare"/>
    <s v="Therapy"/>
    <x v="21"/>
    <n v="7913"/>
    <n v="12.41"/>
    <n v="44"/>
    <x v="0"/>
    <n v="36907"/>
    <x v="1"/>
    <x v="0"/>
  </r>
  <r>
    <s v="P-0571"/>
    <s v="Dr. Reyes"/>
    <s v="Pediatrics"/>
    <x v="1"/>
    <n v="3"/>
    <s v="Private"/>
    <s v="Diagnostics"/>
    <x v="22"/>
    <n v="1893"/>
    <n v="4.4400000000000004"/>
    <n v="63"/>
    <x v="0"/>
    <n v="7972"/>
    <x v="1"/>
    <x v="1"/>
  </r>
  <r>
    <s v="P-0971"/>
    <s v="Dr. Clark"/>
    <s v="Oncology"/>
    <x v="0"/>
    <n v="9"/>
    <s v="Medicaid"/>
    <s v="Surgery"/>
    <x v="10"/>
    <n v="5936"/>
    <n v="14.23"/>
    <n v="114"/>
    <x v="0"/>
    <n v="20198"/>
    <x v="2"/>
    <x v="1"/>
  </r>
  <r>
    <s v="P-0972"/>
    <s v="Dr. Wright"/>
    <s v="Neurology"/>
    <x v="0"/>
    <n v="53"/>
    <s v="Medicare"/>
    <s v="Diagnostics"/>
    <x v="14"/>
    <n v="7759"/>
    <n v="8.1999999999999993"/>
    <n v="89"/>
    <x v="0"/>
    <n v="21831"/>
    <x v="2"/>
    <x v="0"/>
  </r>
  <r>
    <s v="P-0973"/>
    <s v="Dr. Vaughn"/>
    <s v="Orthopedics"/>
    <x v="1"/>
    <n v="58"/>
    <s v="Medicaid"/>
    <s v="Surgery"/>
    <x v="9"/>
    <n v="4528"/>
    <n v="20.79"/>
    <n v="94"/>
    <x v="0"/>
    <n v="20564"/>
    <x v="2"/>
    <x v="0"/>
  </r>
  <r>
    <s v="P-0974"/>
    <s v="Dr. Lawson"/>
    <s v="Neurology"/>
    <x v="0"/>
    <n v="1"/>
    <s v="Medicare"/>
    <s v="Specialist Consultation"/>
    <x v="26"/>
    <n v="6579"/>
    <n v="8.51"/>
    <n v="127"/>
    <x v="1"/>
    <n v="39028"/>
    <x v="0"/>
    <x v="1"/>
  </r>
  <r>
    <s v="P-0975"/>
    <s v="Dr. Lawson"/>
    <s v="Neurology"/>
    <x v="1"/>
    <n v="31"/>
    <s v="Medicare"/>
    <s v="Diagnostics"/>
    <x v="7"/>
    <n v="6985"/>
    <n v="20.82"/>
    <n v="49"/>
    <x v="0"/>
    <n v="31442"/>
    <x v="2"/>
    <x v="0"/>
  </r>
  <r>
    <s v="P-0976"/>
    <s v="Dr. Monroe"/>
    <s v="Emergency"/>
    <x v="1"/>
    <n v="28"/>
    <s v="Medicaid"/>
    <s v="Emergency Care"/>
    <x v="0"/>
    <n v="3005"/>
    <n v="16.59"/>
    <n v="95"/>
    <x v="0"/>
    <n v="13693"/>
    <x v="0"/>
    <x v="0"/>
  </r>
  <r>
    <s v="P-0977"/>
    <s v="Dr. Lopez"/>
    <s v="Cardiology"/>
    <x v="1"/>
    <n v="37"/>
    <s v="Medicaid"/>
    <s v="Surgery"/>
    <x v="13"/>
    <n v="5461"/>
    <n v="23.19"/>
    <n v="84"/>
    <x v="1"/>
    <n v="26153"/>
    <x v="0"/>
    <x v="0"/>
  </r>
  <r>
    <s v="P-0978"/>
    <s v="Dr. Garcia"/>
    <s v="Cardiology"/>
    <x v="1"/>
    <n v="20"/>
    <s v="Medicare"/>
    <s v="Emergency Care"/>
    <x v="9"/>
    <n v="7872"/>
    <n v="23.24"/>
    <n v="78"/>
    <x v="0"/>
    <n v="22848"/>
    <x v="2"/>
    <x v="0"/>
  </r>
  <r>
    <s v="P-0979"/>
    <s v="Dr. Snyder"/>
    <s v="Emergency"/>
    <x v="0"/>
    <n v="34"/>
    <s v="Medicare"/>
    <s v="Therapy"/>
    <x v="25"/>
    <n v="2611"/>
    <n v="24.14"/>
    <n v="146"/>
    <x v="1"/>
    <n v="15320"/>
    <x v="0"/>
    <x v="0"/>
  </r>
  <r>
    <s v="P-0980"/>
    <s v="Dr. Vaughn"/>
    <s v="Orthopedics"/>
    <x v="1"/>
    <n v="39"/>
    <s v="Private"/>
    <s v="Specialist Consultation"/>
    <x v="1"/>
    <n v="5512"/>
    <n v="5.65"/>
    <n v="84"/>
    <x v="0"/>
    <n v="14074"/>
    <x v="0"/>
    <x v="0"/>
  </r>
  <r>
    <s v="P-0981"/>
    <s v="Dr. Horton"/>
    <s v="General Surgery"/>
    <x v="1"/>
    <n v="30"/>
    <s v="Medicaid"/>
    <s v="Therapy"/>
    <x v="23"/>
    <n v="6743"/>
    <n v="16.14"/>
    <n v="76"/>
    <x v="0"/>
    <n v="18868"/>
    <x v="2"/>
    <x v="0"/>
  </r>
  <r>
    <s v="P-0982"/>
    <s v="Dr. Cherry"/>
    <s v="Orthopedics"/>
    <x v="1"/>
    <n v="71"/>
    <s v="Medicaid"/>
    <s v="Therapy"/>
    <x v="9"/>
    <n v="6172"/>
    <n v="11.66"/>
    <n v="100"/>
    <x v="0"/>
    <n v="31972"/>
    <x v="2"/>
    <x v="0"/>
  </r>
  <r>
    <s v="P-0983"/>
    <s v="Dr. Tran"/>
    <s v="Oncology"/>
    <x v="1"/>
    <n v="45"/>
    <s v="Private"/>
    <s v="Diagnostics"/>
    <x v="12"/>
    <n v="6955"/>
    <n v="11.8"/>
    <n v="62"/>
    <x v="0"/>
    <n v="28795"/>
    <x v="2"/>
    <x v="0"/>
  </r>
  <r>
    <s v="P-0984"/>
    <s v="Dr. Pierce"/>
    <s v="Oncology"/>
    <x v="2"/>
    <n v="19"/>
    <s v="Private"/>
    <s v="Diagnostics"/>
    <x v="24"/>
    <n v="6832"/>
    <n v="6.89"/>
    <n v="84"/>
    <x v="1"/>
    <n v="40327"/>
    <x v="0"/>
    <x v="0"/>
  </r>
  <r>
    <s v="P-0985"/>
    <s v="Dr. Reyes"/>
    <s v="Radiology"/>
    <x v="0"/>
    <n v="54"/>
    <s v="Medicare"/>
    <s v="Therapy"/>
    <x v="21"/>
    <n v="2381"/>
    <n v="6.87"/>
    <n v="30"/>
    <x v="0"/>
    <n v="11890"/>
    <x v="1"/>
    <x v="0"/>
  </r>
  <r>
    <s v="P-0986"/>
    <s v="Dr. Tran"/>
    <s v="Oncology"/>
    <x v="1"/>
    <n v="22"/>
    <s v="Medicaid"/>
    <s v="Emergency Care"/>
    <x v="0"/>
    <n v="7870"/>
    <n v="17.2"/>
    <n v="103"/>
    <x v="0"/>
    <n v="31364"/>
    <x v="0"/>
    <x v="0"/>
  </r>
  <r>
    <s v="P-0987"/>
    <s v="Dr. Mccarty"/>
    <s v="Cardiology"/>
    <x v="1"/>
    <n v="40"/>
    <s v="Medicaid"/>
    <s v="Therapy"/>
    <x v="5"/>
    <n v="6421"/>
    <n v="16.13"/>
    <n v="61"/>
    <x v="0"/>
    <n v="31335"/>
    <x v="1"/>
    <x v="0"/>
  </r>
  <r>
    <s v="P-0217"/>
    <s v="Dr. Owens"/>
    <s v="Pediatrics"/>
    <x v="1"/>
    <n v="2"/>
    <s v="Medicaid"/>
    <s v="Diagnostics"/>
    <x v="27"/>
    <n v="3925"/>
    <n v="16.02"/>
    <n v="63"/>
    <x v="2"/>
    <n v="19105"/>
    <x v="1"/>
    <x v="1"/>
  </r>
  <r>
    <s v="P-0989"/>
    <s v="Dr. Clark"/>
    <s v="Oncology"/>
    <x v="0"/>
    <n v="65"/>
    <s v="Medicaid"/>
    <s v="Emergency Care"/>
    <x v="23"/>
    <n v="10791"/>
    <n v="17.440000000000001"/>
    <n v="78"/>
    <x v="0"/>
    <n v="42011"/>
    <x v="2"/>
    <x v="0"/>
  </r>
  <r>
    <s v="P-0990"/>
    <s v="Dr. Cherry"/>
    <s v="Orthopedics"/>
    <x v="1"/>
    <n v="73"/>
    <s v="Private"/>
    <s v="Therapy"/>
    <x v="4"/>
    <n v="4341"/>
    <n v="5.76"/>
    <n v="76"/>
    <x v="0"/>
    <n v="17130"/>
    <x v="1"/>
    <x v="0"/>
  </r>
  <r>
    <s v="P-0991"/>
    <s v="Dr. Mccarty"/>
    <s v="Cardiology"/>
    <x v="1"/>
    <n v="78"/>
    <s v="Private"/>
    <s v="Therapy"/>
    <x v="2"/>
    <n v="7206"/>
    <n v="13.28"/>
    <n v="67"/>
    <x v="0"/>
    <n v="22315"/>
    <x v="1"/>
    <x v="0"/>
  </r>
  <r>
    <s v="P-0992"/>
    <s v="Dr. Vaughn"/>
    <s v="Orthopedics"/>
    <x v="0"/>
    <n v="50"/>
    <s v="Medicaid"/>
    <s v="Diagnostics"/>
    <x v="12"/>
    <n v="5952"/>
    <n v="16.14"/>
    <n v="89"/>
    <x v="0"/>
    <n v="33626"/>
    <x v="2"/>
    <x v="0"/>
  </r>
  <r>
    <s v="P-0993"/>
    <s v="Dr. Horton"/>
    <s v="General Surgery"/>
    <x v="0"/>
    <n v="10"/>
    <s v="Private"/>
    <s v="Diagnostics"/>
    <x v="18"/>
    <n v="6177"/>
    <n v="11.03"/>
    <n v="87"/>
    <x v="1"/>
    <n v="34058"/>
    <x v="0"/>
    <x v="1"/>
  </r>
  <r>
    <s v="P-0994"/>
    <s v="Dr. Horton"/>
    <s v="General Surgery"/>
    <x v="0"/>
    <n v="49"/>
    <s v="Private"/>
    <s v="Surgery"/>
    <x v="9"/>
    <n v="8122"/>
    <n v="12.9"/>
    <n v="85"/>
    <x v="0"/>
    <n v="42148"/>
    <x v="2"/>
    <x v="0"/>
  </r>
  <r>
    <s v="P-0995"/>
    <s v="Dr. Wang"/>
    <s v="Cardiology"/>
    <x v="1"/>
    <n v="39"/>
    <s v="Medicaid"/>
    <s v="Routine Checkup"/>
    <x v="17"/>
    <n v="4281"/>
    <n v="6.46"/>
    <n v="92"/>
    <x v="0"/>
    <n v="18390"/>
    <x v="2"/>
    <x v="0"/>
  </r>
  <r>
    <s v="P-0996"/>
    <s v="Dr. Hamilton"/>
    <s v="Oncology"/>
    <x v="1"/>
    <n v="63"/>
    <s v="Medicare"/>
    <s v="Therapy"/>
    <x v="10"/>
    <n v="7996"/>
    <n v="13.95"/>
    <n v="88"/>
    <x v="0"/>
    <n v="35181"/>
    <x v="2"/>
    <x v="0"/>
  </r>
  <r>
    <s v="P-0997"/>
    <s v="Dr. Hicks"/>
    <s v="Emergency"/>
    <x v="1"/>
    <n v="2"/>
    <s v="Private"/>
    <s v="Surgery"/>
    <x v="23"/>
    <n v="4994"/>
    <n v="19.13"/>
    <n v="118"/>
    <x v="0"/>
    <n v="27538"/>
    <x v="2"/>
    <x v="1"/>
  </r>
  <r>
    <s v="P-0842"/>
    <s v="Dr. King"/>
    <s v="Pediatrics"/>
    <x v="1"/>
    <n v="2"/>
    <s v="Medicare"/>
    <s v="Emergency Care"/>
    <x v="10"/>
    <n v="2828"/>
    <n v="10.57"/>
    <n v="67"/>
    <x v="0"/>
    <n v="7504"/>
    <x v="2"/>
    <x v="1"/>
  </r>
  <r>
    <s v="P-0329"/>
    <s v="Dr. King"/>
    <s v="Pediatrics"/>
    <x v="1"/>
    <n v="1"/>
    <s v="Private"/>
    <s v="Diagnostics"/>
    <x v="6"/>
    <n v="3262"/>
    <n v="9.6199999999999992"/>
    <n v="63"/>
    <x v="0"/>
    <n v="16958"/>
    <x v="1"/>
    <x v="1"/>
  </r>
  <r>
    <s v="P-1000"/>
    <s v="Dr. Adams"/>
    <s v="Neurology"/>
    <x v="0"/>
    <n v="36"/>
    <s v="Private"/>
    <s v="Routine Checkup"/>
    <x v="25"/>
    <n v="7953"/>
    <n v="19.79"/>
    <n v="104"/>
    <x v="1"/>
    <n v="4240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906"/>
    <x v="0"/>
    <x v="0"/>
    <x v="0"/>
    <n v="1"/>
    <x v="0"/>
    <x v="0"/>
    <n v="91"/>
    <n v="1430"/>
    <n v="4.42"/>
    <n v="68"/>
    <n v="5"/>
    <n v="4672"/>
    <s v="High"/>
    <s v="Pediatric"/>
  </r>
  <r>
    <s v="P-0922"/>
    <x v="1"/>
    <x v="0"/>
    <x v="0"/>
    <n v="1"/>
    <x v="0"/>
    <x v="1"/>
    <n v="86"/>
    <n v="2879"/>
    <n v="6.07"/>
    <n v="36"/>
    <n v="4"/>
    <n v="8616"/>
    <s v="High"/>
    <s v="Pediatric"/>
  </r>
  <r>
    <s v="P-0643"/>
    <x v="2"/>
    <x v="1"/>
    <x v="1"/>
    <n v="1"/>
    <x v="1"/>
    <x v="2"/>
    <n v="77"/>
    <n v="6354"/>
    <n v="8.89"/>
    <n v="115"/>
    <n v="4"/>
    <n v="29807"/>
    <s v="Moderate"/>
    <s v="Pediatric"/>
  </r>
  <r>
    <s v="P-0443"/>
    <x v="3"/>
    <x v="2"/>
    <x v="0"/>
    <n v="1"/>
    <x v="1"/>
    <x v="0"/>
    <n v="82"/>
    <n v="8725"/>
    <n v="10.07"/>
    <n v="66"/>
    <n v="4"/>
    <n v="43639"/>
    <s v="Moderate"/>
    <s v="Pediatric"/>
  </r>
  <r>
    <s v="P-0626"/>
    <x v="4"/>
    <x v="2"/>
    <x v="0"/>
    <n v="1"/>
    <x v="0"/>
    <x v="1"/>
    <n v="76"/>
    <n v="7390"/>
    <n v="16.190000000000001"/>
    <n v="61"/>
    <n v="3"/>
    <n v="41638"/>
    <s v="Moderate"/>
    <s v="Pediatric"/>
  </r>
  <r>
    <s v="P-0713"/>
    <x v="4"/>
    <x v="2"/>
    <x v="1"/>
    <n v="1"/>
    <x v="2"/>
    <x v="3"/>
    <n v="65"/>
    <n v="7101"/>
    <n v="15.92"/>
    <n v="69"/>
    <n v="4"/>
    <n v="33288"/>
    <s v="Low"/>
    <s v="Pediatric"/>
  </r>
  <r>
    <s v="P-0974"/>
    <x v="5"/>
    <x v="3"/>
    <x v="0"/>
    <n v="1"/>
    <x v="2"/>
    <x v="1"/>
    <n v="70"/>
    <n v="6579"/>
    <n v="8.51"/>
    <n v="127"/>
    <n v="3"/>
    <n v="39028"/>
    <s v="Low"/>
    <s v="Pediatric"/>
  </r>
  <r>
    <s v="P-0295"/>
    <x v="6"/>
    <x v="4"/>
    <x v="0"/>
    <n v="1"/>
    <x v="1"/>
    <x v="2"/>
    <n v="73"/>
    <n v="12240"/>
    <n v="21.96"/>
    <n v="98"/>
    <n v="3"/>
    <n v="40964"/>
    <s v="Low"/>
    <s v="Pediatric"/>
  </r>
  <r>
    <s v="P-0336"/>
    <x v="7"/>
    <x v="4"/>
    <x v="1"/>
    <n v="1"/>
    <x v="2"/>
    <x v="4"/>
    <n v="76"/>
    <n v="10947"/>
    <n v="20.98"/>
    <n v="98"/>
    <n v="4"/>
    <n v="53980"/>
    <s v="Moderate"/>
    <s v="Pediatric"/>
  </r>
  <r>
    <s v="P-0863"/>
    <x v="8"/>
    <x v="4"/>
    <x v="1"/>
    <n v="1"/>
    <x v="1"/>
    <x v="1"/>
    <n v="83"/>
    <n v="8458"/>
    <n v="14.47"/>
    <n v="84"/>
    <n v="5"/>
    <n v="29618"/>
    <s v="High"/>
    <s v="Pediatric"/>
  </r>
  <r>
    <s v="P-0341"/>
    <x v="9"/>
    <x v="5"/>
    <x v="0"/>
    <n v="1"/>
    <x v="0"/>
    <x v="1"/>
    <n v="75"/>
    <n v="3164"/>
    <n v="14.55"/>
    <n v="131"/>
    <n v="4"/>
    <n v="15359"/>
    <s v="Low"/>
    <s v="Pediatric"/>
  </r>
  <r>
    <s v="P-0857"/>
    <x v="10"/>
    <x v="5"/>
    <x v="1"/>
    <n v="1"/>
    <x v="2"/>
    <x v="0"/>
    <n v="64"/>
    <n v="2929"/>
    <n v="18.7"/>
    <n v="123"/>
    <n v="3"/>
    <n v="17441"/>
    <s v="Low"/>
    <s v="Pediatric"/>
  </r>
  <r>
    <s v="P-0617"/>
    <x v="11"/>
    <x v="6"/>
    <x v="1"/>
    <n v="1"/>
    <x v="2"/>
    <x v="3"/>
    <n v="72"/>
    <n v="7341"/>
    <n v="11.64"/>
    <n v="96"/>
    <n v="3"/>
    <n v="28757"/>
    <s v="Low"/>
    <s v="Pediatric"/>
  </r>
  <r>
    <s v="P-0329"/>
    <x v="12"/>
    <x v="7"/>
    <x v="1"/>
    <n v="1"/>
    <x v="0"/>
    <x v="2"/>
    <n v="88"/>
    <n v="3262"/>
    <n v="9.6199999999999992"/>
    <n v="63"/>
    <n v="4"/>
    <n v="16958"/>
    <s v="High"/>
    <s v="Pediatric"/>
  </r>
  <r>
    <s v="P-0997"/>
    <x v="13"/>
    <x v="5"/>
    <x v="1"/>
    <n v="2"/>
    <x v="0"/>
    <x v="0"/>
    <n v="79"/>
    <n v="4994"/>
    <n v="19.13"/>
    <n v="118"/>
    <n v="4"/>
    <n v="27538"/>
    <s v="Moderate"/>
    <s v="Pediatric"/>
  </r>
  <r>
    <s v="P-0217"/>
    <x v="14"/>
    <x v="7"/>
    <x v="1"/>
    <n v="2"/>
    <x v="1"/>
    <x v="2"/>
    <n v="89"/>
    <n v="3925"/>
    <n v="16.02"/>
    <n v="63"/>
    <n v="5"/>
    <n v="19105"/>
    <s v="High"/>
    <s v="Pediatric"/>
  </r>
  <r>
    <s v="P-0842"/>
    <x v="12"/>
    <x v="7"/>
    <x v="1"/>
    <n v="2"/>
    <x v="2"/>
    <x v="5"/>
    <n v="78"/>
    <n v="2828"/>
    <n v="10.57"/>
    <n v="67"/>
    <n v="4"/>
    <n v="7504"/>
    <s v="Moderate"/>
    <s v="Pediatric"/>
  </r>
  <r>
    <s v="P-0423"/>
    <x v="2"/>
    <x v="1"/>
    <x v="0"/>
    <n v="3"/>
    <x v="2"/>
    <x v="2"/>
    <n v="75"/>
    <n v="5655"/>
    <n v="13.15"/>
    <n v="109"/>
    <n v="4"/>
    <n v="18837"/>
    <s v="Low"/>
    <s v="Pediatric"/>
  </r>
  <r>
    <s v="P-0743"/>
    <x v="15"/>
    <x v="3"/>
    <x v="0"/>
    <n v="3"/>
    <x v="0"/>
    <x v="5"/>
    <n v="80"/>
    <n v="7958"/>
    <n v="14.25"/>
    <n v="89"/>
    <n v="4"/>
    <n v="25563"/>
    <s v="Moderate"/>
    <s v="Pediatric"/>
  </r>
  <r>
    <s v="P-0220"/>
    <x v="12"/>
    <x v="7"/>
    <x v="0"/>
    <n v="3"/>
    <x v="1"/>
    <x v="2"/>
    <n v="95"/>
    <n v="3113"/>
    <n v="10.31"/>
    <n v="32"/>
    <n v="4"/>
    <n v="16342"/>
    <s v="High"/>
    <s v="Pediatric"/>
  </r>
  <r>
    <s v="P-0278"/>
    <x v="16"/>
    <x v="7"/>
    <x v="1"/>
    <n v="3"/>
    <x v="1"/>
    <x v="1"/>
    <n v="85"/>
    <n v="3943"/>
    <n v="9"/>
    <n v="36"/>
    <n v="5"/>
    <n v="14029"/>
    <s v="High"/>
    <s v="Pediatric"/>
  </r>
  <r>
    <s v="P-0331"/>
    <x v="12"/>
    <x v="7"/>
    <x v="1"/>
    <n v="3"/>
    <x v="2"/>
    <x v="0"/>
    <n v="79"/>
    <n v="2594"/>
    <n v="8.14"/>
    <n v="50"/>
    <n v="4"/>
    <n v="8576"/>
    <s v="Moderate"/>
    <s v="Pediatric"/>
  </r>
  <r>
    <s v="P-0571"/>
    <x v="1"/>
    <x v="7"/>
    <x v="1"/>
    <n v="3"/>
    <x v="0"/>
    <x v="2"/>
    <n v="85"/>
    <n v="1893"/>
    <n v="4.4400000000000004"/>
    <n v="63"/>
    <n v="4"/>
    <n v="7972"/>
    <s v="High"/>
    <s v="Pediatric"/>
  </r>
  <r>
    <s v="P-0639"/>
    <x v="17"/>
    <x v="5"/>
    <x v="1"/>
    <n v="4"/>
    <x v="2"/>
    <x v="5"/>
    <n v="78"/>
    <n v="3325"/>
    <n v="11.31"/>
    <n v="110"/>
    <n v="4"/>
    <n v="9548"/>
    <s v="Moderate"/>
    <s v="Pediatric"/>
  </r>
  <r>
    <s v="P-0274"/>
    <x v="12"/>
    <x v="7"/>
    <x v="1"/>
    <n v="4"/>
    <x v="1"/>
    <x v="2"/>
    <n v="93"/>
    <n v="2022"/>
    <n v="13.09"/>
    <n v="36"/>
    <n v="4"/>
    <n v="6049"/>
    <s v="High"/>
    <s v="Pediatric"/>
  </r>
  <r>
    <s v="P-0340"/>
    <x v="18"/>
    <x v="7"/>
    <x v="0"/>
    <n v="4"/>
    <x v="1"/>
    <x v="4"/>
    <n v="79"/>
    <n v="4091"/>
    <n v="8.16"/>
    <n v="86"/>
    <n v="4"/>
    <n v="21682"/>
    <s v="Moderate"/>
    <s v="Pediatric"/>
  </r>
  <r>
    <s v="P-0374"/>
    <x v="16"/>
    <x v="7"/>
    <x v="0"/>
    <n v="4"/>
    <x v="1"/>
    <x v="3"/>
    <n v="95"/>
    <n v="2972"/>
    <n v="4.9400000000000004"/>
    <n v="65"/>
    <n v="5"/>
    <n v="14593"/>
    <s v="High"/>
    <s v="Pediatric"/>
  </r>
  <r>
    <s v="P-0420"/>
    <x v="16"/>
    <x v="7"/>
    <x v="0"/>
    <n v="4"/>
    <x v="2"/>
    <x v="3"/>
    <n v="85"/>
    <n v="2606"/>
    <n v="5.07"/>
    <n v="59"/>
    <n v="5"/>
    <n v="10768"/>
    <s v="High"/>
    <s v="Pediatric"/>
  </r>
  <r>
    <s v="P-0700"/>
    <x v="14"/>
    <x v="7"/>
    <x v="1"/>
    <n v="4"/>
    <x v="1"/>
    <x v="2"/>
    <n v="90"/>
    <n v="3468"/>
    <n v="4.13"/>
    <n v="34"/>
    <n v="5"/>
    <n v="10212"/>
    <s v="High"/>
    <s v="Pediatric"/>
  </r>
  <r>
    <s v="P-0970"/>
    <x v="14"/>
    <x v="7"/>
    <x v="1"/>
    <n v="4"/>
    <x v="1"/>
    <x v="0"/>
    <n v="78"/>
    <n v="3308"/>
    <n v="14.2"/>
    <n v="35"/>
    <n v="4"/>
    <n v="10896"/>
    <s v="Moderate"/>
    <s v="Pediatric"/>
  </r>
  <r>
    <s v="P-0451"/>
    <x v="3"/>
    <x v="2"/>
    <x v="0"/>
    <n v="5"/>
    <x v="2"/>
    <x v="3"/>
    <n v="80"/>
    <n v="7702"/>
    <n v="15.24"/>
    <n v="57"/>
    <n v="4"/>
    <n v="33113"/>
    <s v="Moderate"/>
    <s v="Pediatric"/>
  </r>
  <r>
    <s v="P-0787"/>
    <x v="18"/>
    <x v="7"/>
    <x v="1"/>
    <n v="5"/>
    <x v="0"/>
    <x v="1"/>
    <n v="78"/>
    <n v="3100"/>
    <n v="12.65"/>
    <n v="67"/>
    <n v="4"/>
    <n v="12073"/>
    <s v="Moderate"/>
    <s v="Pediatric"/>
  </r>
  <r>
    <s v="P-0938"/>
    <x v="18"/>
    <x v="7"/>
    <x v="0"/>
    <n v="5"/>
    <x v="1"/>
    <x v="1"/>
    <n v="86"/>
    <n v="2779"/>
    <n v="6.16"/>
    <n v="57"/>
    <n v="4"/>
    <n v="13374"/>
    <s v="High"/>
    <s v="Pediatric"/>
  </r>
  <r>
    <s v="P-0325"/>
    <x v="19"/>
    <x v="6"/>
    <x v="0"/>
    <n v="5"/>
    <x v="2"/>
    <x v="5"/>
    <n v="73"/>
    <n v="5304"/>
    <n v="18.920000000000002"/>
    <n v="102"/>
    <n v="3"/>
    <n v="17359"/>
    <s v="Low"/>
    <s v="Pediatric"/>
  </r>
  <r>
    <s v="P-0074"/>
    <x v="20"/>
    <x v="3"/>
    <x v="1"/>
    <n v="6"/>
    <x v="2"/>
    <x v="4"/>
    <n v="72"/>
    <n v="6535"/>
    <n v="15.51"/>
    <n v="108"/>
    <n v="4"/>
    <n v="19833"/>
    <s v="Low"/>
    <s v="Pediatric"/>
  </r>
  <r>
    <s v="P-0017"/>
    <x v="13"/>
    <x v="5"/>
    <x v="1"/>
    <n v="6"/>
    <x v="0"/>
    <x v="3"/>
    <n v="66"/>
    <n v="3542"/>
    <n v="27.85"/>
    <n v="109"/>
    <n v="3"/>
    <n v="10651"/>
    <s v="Low"/>
    <s v="Pediatric"/>
  </r>
  <r>
    <s v="P-0111"/>
    <x v="1"/>
    <x v="7"/>
    <x v="0"/>
    <n v="6"/>
    <x v="0"/>
    <x v="3"/>
    <n v="79"/>
    <n v="2623"/>
    <n v="15.25"/>
    <n v="95"/>
    <n v="4"/>
    <n v="13896"/>
    <s v="Moderate"/>
    <s v="Pediatric"/>
  </r>
  <r>
    <s v="P-0365"/>
    <x v="1"/>
    <x v="7"/>
    <x v="1"/>
    <n v="6"/>
    <x v="0"/>
    <x v="5"/>
    <n v="82"/>
    <n v="3329"/>
    <n v="6.98"/>
    <n v="70"/>
    <n v="4"/>
    <n v="12452"/>
    <s v="Moderate"/>
    <s v="Pediatric"/>
  </r>
  <r>
    <s v="P-0511"/>
    <x v="1"/>
    <x v="7"/>
    <x v="0"/>
    <n v="6"/>
    <x v="0"/>
    <x v="2"/>
    <n v="85"/>
    <n v="3306"/>
    <n v="15.74"/>
    <n v="49"/>
    <n v="4"/>
    <n v="9106"/>
    <s v="High"/>
    <s v="Pediatric"/>
  </r>
  <r>
    <s v="P-0805"/>
    <x v="16"/>
    <x v="7"/>
    <x v="0"/>
    <n v="6"/>
    <x v="0"/>
    <x v="2"/>
    <n v="81"/>
    <n v="2898"/>
    <n v="14.55"/>
    <n v="49"/>
    <n v="4"/>
    <n v="15556"/>
    <s v="Moderate"/>
    <s v="Pediatric"/>
  </r>
  <r>
    <s v="P-0988"/>
    <x v="1"/>
    <x v="7"/>
    <x v="2"/>
    <n v="6"/>
    <x v="2"/>
    <x v="3"/>
    <n v="85"/>
    <n v="3024"/>
    <n v="6.63"/>
    <n v="64"/>
    <n v="5"/>
    <n v="10988"/>
    <s v="High"/>
    <s v="Pediatric"/>
  </r>
  <r>
    <s v="P-0410"/>
    <x v="21"/>
    <x v="0"/>
    <x v="0"/>
    <n v="7"/>
    <x v="2"/>
    <x v="4"/>
    <n v="93"/>
    <n v="1907"/>
    <n v="0"/>
    <n v="37"/>
    <n v="5"/>
    <n v="9220"/>
    <s v="High"/>
    <s v="Pediatric"/>
  </r>
  <r>
    <s v="P-0862"/>
    <x v="22"/>
    <x v="2"/>
    <x v="1"/>
    <n v="7"/>
    <x v="2"/>
    <x v="2"/>
    <n v="71"/>
    <n v="6575"/>
    <n v="16.510000000000002"/>
    <n v="88"/>
    <n v="4"/>
    <n v="26005"/>
    <s v="Low"/>
    <s v="Pediatric"/>
  </r>
  <r>
    <s v="P-0379"/>
    <x v="15"/>
    <x v="3"/>
    <x v="1"/>
    <n v="7"/>
    <x v="0"/>
    <x v="5"/>
    <n v="74"/>
    <n v="5674"/>
    <n v="10.24"/>
    <n v="102"/>
    <n v="4"/>
    <n v="21524"/>
    <s v="Low"/>
    <s v="Pediatric"/>
  </r>
  <r>
    <s v="P-0795"/>
    <x v="23"/>
    <x v="4"/>
    <x v="0"/>
    <n v="7"/>
    <x v="0"/>
    <x v="2"/>
    <n v="77"/>
    <n v="6862"/>
    <n v="15.41"/>
    <n v="101"/>
    <n v="4"/>
    <n v="29237"/>
    <s v="Moderate"/>
    <s v="Pediatric"/>
  </r>
  <r>
    <s v="P-0096"/>
    <x v="16"/>
    <x v="7"/>
    <x v="1"/>
    <n v="7"/>
    <x v="1"/>
    <x v="3"/>
    <n v="79"/>
    <n v="2593"/>
    <n v="8.6"/>
    <n v="63"/>
    <n v="4"/>
    <n v="14632"/>
    <s v="Moderate"/>
    <s v="Pediatric"/>
  </r>
  <r>
    <s v="P-0139"/>
    <x v="12"/>
    <x v="7"/>
    <x v="0"/>
    <n v="7"/>
    <x v="0"/>
    <x v="2"/>
    <n v="85"/>
    <n v="3341"/>
    <n v="9.7899999999999991"/>
    <n v="69"/>
    <n v="5"/>
    <n v="9887"/>
    <s v="High"/>
    <s v="Pediatric"/>
  </r>
  <r>
    <s v="P-0209"/>
    <x v="16"/>
    <x v="7"/>
    <x v="1"/>
    <n v="7"/>
    <x v="1"/>
    <x v="0"/>
    <n v="80"/>
    <n v="3397"/>
    <n v="12.69"/>
    <n v="74"/>
    <n v="3"/>
    <n v="20199"/>
    <s v="Moderate"/>
    <s v="Pediatric"/>
  </r>
  <r>
    <s v="P-0226"/>
    <x v="18"/>
    <x v="7"/>
    <x v="1"/>
    <n v="7"/>
    <x v="0"/>
    <x v="3"/>
    <n v="84"/>
    <n v="2495"/>
    <n v="4.3099999999999996"/>
    <n v="55"/>
    <n v="5"/>
    <n v="13020"/>
    <s v="High"/>
    <s v="Pediatric"/>
  </r>
  <r>
    <s v="P-0351"/>
    <x v="1"/>
    <x v="7"/>
    <x v="1"/>
    <n v="7"/>
    <x v="2"/>
    <x v="0"/>
    <n v="91"/>
    <n v="3234"/>
    <n v="2.69"/>
    <n v="66"/>
    <n v="5"/>
    <n v="12704"/>
    <s v="High"/>
    <s v="Pediatric"/>
  </r>
  <r>
    <s v="P-0574"/>
    <x v="16"/>
    <x v="7"/>
    <x v="0"/>
    <n v="7"/>
    <x v="1"/>
    <x v="1"/>
    <n v="77"/>
    <n v="2667"/>
    <n v="15.76"/>
    <n v="48"/>
    <n v="4"/>
    <n v="12592"/>
    <s v="Moderate"/>
    <s v="Pediatric"/>
  </r>
  <r>
    <s v="P-0662"/>
    <x v="18"/>
    <x v="7"/>
    <x v="0"/>
    <n v="7"/>
    <x v="2"/>
    <x v="1"/>
    <n v="85"/>
    <n v="2970"/>
    <n v="9.9600000000000009"/>
    <n v="45"/>
    <n v="4"/>
    <n v="10559"/>
    <s v="High"/>
    <s v="Pediatric"/>
  </r>
  <r>
    <s v="P-0710"/>
    <x v="12"/>
    <x v="7"/>
    <x v="0"/>
    <n v="7"/>
    <x v="0"/>
    <x v="0"/>
    <n v="78"/>
    <n v="3603"/>
    <n v="13.13"/>
    <n v="66"/>
    <n v="4"/>
    <n v="10440"/>
    <s v="Moderate"/>
    <s v="Pediatric"/>
  </r>
  <r>
    <s v="P-0767"/>
    <x v="1"/>
    <x v="7"/>
    <x v="1"/>
    <n v="7"/>
    <x v="2"/>
    <x v="1"/>
    <n v="96"/>
    <n v="2691"/>
    <n v="3.2"/>
    <n v="49"/>
    <n v="5"/>
    <n v="7793"/>
    <s v="High"/>
    <s v="Pediatric"/>
  </r>
  <r>
    <s v="P-0853"/>
    <x v="18"/>
    <x v="7"/>
    <x v="1"/>
    <n v="7"/>
    <x v="0"/>
    <x v="0"/>
    <n v="89"/>
    <n v="2024"/>
    <n v="0"/>
    <n v="61"/>
    <n v="5"/>
    <n v="7392"/>
    <s v="High"/>
    <s v="Pediatric"/>
  </r>
  <r>
    <s v="P-0923"/>
    <x v="16"/>
    <x v="7"/>
    <x v="1"/>
    <n v="7"/>
    <x v="2"/>
    <x v="2"/>
    <n v="78"/>
    <n v="2905"/>
    <n v="9.23"/>
    <n v="75"/>
    <n v="4"/>
    <n v="16349"/>
    <s v="Moderate"/>
    <s v="Pediatric"/>
  </r>
  <r>
    <s v="P-0998"/>
    <x v="18"/>
    <x v="7"/>
    <x v="0"/>
    <n v="7"/>
    <x v="0"/>
    <x v="0"/>
    <n v="92"/>
    <n v="4006"/>
    <n v="4.71"/>
    <n v="36"/>
    <n v="4"/>
    <n v="22318"/>
    <s v="High"/>
    <s v="Pediatric"/>
  </r>
  <r>
    <s v="P-0818"/>
    <x v="24"/>
    <x v="1"/>
    <x v="2"/>
    <n v="8"/>
    <x v="2"/>
    <x v="1"/>
    <n v="90"/>
    <n v="6251"/>
    <n v="10.95"/>
    <n v="12"/>
    <n v="4"/>
    <n v="35554"/>
    <s v="High"/>
    <s v="Pediatric"/>
  </r>
  <r>
    <s v="P-0740"/>
    <x v="25"/>
    <x v="2"/>
    <x v="1"/>
    <n v="8"/>
    <x v="2"/>
    <x v="1"/>
    <n v="80"/>
    <n v="8022"/>
    <n v="8.9499999999999993"/>
    <n v="100"/>
    <n v="4"/>
    <n v="29555"/>
    <s v="Moderate"/>
    <s v="Pediatric"/>
  </r>
  <r>
    <s v="P-0192"/>
    <x v="5"/>
    <x v="3"/>
    <x v="1"/>
    <n v="8"/>
    <x v="2"/>
    <x v="2"/>
    <n v="79"/>
    <n v="2745"/>
    <n v="16.170000000000002"/>
    <n v="77"/>
    <n v="4"/>
    <n v="8938"/>
    <s v="Moderate"/>
    <s v="Pediatric"/>
  </r>
  <r>
    <s v="P-0468"/>
    <x v="15"/>
    <x v="3"/>
    <x v="0"/>
    <n v="8"/>
    <x v="0"/>
    <x v="2"/>
    <n v="82"/>
    <n v="7987"/>
    <n v="15.84"/>
    <n v="74"/>
    <n v="4"/>
    <n v="35515"/>
    <s v="Moderate"/>
    <s v="Pediatric"/>
  </r>
  <r>
    <s v="P-0953"/>
    <x v="8"/>
    <x v="4"/>
    <x v="1"/>
    <n v="8"/>
    <x v="2"/>
    <x v="4"/>
    <n v="74"/>
    <n v="10866"/>
    <n v="13.36"/>
    <n v="107"/>
    <n v="4"/>
    <n v="30877"/>
    <s v="Low"/>
    <s v="Pediatric"/>
  </r>
  <r>
    <s v="P-0098"/>
    <x v="18"/>
    <x v="7"/>
    <x v="0"/>
    <n v="8"/>
    <x v="0"/>
    <x v="1"/>
    <n v="87"/>
    <n v="1752"/>
    <n v="3.04"/>
    <n v="6"/>
    <n v="4"/>
    <n v="5495"/>
    <s v="High"/>
    <s v="Pediatric"/>
  </r>
  <r>
    <s v="P-0123"/>
    <x v="1"/>
    <x v="7"/>
    <x v="0"/>
    <n v="8"/>
    <x v="2"/>
    <x v="2"/>
    <n v="78"/>
    <n v="3852"/>
    <n v="5.72"/>
    <n v="83"/>
    <n v="4"/>
    <n v="20629"/>
    <s v="Moderate"/>
    <s v="Pediatric"/>
  </r>
  <r>
    <s v="P-0200"/>
    <x v="18"/>
    <x v="7"/>
    <x v="0"/>
    <n v="8"/>
    <x v="2"/>
    <x v="5"/>
    <n v="87"/>
    <n v="2040"/>
    <n v="6.37"/>
    <n v="37"/>
    <n v="5"/>
    <n v="9649"/>
    <s v="High"/>
    <s v="Pediatric"/>
  </r>
  <r>
    <s v="P-0694"/>
    <x v="16"/>
    <x v="7"/>
    <x v="1"/>
    <n v="8"/>
    <x v="0"/>
    <x v="2"/>
    <n v="73"/>
    <n v="3119"/>
    <n v="10.07"/>
    <n v="54"/>
    <n v="4"/>
    <n v="13244"/>
    <s v="Low"/>
    <s v="Pediatric"/>
  </r>
  <r>
    <s v="P-0873"/>
    <x v="4"/>
    <x v="2"/>
    <x v="1"/>
    <n v="9"/>
    <x v="1"/>
    <x v="1"/>
    <n v="86"/>
    <n v="9075"/>
    <n v="14.67"/>
    <n v="62"/>
    <n v="4"/>
    <n v="31747"/>
    <s v="High"/>
    <s v="Pediatric"/>
  </r>
  <r>
    <s v="P-0971"/>
    <x v="25"/>
    <x v="2"/>
    <x v="0"/>
    <n v="9"/>
    <x v="1"/>
    <x v="0"/>
    <n v="78"/>
    <n v="5936"/>
    <n v="14.23"/>
    <n v="114"/>
    <n v="4"/>
    <n v="20198"/>
    <s v="Moderate"/>
    <s v="Pediatric"/>
  </r>
  <r>
    <s v="P-0059"/>
    <x v="1"/>
    <x v="7"/>
    <x v="1"/>
    <n v="9"/>
    <x v="1"/>
    <x v="2"/>
    <n v="77"/>
    <n v="2729"/>
    <n v="10.49"/>
    <n v="60"/>
    <n v="4"/>
    <n v="15935"/>
    <s v="Moderate"/>
    <s v="Pediatric"/>
  </r>
  <r>
    <s v="P-0085"/>
    <x v="18"/>
    <x v="7"/>
    <x v="1"/>
    <n v="9"/>
    <x v="2"/>
    <x v="3"/>
    <n v="80"/>
    <n v="3141"/>
    <n v="11.08"/>
    <n v="15"/>
    <n v="4"/>
    <n v="9383"/>
    <s v="Moderate"/>
    <s v="Pediatric"/>
  </r>
  <r>
    <s v="P-0148"/>
    <x v="16"/>
    <x v="7"/>
    <x v="0"/>
    <n v="9"/>
    <x v="2"/>
    <x v="0"/>
    <n v="87"/>
    <n v="2381"/>
    <n v="5.88"/>
    <n v="64"/>
    <n v="5"/>
    <n v="10104"/>
    <s v="High"/>
    <s v="Pediatric"/>
  </r>
  <r>
    <s v="P-0238"/>
    <x v="12"/>
    <x v="7"/>
    <x v="1"/>
    <n v="9"/>
    <x v="0"/>
    <x v="2"/>
    <n v="89"/>
    <n v="2268"/>
    <n v="8.4700000000000006"/>
    <n v="56"/>
    <n v="5"/>
    <n v="8184"/>
    <s v="High"/>
    <s v="Pediatric"/>
  </r>
  <r>
    <s v="P-0670"/>
    <x v="1"/>
    <x v="7"/>
    <x v="1"/>
    <n v="9"/>
    <x v="0"/>
    <x v="5"/>
    <n v="95"/>
    <n v="3419"/>
    <n v="3.13"/>
    <n v="53"/>
    <n v="4"/>
    <n v="9833"/>
    <s v="High"/>
    <s v="Pediatric"/>
  </r>
  <r>
    <s v="P-0776"/>
    <x v="14"/>
    <x v="7"/>
    <x v="0"/>
    <n v="9"/>
    <x v="1"/>
    <x v="2"/>
    <n v="94"/>
    <n v="3365"/>
    <n v="0"/>
    <n v="38"/>
    <n v="4"/>
    <n v="17872"/>
    <s v="High"/>
    <s v="Pediatric"/>
  </r>
  <r>
    <s v="P-0783"/>
    <x v="12"/>
    <x v="7"/>
    <x v="0"/>
    <n v="9"/>
    <x v="1"/>
    <x v="0"/>
    <n v="84"/>
    <n v="3285"/>
    <n v="1.01"/>
    <n v="64"/>
    <n v="4"/>
    <n v="8228"/>
    <s v="High"/>
    <s v="Pediatric"/>
  </r>
  <r>
    <s v="P-0651"/>
    <x v="10"/>
    <x v="5"/>
    <x v="0"/>
    <n v="9"/>
    <x v="1"/>
    <x v="1"/>
    <n v="76"/>
    <n v="3658"/>
    <n v="15.75"/>
    <n v="65"/>
    <n v="4"/>
    <n v="14538"/>
    <s v="Moderate"/>
    <s v="Pediatric"/>
  </r>
  <r>
    <s v="P-0003"/>
    <x v="1"/>
    <x v="0"/>
    <x v="1"/>
    <n v="10"/>
    <x v="0"/>
    <x v="3"/>
    <n v="83"/>
    <n v="1993"/>
    <n v="6.26"/>
    <n v="33"/>
    <n v="4"/>
    <n v="8163"/>
    <s v="High"/>
    <s v="Pediatric"/>
  </r>
  <r>
    <s v="P-0748"/>
    <x v="1"/>
    <x v="0"/>
    <x v="1"/>
    <n v="10"/>
    <x v="0"/>
    <x v="4"/>
    <n v="90"/>
    <n v="2543"/>
    <n v="3.3"/>
    <n v="49"/>
    <n v="5"/>
    <n v="10667"/>
    <s v="High"/>
    <s v="Pediatric"/>
  </r>
  <r>
    <s v="P-0624"/>
    <x v="22"/>
    <x v="2"/>
    <x v="0"/>
    <n v="10"/>
    <x v="0"/>
    <x v="4"/>
    <n v="77"/>
    <n v="3352"/>
    <n v="16.37"/>
    <n v="80"/>
    <n v="4"/>
    <n v="18509"/>
    <s v="Moderate"/>
    <s v="Pediatric"/>
  </r>
  <r>
    <s v="P-0007"/>
    <x v="18"/>
    <x v="7"/>
    <x v="1"/>
    <n v="10"/>
    <x v="0"/>
    <x v="2"/>
    <n v="76"/>
    <n v="2930"/>
    <n v="6.8"/>
    <n v="63"/>
    <n v="4"/>
    <n v="15823"/>
    <s v="Moderate"/>
    <s v="Pediatric"/>
  </r>
  <r>
    <s v="P-0154"/>
    <x v="12"/>
    <x v="7"/>
    <x v="1"/>
    <n v="10"/>
    <x v="1"/>
    <x v="4"/>
    <n v="84"/>
    <n v="2009"/>
    <n v="7.8"/>
    <n v="54"/>
    <n v="5"/>
    <n v="8642"/>
    <s v="High"/>
    <s v="Pediatric"/>
  </r>
  <r>
    <s v="P-0158"/>
    <x v="12"/>
    <x v="7"/>
    <x v="2"/>
    <n v="10"/>
    <x v="2"/>
    <x v="0"/>
    <n v="78"/>
    <n v="2818"/>
    <n v="9.52"/>
    <n v="85"/>
    <n v="4"/>
    <n v="7608"/>
    <s v="Moderate"/>
    <s v="Pediatric"/>
  </r>
  <r>
    <s v="P-0195"/>
    <x v="14"/>
    <x v="7"/>
    <x v="0"/>
    <n v="10"/>
    <x v="2"/>
    <x v="0"/>
    <n v="86"/>
    <n v="3262"/>
    <n v="12.76"/>
    <n v="60"/>
    <n v="4"/>
    <n v="14172"/>
    <s v="High"/>
    <s v="Pediatric"/>
  </r>
  <r>
    <s v="P-0362"/>
    <x v="1"/>
    <x v="7"/>
    <x v="1"/>
    <n v="10"/>
    <x v="1"/>
    <x v="5"/>
    <n v="93"/>
    <n v="3151"/>
    <n v="6.5"/>
    <n v="59"/>
    <n v="4"/>
    <n v="10747"/>
    <s v="High"/>
    <s v="Pediatric"/>
  </r>
  <r>
    <s v="P-0406"/>
    <x v="14"/>
    <x v="7"/>
    <x v="0"/>
    <n v="10"/>
    <x v="0"/>
    <x v="3"/>
    <n v="78"/>
    <n v="2632"/>
    <n v="12.21"/>
    <n v="50"/>
    <n v="4"/>
    <n v="7774"/>
    <s v="Moderate"/>
    <s v="Pediatric"/>
  </r>
  <r>
    <s v="P-0653"/>
    <x v="1"/>
    <x v="7"/>
    <x v="0"/>
    <n v="10"/>
    <x v="1"/>
    <x v="2"/>
    <n v="87"/>
    <n v="2703"/>
    <n v="6.01"/>
    <n v="89"/>
    <n v="4"/>
    <n v="6923"/>
    <s v="High"/>
    <s v="Pediatric"/>
  </r>
  <r>
    <s v="P-0993"/>
    <x v="26"/>
    <x v="4"/>
    <x v="0"/>
    <n v="10"/>
    <x v="0"/>
    <x v="2"/>
    <n v="74"/>
    <n v="6177"/>
    <n v="11.03"/>
    <n v="87"/>
    <n v="3"/>
    <n v="34058"/>
    <s v="Low"/>
    <s v="Pediatric"/>
  </r>
  <r>
    <s v="P-0126"/>
    <x v="27"/>
    <x v="5"/>
    <x v="0"/>
    <n v="10"/>
    <x v="0"/>
    <x v="5"/>
    <n v="73"/>
    <n v="4118"/>
    <n v="14.2"/>
    <n v="84"/>
    <n v="4"/>
    <n v="13468"/>
    <s v="Low"/>
    <s v="Pediatric"/>
  </r>
  <r>
    <s v="P-0438"/>
    <x v="27"/>
    <x v="5"/>
    <x v="1"/>
    <n v="10"/>
    <x v="1"/>
    <x v="5"/>
    <n v="68"/>
    <n v="3453"/>
    <n v="19.8"/>
    <n v="121"/>
    <n v="3"/>
    <n v="9270"/>
    <s v="Low"/>
    <s v="Pediatric"/>
  </r>
  <r>
    <s v="P-0413"/>
    <x v="28"/>
    <x v="6"/>
    <x v="0"/>
    <n v="10"/>
    <x v="1"/>
    <x v="1"/>
    <n v="78"/>
    <n v="9188"/>
    <n v="14.9"/>
    <n v="66"/>
    <n v="4"/>
    <n v="53566"/>
    <s v="Moderate"/>
    <s v="Pediatric"/>
  </r>
  <r>
    <s v="P-0911"/>
    <x v="29"/>
    <x v="6"/>
    <x v="1"/>
    <n v="10"/>
    <x v="1"/>
    <x v="1"/>
    <n v="75"/>
    <n v="6914"/>
    <n v="13"/>
    <n v="124"/>
    <n v="4"/>
    <n v="37422"/>
    <s v="Low"/>
    <s v="Pediatric"/>
  </r>
  <r>
    <s v="P-0587"/>
    <x v="24"/>
    <x v="1"/>
    <x v="0"/>
    <n v="11"/>
    <x v="2"/>
    <x v="4"/>
    <n v="69"/>
    <n v="3629"/>
    <n v="15"/>
    <n v="65"/>
    <n v="3"/>
    <n v="18435"/>
    <s v="Low"/>
    <s v="Pediatric"/>
  </r>
  <r>
    <s v="P-0921"/>
    <x v="5"/>
    <x v="3"/>
    <x v="1"/>
    <n v="11"/>
    <x v="0"/>
    <x v="1"/>
    <n v="88"/>
    <n v="5759"/>
    <n v="13.57"/>
    <n v="110"/>
    <n v="5"/>
    <n v="21640"/>
    <s v="High"/>
    <s v="Pediatric"/>
  </r>
  <r>
    <s v="P-0149"/>
    <x v="1"/>
    <x v="7"/>
    <x v="0"/>
    <n v="11"/>
    <x v="2"/>
    <x v="2"/>
    <n v="85"/>
    <n v="3022"/>
    <n v="8.48"/>
    <n v="68"/>
    <n v="4"/>
    <n v="8318"/>
    <s v="High"/>
    <s v="Pediatric"/>
  </r>
  <r>
    <s v="P-0296"/>
    <x v="12"/>
    <x v="7"/>
    <x v="1"/>
    <n v="11"/>
    <x v="2"/>
    <x v="0"/>
    <n v="74"/>
    <n v="3141"/>
    <n v="13.48"/>
    <n v="71"/>
    <n v="4"/>
    <n v="16376"/>
    <s v="Low"/>
    <s v="Pediatric"/>
  </r>
  <r>
    <s v="P-0493"/>
    <x v="14"/>
    <x v="7"/>
    <x v="0"/>
    <n v="11"/>
    <x v="2"/>
    <x v="5"/>
    <n v="91"/>
    <n v="2832"/>
    <n v="4.1399999999999997"/>
    <n v="39"/>
    <n v="4"/>
    <n v="9149"/>
    <s v="High"/>
    <s v="Pediatric"/>
  </r>
  <r>
    <s v="P-0877"/>
    <x v="14"/>
    <x v="7"/>
    <x v="0"/>
    <n v="11"/>
    <x v="1"/>
    <x v="3"/>
    <n v="84"/>
    <n v="3081"/>
    <n v="8.1"/>
    <n v="30"/>
    <n v="5"/>
    <n v="16648"/>
    <s v="High"/>
    <s v="Pediatric"/>
  </r>
  <r>
    <s v="P-0832"/>
    <x v="28"/>
    <x v="6"/>
    <x v="0"/>
    <n v="11"/>
    <x v="2"/>
    <x v="4"/>
    <n v="79"/>
    <n v="6850"/>
    <n v="9.52"/>
    <n v="79"/>
    <n v="4"/>
    <n v="35099"/>
    <s v="Moderate"/>
    <s v="Pediatric"/>
  </r>
  <r>
    <s v="P-0909"/>
    <x v="18"/>
    <x v="7"/>
    <x v="0"/>
    <n v="12"/>
    <x v="1"/>
    <x v="3"/>
    <n v="85"/>
    <n v="3681"/>
    <n v="7.38"/>
    <n v="47"/>
    <n v="4"/>
    <n v="16426"/>
    <s v="High"/>
    <s v="Pediatric"/>
  </r>
  <r>
    <s v="P-0784"/>
    <x v="14"/>
    <x v="7"/>
    <x v="1"/>
    <n v="12"/>
    <x v="0"/>
    <x v="1"/>
    <n v="84"/>
    <n v="2396"/>
    <n v="4.0999999999999996"/>
    <n v="56"/>
    <n v="4"/>
    <n v="8381"/>
    <s v="High"/>
    <s v="Pediatric"/>
  </r>
  <r>
    <s v="P-0071"/>
    <x v="1"/>
    <x v="0"/>
    <x v="1"/>
    <n v="12"/>
    <x v="2"/>
    <x v="3"/>
    <n v="86"/>
    <n v="2121"/>
    <n v="0"/>
    <n v="49"/>
    <n v="4"/>
    <n v="6191"/>
    <s v="High"/>
    <s v="Pediatric"/>
  </r>
  <r>
    <s v="P-0688"/>
    <x v="12"/>
    <x v="7"/>
    <x v="0"/>
    <n v="12"/>
    <x v="2"/>
    <x v="2"/>
    <n v="73"/>
    <n v="3619"/>
    <n v="14.26"/>
    <n v="74"/>
    <n v="3"/>
    <n v="21562"/>
    <s v="Low"/>
    <s v="Pediatric"/>
  </r>
  <r>
    <s v="P-0866"/>
    <x v="12"/>
    <x v="7"/>
    <x v="2"/>
    <n v="12"/>
    <x v="1"/>
    <x v="3"/>
    <n v="81"/>
    <n v="3057"/>
    <n v="3.94"/>
    <n v="34"/>
    <n v="4"/>
    <n v="14105"/>
    <s v="Moderate"/>
    <s v="Pediatric"/>
  </r>
  <r>
    <s v="P-0895"/>
    <x v="14"/>
    <x v="7"/>
    <x v="1"/>
    <n v="12"/>
    <x v="0"/>
    <x v="3"/>
    <n v="95"/>
    <n v="3110"/>
    <n v="9.81"/>
    <n v="29"/>
    <n v="4"/>
    <n v="11519"/>
    <s v="High"/>
    <s v="Pediatric"/>
  </r>
  <r>
    <s v="P-0581"/>
    <x v="18"/>
    <x v="7"/>
    <x v="0"/>
    <n v="12"/>
    <x v="0"/>
    <x v="0"/>
    <n v="82"/>
    <n v="4310"/>
    <n v="10.28"/>
    <n v="43"/>
    <n v="4"/>
    <n v="11400"/>
    <s v="Moderate"/>
    <s v="Pediatric"/>
  </r>
  <r>
    <s v="P-0884"/>
    <x v="18"/>
    <x v="7"/>
    <x v="0"/>
    <n v="12"/>
    <x v="2"/>
    <x v="4"/>
    <n v="73"/>
    <n v="2384"/>
    <n v="10.24"/>
    <n v="72"/>
    <n v="4"/>
    <n v="7722"/>
    <s v="Low"/>
    <s v="Pediatric"/>
  </r>
  <r>
    <s v="P-0439"/>
    <x v="1"/>
    <x v="7"/>
    <x v="1"/>
    <n v="12"/>
    <x v="1"/>
    <x v="4"/>
    <n v="84"/>
    <n v="3333"/>
    <n v="2.66"/>
    <n v="97"/>
    <n v="4"/>
    <n v="12522"/>
    <s v="High"/>
    <s v="Pediatric"/>
  </r>
  <r>
    <s v="P-0757"/>
    <x v="1"/>
    <x v="7"/>
    <x v="0"/>
    <n v="12"/>
    <x v="1"/>
    <x v="1"/>
    <n v="89"/>
    <n v="2655"/>
    <n v="10.15"/>
    <n v="46"/>
    <n v="4"/>
    <n v="11791"/>
    <s v="High"/>
    <s v="Pediatric"/>
  </r>
  <r>
    <s v="P-0750"/>
    <x v="16"/>
    <x v="7"/>
    <x v="1"/>
    <n v="12"/>
    <x v="1"/>
    <x v="0"/>
    <n v="89"/>
    <n v="3187"/>
    <n v="8.52"/>
    <n v="43"/>
    <n v="4"/>
    <n v="8585"/>
    <s v="High"/>
    <s v="Pediatric"/>
  </r>
  <r>
    <s v="P-0354"/>
    <x v="30"/>
    <x v="1"/>
    <x v="0"/>
    <n v="12"/>
    <x v="0"/>
    <x v="0"/>
    <n v="82"/>
    <n v="8012"/>
    <n v="10.029999999999999"/>
    <n v="66"/>
    <n v="4"/>
    <n v="37227"/>
    <s v="Moderate"/>
    <s v="Pediatric"/>
  </r>
  <r>
    <s v="P-0152"/>
    <x v="3"/>
    <x v="2"/>
    <x v="0"/>
    <n v="12"/>
    <x v="2"/>
    <x v="1"/>
    <n v="82"/>
    <n v="9280"/>
    <n v="14.72"/>
    <n v="68"/>
    <n v="4"/>
    <n v="43713"/>
    <s v="Moderate"/>
    <s v="Pediatric"/>
  </r>
  <r>
    <s v="P-0018"/>
    <x v="12"/>
    <x v="7"/>
    <x v="0"/>
    <n v="12"/>
    <x v="2"/>
    <x v="1"/>
    <n v="82"/>
    <n v="3460"/>
    <n v="3.4"/>
    <n v="59"/>
    <n v="4"/>
    <n v="17468"/>
    <s v="Moderate"/>
    <s v="Pediatric"/>
  </r>
  <r>
    <s v="P-0036"/>
    <x v="16"/>
    <x v="7"/>
    <x v="0"/>
    <n v="12"/>
    <x v="2"/>
    <x v="5"/>
    <n v="83"/>
    <n v="2536"/>
    <n v="14.65"/>
    <n v="26"/>
    <n v="4"/>
    <n v="8561"/>
    <s v="High"/>
    <s v="Pediatric"/>
  </r>
  <r>
    <s v="P-0106"/>
    <x v="16"/>
    <x v="7"/>
    <x v="0"/>
    <n v="12"/>
    <x v="1"/>
    <x v="4"/>
    <n v="78"/>
    <n v="4203"/>
    <n v="10.87"/>
    <n v="71"/>
    <n v="4"/>
    <n v="10669"/>
    <s v="Moderate"/>
    <s v="Pediatric"/>
  </r>
  <r>
    <s v="P-0175"/>
    <x v="14"/>
    <x v="7"/>
    <x v="1"/>
    <n v="12"/>
    <x v="0"/>
    <x v="3"/>
    <n v="76"/>
    <n v="2158"/>
    <n v="15"/>
    <n v="46"/>
    <n v="4"/>
    <n v="11290"/>
    <s v="Moderate"/>
    <s v="Pediatric"/>
  </r>
  <r>
    <s v="P-0248"/>
    <x v="18"/>
    <x v="7"/>
    <x v="1"/>
    <n v="12"/>
    <x v="0"/>
    <x v="3"/>
    <n v="79"/>
    <n v="3434"/>
    <n v="10.67"/>
    <n v="33"/>
    <n v="4"/>
    <n v="19488"/>
    <s v="Moderate"/>
    <s v="Pediatric"/>
  </r>
  <r>
    <s v="P-0385"/>
    <x v="14"/>
    <x v="7"/>
    <x v="1"/>
    <n v="12"/>
    <x v="0"/>
    <x v="5"/>
    <n v="85"/>
    <n v="2346"/>
    <n v="4.8600000000000003"/>
    <n v="46"/>
    <n v="4"/>
    <n v="13319"/>
    <s v="High"/>
    <s v="Pediatric"/>
  </r>
  <r>
    <s v="P-0566"/>
    <x v="14"/>
    <x v="7"/>
    <x v="1"/>
    <n v="12"/>
    <x v="2"/>
    <x v="3"/>
    <n v="77"/>
    <n v="2803"/>
    <n v="11.2"/>
    <n v="57"/>
    <n v="4"/>
    <n v="7554"/>
    <s v="Moderate"/>
    <s v="Pediatric"/>
  </r>
  <r>
    <s v="P-0594"/>
    <x v="14"/>
    <x v="7"/>
    <x v="1"/>
    <n v="12"/>
    <x v="1"/>
    <x v="3"/>
    <n v="91"/>
    <n v="2421"/>
    <n v="3.38"/>
    <n v="57"/>
    <n v="5"/>
    <n v="11224"/>
    <s v="High"/>
    <s v="Pediatric"/>
  </r>
  <r>
    <s v="P-0595"/>
    <x v="1"/>
    <x v="7"/>
    <x v="1"/>
    <n v="12"/>
    <x v="2"/>
    <x v="4"/>
    <n v="87"/>
    <n v="3559"/>
    <n v="6.34"/>
    <n v="65"/>
    <n v="5"/>
    <n v="10137"/>
    <s v="High"/>
    <s v="Pediatric"/>
  </r>
  <r>
    <s v="P-0889"/>
    <x v="6"/>
    <x v="4"/>
    <x v="0"/>
    <n v="12"/>
    <x v="1"/>
    <x v="5"/>
    <n v="70"/>
    <n v="9904"/>
    <n v="13.44"/>
    <n v="86"/>
    <n v="4"/>
    <n v="35838"/>
    <s v="Low"/>
    <s v="Pediatric"/>
  </r>
  <r>
    <s v="P-0546"/>
    <x v="1"/>
    <x v="0"/>
    <x v="0"/>
    <n v="13"/>
    <x v="2"/>
    <x v="2"/>
    <n v="86"/>
    <n v="3199"/>
    <n v="3.47"/>
    <n v="79"/>
    <n v="4"/>
    <n v="15261"/>
    <s v="High"/>
    <s v="Pediatric"/>
  </r>
  <r>
    <s v="P-0628"/>
    <x v="1"/>
    <x v="0"/>
    <x v="1"/>
    <n v="13"/>
    <x v="1"/>
    <x v="4"/>
    <n v="87"/>
    <n v="2451"/>
    <n v="0"/>
    <n v="20"/>
    <n v="4"/>
    <n v="8782"/>
    <s v="High"/>
    <s v="Pediatric"/>
  </r>
  <r>
    <s v="P-0156"/>
    <x v="2"/>
    <x v="1"/>
    <x v="0"/>
    <n v="13"/>
    <x v="2"/>
    <x v="5"/>
    <n v="79"/>
    <n v="3485"/>
    <n v="13.02"/>
    <n v="69"/>
    <n v="4"/>
    <n v="11746"/>
    <s v="Moderate"/>
    <s v="Pediatric"/>
  </r>
  <r>
    <s v="P-0371"/>
    <x v="31"/>
    <x v="1"/>
    <x v="0"/>
    <n v="13"/>
    <x v="1"/>
    <x v="1"/>
    <n v="79"/>
    <n v="8245"/>
    <n v="13.56"/>
    <n v="37"/>
    <n v="4"/>
    <n v="35044"/>
    <s v="Moderate"/>
    <s v="Pediatric"/>
  </r>
  <r>
    <s v="P-0030"/>
    <x v="16"/>
    <x v="7"/>
    <x v="1"/>
    <n v="13"/>
    <x v="2"/>
    <x v="2"/>
    <n v="90"/>
    <n v="3634"/>
    <n v="8.2100000000000009"/>
    <n v="43"/>
    <n v="5"/>
    <n v="18019"/>
    <s v="High"/>
    <s v="Pediatric"/>
  </r>
  <r>
    <s v="P-0264"/>
    <x v="18"/>
    <x v="7"/>
    <x v="1"/>
    <n v="13"/>
    <x v="1"/>
    <x v="0"/>
    <n v="82"/>
    <n v="3552"/>
    <n v="5.83"/>
    <n v="90"/>
    <n v="4"/>
    <n v="17415"/>
    <s v="Moderate"/>
    <s v="Pediatric"/>
  </r>
  <r>
    <s v="P-0356"/>
    <x v="1"/>
    <x v="7"/>
    <x v="1"/>
    <n v="13"/>
    <x v="1"/>
    <x v="1"/>
    <n v="94"/>
    <n v="4023"/>
    <n v="6.8"/>
    <n v="42"/>
    <n v="5"/>
    <n v="11200"/>
    <s v="High"/>
    <s v="Pediatric"/>
  </r>
  <r>
    <s v="P-0370"/>
    <x v="1"/>
    <x v="7"/>
    <x v="0"/>
    <n v="13"/>
    <x v="1"/>
    <x v="4"/>
    <n v="87"/>
    <n v="2557"/>
    <n v="5.21"/>
    <n v="48"/>
    <n v="5"/>
    <n v="11376"/>
    <s v="High"/>
    <s v="Pediatric"/>
  </r>
  <r>
    <s v="P-0555"/>
    <x v="12"/>
    <x v="7"/>
    <x v="0"/>
    <n v="13"/>
    <x v="0"/>
    <x v="4"/>
    <n v="89"/>
    <n v="2374"/>
    <n v="3.31"/>
    <n v="53"/>
    <n v="4"/>
    <n v="6952"/>
    <s v="High"/>
    <s v="Pediatric"/>
  </r>
  <r>
    <s v="P-0722"/>
    <x v="12"/>
    <x v="7"/>
    <x v="0"/>
    <n v="13"/>
    <x v="0"/>
    <x v="1"/>
    <n v="78"/>
    <n v="2512"/>
    <n v="6.9"/>
    <n v="72"/>
    <n v="4"/>
    <n v="14948"/>
    <s v="Moderate"/>
    <s v="Pediatric"/>
  </r>
  <r>
    <s v="P-0778"/>
    <x v="1"/>
    <x v="7"/>
    <x v="1"/>
    <n v="13"/>
    <x v="1"/>
    <x v="1"/>
    <n v="94"/>
    <n v="2768"/>
    <n v="0.53"/>
    <n v="87"/>
    <n v="5"/>
    <n v="15670"/>
    <s v="High"/>
    <s v="Pediatric"/>
  </r>
  <r>
    <s v="P-0912"/>
    <x v="12"/>
    <x v="7"/>
    <x v="1"/>
    <n v="13"/>
    <x v="1"/>
    <x v="4"/>
    <n v="82"/>
    <n v="3588"/>
    <n v="10.68"/>
    <n v="59"/>
    <n v="3"/>
    <n v="14258"/>
    <s v="Moderate"/>
    <s v="Pediatric"/>
  </r>
  <r>
    <s v="P-0305"/>
    <x v="32"/>
    <x v="3"/>
    <x v="1"/>
    <n v="13"/>
    <x v="2"/>
    <x v="0"/>
    <n v="72"/>
    <n v="6989"/>
    <n v="11.39"/>
    <n v="106"/>
    <n v="4"/>
    <n v="33246"/>
    <s v="Low"/>
    <s v="Pediatric"/>
  </r>
  <r>
    <s v="P-0999"/>
    <x v="1"/>
    <x v="7"/>
    <x v="1"/>
    <n v="13"/>
    <x v="1"/>
    <x v="2"/>
    <n v="84"/>
    <n v="3721"/>
    <n v="8.0399999999999991"/>
    <n v="56"/>
    <n v="4"/>
    <n v="12910"/>
    <s v="High"/>
    <s v="Pediatric"/>
  </r>
  <r>
    <s v="P-0850"/>
    <x v="23"/>
    <x v="4"/>
    <x v="0"/>
    <n v="13"/>
    <x v="1"/>
    <x v="4"/>
    <n v="64"/>
    <n v="8296"/>
    <n v="17.73"/>
    <n v="151"/>
    <n v="3"/>
    <n v="42172"/>
    <s v="Low"/>
    <s v="Pediatric"/>
  </r>
  <r>
    <s v="P-0103"/>
    <x v="27"/>
    <x v="5"/>
    <x v="0"/>
    <n v="13"/>
    <x v="0"/>
    <x v="3"/>
    <n v="57"/>
    <n v="2603"/>
    <n v="25.02"/>
    <n v="122"/>
    <n v="4"/>
    <n v="9190"/>
    <s v="Low"/>
    <s v="Pediatric"/>
  </r>
  <r>
    <s v="P-0780"/>
    <x v="1"/>
    <x v="0"/>
    <x v="0"/>
    <n v="14"/>
    <x v="1"/>
    <x v="5"/>
    <n v="99"/>
    <n v="2986"/>
    <n v="2.0099999999999998"/>
    <n v="38"/>
    <n v="4"/>
    <n v="8401"/>
    <s v="High"/>
    <s v="Pediatric"/>
  </r>
  <r>
    <s v="P-0137"/>
    <x v="24"/>
    <x v="1"/>
    <x v="0"/>
    <n v="14"/>
    <x v="1"/>
    <x v="0"/>
    <n v="80"/>
    <n v="5945"/>
    <n v="12.97"/>
    <n v="61"/>
    <n v="4"/>
    <n v="19296"/>
    <s v="Moderate"/>
    <s v="Pediatric"/>
  </r>
  <r>
    <s v="P-0441"/>
    <x v="33"/>
    <x v="2"/>
    <x v="1"/>
    <n v="14"/>
    <x v="1"/>
    <x v="0"/>
    <n v="90"/>
    <n v="7278"/>
    <n v="16.21"/>
    <n v="23"/>
    <n v="4"/>
    <n v="39175"/>
    <s v="High"/>
    <s v="Pediatric"/>
  </r>
  <r>
    <s v="P-0179"/>
    <x v="18"/>
    <x v="7"/>
    <x v="0"/>
    <n v="14"/>
    <x v="2"/>
    <x v="0"/>
    <n v="83"/>
    <n v="4006"/>
    <n v="5.79"/>
    <n v="92"/>
    <n v="5"/>
    <n v="13859"/>
    <s v="High"/>
    <s v="Pediatric"/>
  </r>
  <r>
    <s v="P-0328"/>
    <x v="18"/>
    <x v="7"/>
    <x v="1"/>
    <n v="14"/>
    <x v="2"/>
    <x v="4"/>
    <n v="87"/>
    <n v="2669"/>
    <n v="3.9"/>
    <n v="33"/>
    <n v="5"/>
    <n v="7337"/>
    <s v="High"/>
    <s v="Pediatric"/>
  </r>
  <r>
    <s v="P-0734"/>
    <x v="12"/>
    <x v="7"/>
    <x v="1"/>
    <n v="14"/>
    <x v="2"/>
    <x v="0"/>
    <n v="97"/>
    <n v="3050"/>
    <n v="6.66"/>
    <n v="79"/>
    <n v="5"/>
    <n v="11461"/>
    <s v="High"/>
    <s v="Pediatric"/>
  </r>
  <r>
    <s v="P-0839"/>
    <x v="16"/>
    <x v="7"/>
    <x v="1"/>
    <n v="14"/>
    <x v="1"/>
    <x v="4"/>
    <n v="83"/>
    <n v="2984"/>
    <n v="7.13"/>
    <n v="72"/>
    <n v="4"/>
    <n v="10995"/>
    <s v="High"/>
    <s v="Pediatric"/>
  </r>
  <r>
    <s v="P-0094"/>
    <x v="20"/>
    <x v="3"/>
    <x v="0"/>
    <n v="14"/>
    <x v="2"/>
    <x v="4"/>
    <n v="77"/>
    <n v="5036"/>
    <n v="14.4"/>
    <n v="84"/>
    <n v="3"/>
    <n v="19973"/>
    <s v="Moderate"/>
    <s v="Pediatric"/>
  </r>
  <r>
    <s v="P-0114"/>
    <x v="26"/>
    <x v="4"/>
    <x v="1"/>
    <n v="14"/>
    <x v="2"/>
    <x v="0"/>
    <n v="77"/>
    <n v="10473"/>
    <n v="17.54"/>
    <n v="93"/>
    <n v="4"/>
    <n v="61777"/>
    <s v="Moderate"/>
    <s v="Pediatric"/>
  </r>
  <r>
    <s v="P-0599"/>
    <x v="8"/>
    <x v="4"/>
    <x v="0"/>
    <n v="14"/>
    <x v="2"/>
    <x v="1"/>
    <n v="73"/>
    <n v="8197"/>
    <n v="17.45"/>
    <n v="92"/>
    <n v="3"/>
    <n v="24737"/>
    <s v="Low"/>
    <s v="Pediatric"/>
  </r>
  <r>
    <s v="P-0704"/>
    <x v="13"/>
    <x v="5"/>
    <x v="0"/>
    <n v="14"/>
    <x v="0"/>
    <x v="3"/>
    <n v="65"/>
    <n v="3453"/>
    <n v="23.82"/>
    <n v="118"/>
    <n v="3"/>
    <n v="11519"/>
    <s v="Low"/>
    <s v="Pediatric"/>
  </r>
  <r>
    <s v="P-0504"/>
    <x v="16"/>
    <x v="6"/>
    <x v="1"/>
    <n v="14"/>
    <x v="1"/>
    <x v="0"/>
    <n v="70"/>
    <n v="6170"/>
    <n v="16.940000000000001"/>
    <n v="87"/>
    <n v="3"/>
    <n v="19408"/>
    <s v="Low"/>
    <s v="Pediatric"/>
  </r>
  <r>
    <s v="P-0908"/>
    <x v="2"/>
    <x v="1"/>
    <x v="1"/>
    <n v="15"/>
    <x v="1"/>
    <x v="1"/>
    <n v="71"/>
    <n v="3988"/>
    <n v="12.43"/>
    <n v="67"/>
    <n v="4"/>
    <n v="15290"/>
    <s v="Low"/>
    <s v="Pediatric"/>
  </r>
  <r>
    <s v="P-0087"/>
    <x v="16"/>
    <x v="7"/>
    <x v="0"/>
    <n v="15"/>
    <x v="1"/>
    <x v="5"/>
    <n v="89"/>
    <n v="3042"/>
    <n v="6.09"/>
    <n v="42"/>
    <n v="5"/>
    <n v="11247"/>
    <s v="High"/>
    <s v="Pediatric"/>
  </r>
  <r>
    <s v="P-0198"/>
    <x v="16"/>
    <x v="7"/>
    <x v="0"/>
    <n v="15"/>
    <x v="2"/>
    <x v="0"/>
    <n v="74"/>
    <n v="1823"/>
    <n v="16.239999999999998"/>
    <n v="59"/>
    <n v="4"/>
    <n v="6629"/>
    <s v="Low"/>
    <s v="Pediatric"/>
  </r>
  <r>
    <s v="P-0267"/>
    <x v="14"/>
    <x v="7"/>
    <x v="1"/>
    <n v="15"/>
    <x v="2"/>
    <x v="4"/>
    <n v="79"/>
    <n v="3571"/>
    <n v="9.15"/>
    <n v="64"/>
    <n v="4"/>
    <n v="20206"/>
    <s v="Moderate"/>
    <s v="Pediatric"/>
  </r>
  <r>
    <s v="P-0411"/>
    <x v="14"/>
    <x v="7"/>
    <x v="0"/>
    <n v="15"/>
    <x v="1"/>
    <x v="0"/>
    <n v="85"/>
    <n v="3236"/>
    <n v="0.28999999999999998"/>
    <n v="67"/>
    <n v="5"/>
    <n v="10300"/>
    <s v="High"/>
    <s v="Pediatric"/>
  </r>
  <r>
    <s v="P-0631"/>
    <x v="14"/>
    <x v="7"/>
    <x v="0"/>
    <n v="15"/>
    <x v="2"/>
    <x v="5"/>
    <n v="82"/>
    <n v="3723"/>
    <n v="1.89"/>
    <n v="55"/>
    <n v="4"/>
    <n v="13082"/>
    <s v="Moderate"/>
    <s v="Pediatric"/>
  </r>
  <r>
    <s v="P-0867"/>
    <x v="18"/>
    <x v="7"/>
    <x v="0"/>
    <n v="15"/>
    <x v="1"/>
    <x v="0"/>
    <n v="70"/>
    <n v="2557"/>
    <n v="4.66"/>
    <n v="93"/>
    <n v="3"/>
    <n v="14570"/>
    <s v="Low"/>
    <s v="Pediatric"/>
  </r>
  <r>
    <s v="P-0963"/>
    <x v="14"/>
    <x v="7"/>
    <x v="0"/>
    <n v="15"/>
    <x v="1"/>
    <x v="4"/>
    <n v="88"/>
    <n v="2052"/>
    <n v="4.7300000000000004"/>
    <n v="52"/>
    <n v="5"/>
    <n v="11290"/>
    <s v="High"/>
    <s v="Pediatric"/>
  </r>
  <r>
    <s v="P-0947"/>
    <x v="28"/>
    <x v="6"/>
    <x v="0"/>
    <n v="15"/>
    <x v="2"/>
    <x v="3"/>
    <n v="74"/>
    <n v="7189"/>
    <n v="14.7"/>
    <n v="58"/>
    <n v="4"/>
    <n v="38505"/>
    <s v="Low"/>
    <s v="Pediatric"/>
  </r>
  <r>
    <s v="P-0099"/>
    <x v="2"/>
    <x v="1"/>
    <x v="0"/>
    <n v="16"/>
    <x v="0"/>
    <x v="5"/>
    <n v="83"/>
    <n v="4667"/>
    <n v="19.010000000000002"/>
    <n v="59"/>
    <n v="5"/>
    <n v="12110"/>
    <s v="High"/>
    <s v="Pediatric"/>
  </r>
  <r>
    <s v="P-0116"/>
    <x v="34"/>
    <x v="1"/>
    <x v="0"/>
    <n v="16"/>
    <x v="2"/>
    <x v="4"/>
    <n v="75"/>
    <n v="4749"/>
    <n v="17.11"/>
    <n v="85"/>
    <n v="4"/>
    <n v="17113"/>
    <s v="Low"/>
    <s v="Pediatric"/>
  </r>
  <r>
    <s v="P-0222"/>
    <x v="34"/>
    <x v="1"/>
    <x v="1"/>
    <n v="16"/>
    <x v="2"/>
    <x v="1"/>
    <n v="72"/>
    <n v="5366"/>
    <n v="15.09"/>
    <n v="51"/>
    <n v="4"/>
    <n v="31081"/>
    <s v="Low"/>
    <s v="Pediatric"/>
  </r>
  <r>
    <s v="P-0824"/>
    <x v="34"/>
    <x v="1"/>
    <x v="1"/>
    <n v="16"/>
    <x v="0"/>
    <x v="5"/>
    <n v="87"/>
    <n v="6583"/>
    <n v="10.7"/>
    <n v="88"/>
    <n v="4"/>
    <n v="37615"/>
    <s v="High"/>
    <s v="Pediatric"/>
  </r>
  <r>
    <s v="P-0091"/>
    <x v="18"/>
    <x v="7"/>
    <x v="0"/>
    <n v="16"/>
    <x v="2"/>
    <x v="4"/>
    <n v="88"/>
    <n v="4129"/>
    <n v="13.38"/>
    <n v="69"/>
    <n v="4"/>
    <n v="23825"/>
    <s v="High"/>
    <s v="Pediatric"/>
  </r>
  <r>
    <s v="P-0403"/>
    <x v="14"/>
    <x v="7"/>
    <x v="1"/>
    <n v="16"/>
    <x v="2"/>
    <x v="4"/>
    <n v="88"/>
    <n v="3377"/>
    <n v="4.78"/>
    <n v="72"/>
    <n v="4"/>
    <n v="20229"/>
    <s v="High"/>
    <s v="Pediatric"/>
  </r>
  <r>
    <s v="P-0408"/>
    <x v="16"/>
    <x v="7"/>
    <x v="0"/>
    <n v="16"/>
    <x v="0"/>
    <x v="4"/>
    <n v="92"/>
    <n v="1849"/>
    <n v="7.4"/>
    <n v="52"/>
    <n v="5"/>
    <n v="5510"/>
    <s v="High"/>
    <s v="Pediatric"/>
  </r>
  <r>
    <s v="P-0476"/>
    <x v="14"/>
    <x v="7"/>
    <x v="0"/>
    <n v="16"/>
    <x v="1"/>
    <x v="2"/>
    <n v="80"/>
    <n v="3709"/>
    <n v="12.64"/>
    <n v="63"/>
    <n v="4"/>
    <n v="9286"/>
    <s v="Moderate"/>
    <s v="Pediatric"/>
  </r>
  <r>
    <s v="P-0592"/>
    <x v="14"/>
    <x v="7"/>
    <x v="0"/>
    <n v="16"/>
    <x v="0"/>
    <x v="4"/>
    <n v="75"/>
    <n v="4010"/>
    <n v="15.38"/>
    <n v="48"/>
    <n v="3"/>
    <n v="11521"/>
    <s v="Low"/>
    <s v="Pediatric"/>
  </r>
  <r>
    <s v="P-0611"/>
    <x v="12"/>
    <x v="7"/>
    <x v="1"/>
    <n v="16"/>
    <x v="1"/>
    <x v="2"/>
    <n v="81"/>
    <n v="3007"/>
    <n v="9.92"/>
    <n v="61"/>
    <n v="3"/>
    <n v="16546"/>
    <s v="Moderate"/>
    <s v="Pediatric"/>
  </r>
  <r>
    <s v="P-0630"/>
    <x v="12"/>
    <x v="7"/>
    <x v="1"/>
    <n v="16"/>
    <x v="1"/>
    <x v="0"/>
    <n v="82"/>
    <n v="3087"/>
    <n v="5.37"/>
    <n v="47"/>
    <n v="4"/>
    <n v="16810"/>
    <s v="Moderate"/>
    <s v="Pediatric"/>
  </r>
  <r>
    <s v="P-0802"/>
    <x v="1"/>
    <x v="7"/>
    <x v="1"/>
    <n v="16"/>
    <x v="2"/>
    <x v="4"/>
    <n v="76"/>
    <n v="3802"/>
    <n v="12.03"/>
    <n v="50"/>
    <n v="4"/>
    <n v="10749"/>
    <s v="Moderate"/>
    <s v="Pediatric"/>
  </r>
  <r>
    <s v="P-0682"/>
    <x v="25"/>
    <x v="2"/>
    <x v="1"/>
    <n v="16"/>
    <x v="1"/>
    <x v="1"/>
    <n v="76"/>
    <n v="5656"/>
    <n v="19.260000000000002"/>
    <n v="78"/>
    <n v="4"/>
    <n v="23758"/>
    <s v="Moderate"/>
    <s v="Pediatric"/>
  </r>
  <r>
    <s v="P-0913"/>
    <x v="15"/>
    <x v="3"/>
    <x v="1"/>
    <n v="16"/>
    <x v="1"/>
    <x v="2"/>
    <n v="75"/>
    <n v="6111"/>
    <n v="13.57"/>
    <n v="80"/>
    <n v="3"/>
    <n v="22931"/>
    <s v="Low"/>
    <s v="Pediatric"/>
  </r>
  <r>
    <s v="P-0586"/>
    <x v="6"/>
    <x v="4"/>
    <x v="0"/>
    <n v="16"/>
    <x v="1"/>
    <x v="5"/>
    <n v="73"/>
    <n v="8060"/>
    <n v="19.03"/>
    <n v="96"/>
    <n v="3"/>
    <n v="38720"/>
    <s v="Low"/>
    <s v="Pediatric"/>
  </r>
  <r>
    <s v="P-0808"/>
    <x v="10"/>
    <x v="5"/>
    <x v="0"/>
    <n v="16"/>
    <x v="0"/>
    <x v="2"/>
    <n v="78"/>
    <n v="3061"/>
    <n v="18.579999999999998"/>
    <n v="107"/>
    <n v="3"/>
    <n v="12324"/>
    <s v="Moderate"/>
    <s v="Pediatric"/>
  </r>
  <r>
    <s v="P-0012"/>
    <x v="16"/>
    <x v="6"/>
    <x v="0"/>
    <n v="16"/>
    <x v="2"/>
    <x v="2"/>
    <n v="71"/>
    <n v="8264"/>
    <n v="16.079999999999998"/>
    <n v="105"/>
    <n v="3"/>
    <n v="42513"/>
    <s v="Low"/>
    <s v="Pediatric"/>
  </r>
  <r>
    <s v="P-0567"/>
    <x v="35"/>
    <x v="0"/>
    <x v="1"/>
    <n v="17"/>
    <x v="1"/>
    <x v="0"/>
    <n v="84"/>
    <n v="2138"/>
    <n v="4.22"/>
    <n v="56"/>
    <n v="4"/>
    <n v="6016"/>
    <s v="High"/>
    <s v="Pediatric"/>
  </r>
  <r>
    <s v="P-0868"/>
    <x v="21"/>
    <x v="0"/>
    <x v="1"/>
    <n v="17"/>
    <x v="2"/>
    <x v="5"/>
    <n v="97"/>
    <n v="3050"/>
    <n v="3.48"/>
    <n v="16"/>
    <n v="5"/>
    <n v="11191"/>
    <s v="High"/>
    <s v="Pediatric"/>
  </r>
  <r>
    <s v="P-0069"/>
    <x v="12"/>
    <x v="7"/>
    <x v="0"/>
    <n v="17"/>
    <x v="2"/>
    <x v="4"/>
    <n v="81"/>
    <n v="2834"/>
    <n v="0"/>
    <n v="48"/>
    <n v="5"/>
    <n v="11672"/>
    <s v="Moderate"/>
    <s v="Pediatric"/>
  </r>
  <r>
    <s v="P-0271"/>
    <x v="18"/>
    <x v="7"/>
    <x v="1"/>
    <n v="17"/>
    <x v="0"/>
    <x v="4"/>
    <n v="85"/>
    <n v="2919"/>
    <n v="11.24"/>
    <n v="65"/>
    <n v="4"/>
    <n v="11089"/>
    <s v="High"/>
    <s v="Pediatric"/>
  </r>
  <r>
    <s v="P-0531"/>
    <x v="34"/>
    <x v="1"/>
    <x v="1"/>
    <n v="17"/>
    <x v="2"/>
    <x v="5"/>
    <n v="88"/>
    <n v="3626"/>
    <n v="12.19"/>
    <n v="82"/>
    <n v="4"/>
    <n v="18522"/>
    <s v="High"/>
    <s v="Pediatric"/>
  </r>
  <r>
    <s v="P-0307"/>
    <x v="18"/>
    <x v="7"/>
    <x v="1"/>
    <n v="17"/>
    <x v="1"/>
    <x v="1"/>
    <n v="86"/>
    <n v="3444"/>
    <n v="5.95"/>
    <n v="39"/>
    <n v="4"/>
    <n v="14550"/>
    <s v="High"/>
    <s v="Pediatric"/>
  </r>
  <r>
    <s v="P-0310"/>
    <x v="1"/>
    <x v="7"/>
    <x v="2"/>
    <n v="17"/>
    <x v="1"/>
    <x v="1"/>
    <n v="74"/>
    <n v="3588"/>
    <n v="5.03"/>
    <n v="63"/>
    <n v="4"/>
    <n v="13638"/>
    <s v="Low"/>
    <s v="Pediatric"/>
  </r>
  <r>
    <s v="P-0392"/>
    <x v="16"/>
    <x v="7"/>
    <x v="1"/>
    <n v="17"/>
    <x v="2"/>
    <x v="4"/>
    <n v="87"/>
    <n v="3696"/>
    <n v="4.75"/>
    <n v="62"/>
    <n v="4"/>
    <n v="22145"/>
    <s v="High"/>
    <s v="Pediatric"/>
  </r>
  <r>
    <s v="P-0665"/>
    <x v="30"/>
    <x v="1"/>
    <x v="1"/>
    <n v="17"/>
    <x v="0"/>
    <x v="4"/>
    <n v="80"/>
    <n v="5936"/>
    <n v="9.8000000000000007"/>
    <n v="90"/>
    <n v="4"/>
    <n v="32133"/>
    <s v="Moderate"/>
    <s v="Pediatric"/>
  </r>
  <r>
    <s v="P-0396"/>
    <x v="12"/>
    <x v="7"/>
    <x v="0"/>
    <n v="17"/>
    <x v="2"/>
    <x v="4"/>
    <n v="84"/>
    <n v="3422"/>
    <n v="8.64"/>
    <n v="48"/>
    <n v="4"/>
    <n v="14874"/>
    <s v="High"/>
    <s v="Pediatric"/>
  </r>
  <r>
    <s v="P-0499"/>
    <x v="1"/>
    <x v="7"/>
    <x v="0"/>
    <n v="17"/>
    <x v="2"/>
    <x v="1"/>
    <n v="89"/>
    <n v="2595"/>
    <n v="6.39"/>
    <n v="100"/>
    <n v="4"/>
    <n v="9947"/>
    <s v="High"/>
    <s v="Pediatric"/>
  </r>
  <r>
    <s v="P-0576"/>
    <x v="18"/>
    <x v="7"/>
    <x v="1"/>
    <n v="17"/>
    <x v="0"/>
    <x v="3"/>
    <n v="83"/>
    <n v="3035"/>
    <n v="11.8"/>
    <n v="8"/>
    <n v="4"/>
    <n v="12332"/>
    <s v="High"/>
    <s v="Pediatric"/>
  </r>
  <r>
    <s v="P-0864"/>
    <x v="24"/>
    <x v="1"/>
    <x v="0"/>
    <n v="17"/>
    <x v="1"/>
    <x v="1"/>
    <n v="76"/>
    <n v="5809"/>
    <n v="12.87"/>
    <n v="71"/>
    <n v="3"/>
    <n v="17112"/>
    <s v="Moderate"/>
    <s v="Pediatric"/>
  </r>
  <r>
    <s v="P-0577"/>
    <x v="12"/>
    <x v="7"/>
    <x v="0"/>
    <n v="17"/>
    <x v="2"/>
    <x v="4"/>
    <n v="78"/>
    <n v="3576"/>
    <n v="9.85"/>
    <n v="53"/>
    <n v="4"/>
    <n v="18053"/>
    <s v="Moderate"/>
    <s v="Pediatric"/>
  </r>
  <r>
    <s v="P-0836"/>
    <x v="18"/>
    <x v="7"/>
    <x v="0"/>
    <n v="17"/>
    <x v="1"/>
    <x v="4"/>
    <n v="82"/>
    <n v="3033"/>
    <n v="3.52"/>
    <n v="70"/>
    <n v="4"/>
    <n v="11899"/>
    <s v="Moderate"/>
    <s v="Pediatric"/>
  </r>
  <r>
    <s v="P-0875"/>
    <x v="14"/>
    <x v="7"/>
    <x v="1"/>
    <n v="17"/>
    <x v="1"/>
    <x v="2"/>
    <n v="76"/>
    <n v="3746"/>
    <n v="16.93"/>
    <n v="28"/>
    <n v="4"/>
    <n v="10474"/>
    <s v="Moderate"/>
    <s v="Pediatric"/>
  </r>
  <r>
    <s v="P-0917"/>
    <x v="1"/>
    <x v="7"/>
    <x v="1"/>
    <n v="17"/>
    <x v="1"/>
    <x v="3"/>
    <n v="72"/>
    <n v="3312"/>
    <n v="6.69"/>
    <n v="97"/>
    <n v="4"/>
    <n v="11399"/>
    <s v="Low"/>
    <s v="Pediatric"/>
  </r>
  <r>
    <s v="P-0031"/>
    <x v="33"/>
    <x v="2"/>
    <x v="1"/>
    <n v="17"/>
    <x v="1"/>
    <x v="5"/>
    <n v="82"/>
    <n v="8824"/>
    <n v="16.059999999999999"/>
    <n v="61"/>
    <n v="5"/>
    <n v="46714"/>
    <s v="Moderate"/>
    <s v="Pediatric"/>
  </r>
  <r>
    <s v="P-0060"/>
    <x v="22"/>
    <x v="2"/>
    <x v="1"/>
    <n v="17"/>
    <x v="1"/>
    <x v="1"/>
    <n v="70"/>
    <n v="9696"/>
    <n v="20.170000000000002"/>
    <n v="90"/>
    <n v="3"/>
    <n v="47030"/>
    <s v="Low"/>
    <s v="Pediatric"/>
  </r>
  <r>
    <s v="P-0697"/>
    <x v="5"/>
    <x v="3"/>
    <x v="1"/>
    <n v="17"/>
    <x v="0"/>
    <x v="2"/>
    <n v="74"/>
    <n v="7174"/>
    <n v="16.98"/>
    <n v="104"/>
    <n v="4"/>
    <n v="29358"/>
    <s v="Low"/>
    <s v="Pediatric"/>
  </r>
  <r>
    <s v="P-0386"/>
    <x v="10"/>
    <x v="5"/>
    <x v="1"/>
    <n v="17"/>
    <x v="0"/>
    <x v="4"/>
    <n v="79"/>
    <n v="3655"/>
    <n v="16.079999999999998"/>
    <n v="110"/>
    <n v="4"/>
    <n v="17574"/>
    <s v="Moderate"/>
    <s v="Pediatric"/>
  </r>
  <r>
    <s v="P-0844"/>
    <x v="28"/>
    <x v="6"/>
    <x v="1"/>
    <n v="17"/>
    <x v="1"/>
    <x v="0"/>
    <n v="78"/>
    <n v="7142"/>
    <n v="17.329999999999998"/>
    <n v="62"/>
    <n v="4"/>
    <n v="39727"/>
    <s v="Moderate"/>
    <s v="Pediatric"/>
  </r>
  <r>
    <s v="P-0203"/>
    <x v="1"/>
    <x v="0"/>
    <x v="0"/>
    <n v="18"/>
    <x v="1"/>
    <x v="4"/>
    <n v="85"/>
    <n v="3100"/>
    <n v="2.37"/>
    <n v="25"/>
    <n v="4"/>
    <n v="9639"/>
    <s v="High"/>
    <s v="Pediatric"/>
  </r>
  <r>
    <s v="P-0008"/>
    <x v="14"/>
    <x v="7"/>
    <x v="1"/>
    <n v="18"/>
    <x v="0"/>
    <x v="1"/>
    <n v="88"/>
    <n v="2321"/>
    <n v="8.5399999999999991"/>
    <n v="42"/>
    <n v="5"/>
    <n v="11724"/>
    <s v="High"/>
    <s v="Pediatric"/>
  </r>
  <r>
    <s v="P-0021"/>
    <x v="12"/>
    <x v="7"/>
    <x v="2"/>
    <n v="18"/>
    <x v="0"/>
    <x v="4"/>
    <n v="84"/>
    <n v="2530"/>
    <n v="6.71"/>
    <n v="90"/>
    <n v="4"/>
    <n v="13561"/>
    <s v="High"/>
    <s v="Pediatric"/>
  </r>
  <r>
    <s v="P-0196"/>
    <x v="12"/>
    <x v="7"/>
    <x v="2"/>
    <n v="18"/>
    <x v="0"/>
    <x v="4"/>
    <n v="80"/>
    <n v="2922"/>
    <n v="11.96"/>
    <n v="55"/>
    <n v="4"/>
    <n v="11540"/>
    <s v="Moderate"/>
    <s v="Pediatric"/>
  </r>
  <r>
    <s v="P-0256"/>
    <x v="16"/>
    <x v="7"/>
    <x v="2"/>
    <n v="18"/>
    <x v="1"/>
    <x v="2"/>
    <n v="86"/>
    <n v="1913"/>
    <n v="5.25"/>
    <n v="113"/>
    <n v="4"/>
    <n v="8812"/>
    <s v="High"/>
    <s v="Pediatric"/>
  </r>
  <r>
    <s v="P-0284"/>
    <x v="18"/>
    <x v="7"/>
    <x v="1"/>
    <n v="18"/>
    <x v="1"/>
    <x v="5"/>
    <n v="99"/>
    <n v="3144"/>
    <n v="0"/>
    <n v="45"/>
    <n v="5"/>
    <n v="17384"/>
    <s v="High"/>
    <s v="Pediatric"/>
  </r>
  <r>
    <s v="P-0775"/>
    <x v="21"/>
    <x v="0"/>
    <x v="1"/>
    <n v="18"/>
    <x v="1"/>
    <x v="1"/>
    <n v="74"/>
    <n v="3145"/>
    <n v="15.35"/>
    <n v="59"/>
    <n v="4"/>
    <n v="17377"/>
    <s v="Low"/>
    <s v="Pediatric"/>
  </r>
  <r>
    <s v="P-0299"/>
    <x v="1"/>
    <x v="7"/>
    <x v="1"/>
    <n v="18"/>
    <x v="0"/>
    <x v="4"/>
    <n v="85"/>
    <n v="2714"/>
    <n v="11.5"/>
    <n v="43"/>
    <n v="4"/>
    <n v="10905"/>
    <s v="High"/>
    <s v="Pediatric"/>
  </r>
  <r>
    <s v="P-0322"/>
    <x v="14"/>
    <x v="7"/>
    <x v="2"/>
    <n v="18"/>
    <x v="2"/>
    <x v="2"/>
    <n v="83"/>
    <n v="2907"/>
    <n v="4.51"/>
    <n v="74"/>
    <n v="4"/>
    <n v="14007"/>
    <s v="High"/>
    <s v="Pediatric"/>
  </r>
  <r>
    <s v="P-0399"/>
    <x v="18"/>
    <x v="7"/>
    <x v="1"/>
    <n v="18"/>
    <x v="2"/>
    <x v="4"/>
    <n v="84"/>
    <n v="3738"/>
    <n v="14.74"/>
    <n v="50"/>
    <n v="4"/>
    <n v="15300"/>
    <s v="High"/>
    <s v="Pediatric"/>
  </r>
  <r>
    <s v="P-0505"/>
    <x v="18"/>
    <x v="7"/>
    <x v="0"/>
    <n v="18"/>
    <x v="1"/>
    <x v="4"/>
    <n v="73"/>
    <n v="2923"/>
    <n v="5.76"/>
    <n v="34"/>
    <n v="4"/>
    <n v="11223"/>
    <s v="Low"/>
    <s v="Pediatric"/>
  </r>
  <r>
    <s v="P-0520"/>
    <x v="18"/>
    <x v="7"/>
    <x v="2"/>
    <n v="18"/>
    <x v="1"/>
    <x v="3"/>
    <n v="89"/>
    <n v="2998"/>
    <n v="7.09"/>
    <n v="62"/>
    <n v="4"/>
    <n v="7746"/>
    <s v="High"/>
    <s v="Pediatric"/>
  </r>
  <r>
    <s v="P-0615"/>
    <x v="18"/>
    <x v="7"/>
    <x v="2"/>
    <n v="18"/>
    <x v="2"/>
    <x v="1"/>
    <n v="90"/>
    <n v="3237"/>
    <n v="9.0500000000000007"/>
    <n v="58"/>
    <n v="4"/>
    <n v="13496"/>
    <s v="High"/>
    <s v="Pediatric"/>
  </r>
  <r>
    <s v="P-0705"/>
    <x v="12"/>
    <x v="7"/>
    <x v="0"/>
    <n v="18"/>
    <x v="2"/>
    <x v="5"/>
    <n v="88"/>
    <n v="2909"/>
    <n v="2.94"/>
    <n v="65"/>
    <n v="4"/>
    <n v="12889"/>
    <s v="High"/>
    <s v="Pediatric"/>
  </r>
  <r>
    <s v="P-0707"/>
    <x v="18"/>
    <x v="7"/>
    <x v="1"/>
    <n v="18"/>
    <x v="1"/>
    <x v="0"/>
    <n v="86"/>
    <n v="3856"/>
    <n v="6.32"/>
    <n v="73"/>
    <n v="4"/>
    <n v="12406"/>
    <s v="High"/>
    <s v="Pediatric"/>
  </r>
  <r>
    <s v="P-0714"/>
    <x v="18"/>
    <x v="7"/>
    <x v="1"/>
    <n v="18"/>
    <x v="2"/>
    <x v="3"/>
    <n v="79"/>
    <n v="2618"/>
    <n v="8.23"/>
    <n v="72"/>
    <n v="4"/>
    <n v="14205"/>
    <s v="Moderate"/>
    <s v="Pediatric"/>
  </r>
  <r>
    <s v="P-0861"/>
    <x v="14"/>
    <x v="7"/>
    <x v="0"/>
    <n v="18"/>
    <x v="2"/>
    <x v="4"/>
    <n v="94"/>
    <n v="2103"/>
    <n v="0"/>
    <n v="36"/>
    <n v="4"/>
    <n v="8829"/>
    <s v="High"/>
    <s v="Pediatric"/>
  </r>
  <r>
    <s v="P-0968"/>
    <x v="16"/>
    <x v="7"/>
    <x v="1"/>
    <n v="18"/>
    <x v="0"/>
    <x v="0"/>
    <n v="88"/>
    <n v="2608"/>
    <n v="8.18"/>
    <n v="40"/>
    <n v="4"/>
    <n v="7730"/>
    <s v="High"/>
    <s v="Pediatric"/>
  </r>
  <r>
    <s v="P-0529"/>
    <x v="36"/>
    <x v="3"/>
    <x v="0"/>
    <n v="18"/>
    <x v="1"/>
    <x v="3"/>
    <n v="76"/>
    <n v="6544"/>
    <n v="15.45"/>
    <n v="81"/>
    <n v="4"/>
    <n v="34268"/>
    <s v="Moderate"/>
    <s v="Pediatric"/>
  </r>
  <r>
    <s v="P-0208"/>
    <x v="13"/>
    <x v="5"/>
    <x v="0"/>
    <n v="18"/>
    <x v="2"/>
    <x v="2"/>
    <n v="74"/>
    <n v="3712"/>
    <n v="19.059999999999999"/>
    <n v="128"/>
    <n v="3"/>
    <n v="15263"/>
    <s v="Low"/>
    <s v="Pediatric"/>
  </r>
  <r>
    <s v="P-0057"/>
    <x v="19"/>
    <x v="6"/>
    <x v="1"/>
    <n v="18"/>
    <x v="1"/>
    <x v="5"/>
    <n v="64"/>
    <n v="8651"/>
    <n v="14.12"/>
    <n v="121"/>
    <n v="4"/>
    <n v="50995"/>
    <s v="Low"/>
    <s v="Pediatric"/>
  </r>
  <r>
    <s v="P-0821"/>
    <x v="11"/>
    <x v="6"/>
    <x v="0"/>
    <n v="18"/>
    <x v="1"/>
    <x v="0"/>
    <n v="83"/>
    <n v="9660"/>
    <n v="20.09"/>
    <n v="85"/>
    <n v="4"/>
    <n v="35496"/>
    <s v="High"/>
    <s v="Pediatric"/>
  </r>
  <r>
    <s v="P-0910"/>
    <x v="11"/>
    <x v="6"/>
    <x v="1"/>
    <n v="18"/>
    <x v="1"/>
    <x v="0"/>
    <n v="75"/>
    <n v="10133"/>
    <n v="12.24"/>
    <n v="77"/>
    <n v="4"/>
    <n v="56155"/>
    <s v="Low"/>
    <s v="Pediatric"/>
  </r>
  <r>
    <s v="P-0825"/>
    <x v="31"/>
    <x v="1"/>
    <x v="0"/>
    <n v="19"/>
    <x v="2"/>
    <x v="0"/>
    <n v="84"/>
    <n v="7078"/>
    <n v="12.15"/>
    <n v="67"/>
    <n v="5"/>
    <n v="40175"/>
    <s v="High"/>
    <s v="Adult"/>
  </r>
  <r>
    <s v="P-0690"/>
    <x v="22"/>
    <x v="2"/>
    <x v="0"/>
    <n v="19"/>
    <x v="1"/>
    <x v="0"/>
    <n v="83"/>
    <n v="7529"/>
    <n v="15.08"/>
    <n v="55"/>
    <n v="4"/>
    <n v="35062"/>
    <s v="High"/>
    <s v="Adult"/>
  </r>
  <r>
    <s v="P-0945"/>
    <x v="3"/>
    <x v="2"/>
    <x v="1"/>
    <n v="19"/>
    <x v="2"/>
    <x v="4"/>
    <n v="69"/>
    <n v="8786"/>
    <n v="13.08"/>
    <n v="109"/>
    <n v="3"/>
    <n v="38392"/>
    <s v="Low"/>
    <s v="Adult"/>
  </r>
  <r>
    <s v="P-0984"/>
    <x v="33"/>
    <x v="2"/>
    <x v="2"/>
    <n v="19"/>
    <x v="0"/>
    <x v="2"/>
    <n v="75"/>
    <n v="6832"/>
    <n v="6.89"/>
    <n v="84"/>
    <n v="3"/>
    <n v="40327"/>
    <s v="Low"/>
    <s v="Adult"/>
  </r>
  <r>
    <s v="P-0355"/>
    <x v="20"/>
    <x v="3"/>
    <x v="1"/>
    <n v="19"/>
    <x v="0"/>
    <x v="5"/>
    <n v="76"/>
    <n v="5846"/>
    <n v="16.05"/>
    <n v="103"/>
    <n v="4"/>
    <n v="29730"/>
    <s v="Moderate"/>
    <s v="Adult"/>
  </r>
  <r>
    <s v="P-0678"/>
    <x v="13"/>
    <x v="5"/>
    <x v="1"/>
    <n v="19"/>
    <x v="0"/>
    <x v="5"/>
    <n v="67"/>
    <n v="3314"/>
    <n v="22.15"/>
    <n v="110"/>
    <n v="4"/>
    <n v="8384"/>
    <s v="Low"/>
    <s v="Adult"/>
  </r>
  <r>
    <s v="P-0447"/>
    <x v="31"/>
    <x v="1"/>
    <x v="1"/>
    <n v="20"/>
    <x v="1"/>
    <x v="4"/>
    <n v="81"/>
    <n v="6380"/>
    <n v="10.67"/>
    <n v="67"/>
    <n v="4"/>
    <n v="19705"/>
    <s v="Moderate"/>
    <s v="Adult"/>
  </r>
  <r>
    <s v="P-0815"/>
    <x v="24"/>
    <x v="1"/>
    <x v="0"/>
    <n v="20"/>
    <x v="0"/>
    <x v="0"/>
    <n v="80"/>
    <n v="8027"/>
    <n v="18.68"/>
    <n v="94"/>
    <n v="4"/>
    <n v="27511"/>
    <s v="Moderate"/>
    <s v="Adult"/>
  </r>
  <r>
    <s v="P-0281"/>
    <x v="3"/>
    <x v="2"/>
    <x v="0"/>
    <n v="20"/>
    <x v="2"/>
    <x v="2"/>
    <n v="90"/>
    <n v="7255"/>
    <n v="13.58"/>
    <n v="89"/>
    <n v="4"/>
    <n v="23920"/>
    <s v="High"/>
    <s v="Adult"/>
  </r>
  <r>
    <s v="P-0820"/>
    <x v="25"/>
    <x v="2"/>
    <x v="1"/>
    <n v="20"/>
    <x v="0"/>
    <x v="5"/>
    <n v="90"/>
    <n v="7235"/>
    <n v="9.51"/>
    <n v="79"/>
    <n v="4"/>
    <n v="19972"/>
    <s v="High"/>
    <s v="Adult"/>
  </r>
  <r>
    <s v="P-0394"/>
    <x v="8"/>
    <x v="4"/>
    <x v="1"/>
    <n v="20"/>
    <x v="0"/>
    <x v="2"/>
    <n v="77"/>
    <n v="11402"/>
    <n v="19.52"/>
    <n v="108"/>
    <n v="5"/>
    <n v="53431"/>
    <s v="Moderate"/>
    <s v="Adult"/>
  </r>
  <r>
    <s v="P-0550"/>
    <x v="8"/>
    <x v="4"/>
    <x v="0"/>
    <n v="20"/>
    <x v="0"/>
    <x v="2"/>
    <n v="76"/>
    <n v="11620"/>
    <n v="20.23"/>
    <n v="65"/>
    <n v="4"/>
    <n v="61683"/>
    <s v="Moderate"/>
    <s v="Adult"/>
  </r>
  <r>
    <s v="P-0810"/>
    <x v="10"/>
    <x v="5"/>
    <x v="2"/>
    <n v="20"/>
    <x v="1"/>
    <x v="5"/>
    <n v="83"/>
    <n v="2949"/>
    <n v="14.86"/>
    <n v="107"/>
    <n v="4"/>
    <n v="16781"/>
    <s v="High"/>
    <s v="Adult"/>
  </r>
  <r>
    <s v="P-0846"/>
    <x v="27"/>
    <x v="5"/>
    <x v="1"/>
    <n v="20"/>
    <x v="0"/>
    <x v="4"/>
    <n v="71"/>
    <n v="5662"/>
    <n v="19.12"/>
    <n v="120"/>
    <n v="4"/>
    <n v="30850"/>
    <s v="Low"/>
    <s v="Adult"/>
  </r>
  <r>
    <s v="P-0978"/>
    <x v="11"/>
    <x v="6"/>
    <x v="1"/>
    <n v="20"/>
    <x v="2"/>
    <x v="5"/>
    <n v="77"/>
    <n v="7872"/>
    <n v="23.24"/>
    <n v="78"/>
    <n v="4"/>
    <n v="22848"/>
    <s v="Moderate"/>
    <s v="Adult"/>
  </r>
  <r>
    <s v="P-0673"/>
    <x v="1"/>
    <x v="0"/>
    <x v="0"/>
    <n v="21"/>
    <x v="0"/>
    <x v="0"/>
    <n v="82"/>
    <n v="2216"/>
    <n v="8.33"/>
    <n v="81"/>
    <n v="4"/>
    <n v="12743"/>
    <s v="Moderate"/>
    <s v="Adult"/>
  </r>
  <r>
    <s v="P-0584"/>
    <x v="22"/>
    <x v="2"/>
    <x v="1"/>
    <n v="21"/>
    <x v="0"/>
    <x v="4"/>
    <n v="81"/>
    <n v="10332"/>
    <n v="8.02"/>
    <n v="86"/>
    <n v="4"/>
    <n v="47227"/>
    <s v="Moderate"/>
    <s v="Adult"/>
  </r>
  <r>
    <s v="P-0309"/>
    <x v="32"/>
    <x v="3"/>
    <x v="1"/>
    <n v="21"/>
    <x v="1"/>
    <x v="3"/>
    <n v="74"/>
    <n v="7429"/>
    <n v="17.87"/>
    <n v="112"/>
    <n v="4"/>
    <n v="21836"/>
    <s v="Low"/>
    <s v="Adult"/>
  </r>
  <r>
    <s v="P-0606"/>
    <x v="20"/>
    <x v="3"/>
    <x v="0"/>
    <n v="21"/>
    <x v="2"/>
    <x v="1"/>
    <n v="90"/>
    <n v="6655"/>
    <n v="12.46"/>
    <n v="56"/>
    <n v="5"/>
    <n v="26404"/>
    <s v="High"/>
    <s v="Adult"/>
  </r>
  <r>
    <s v="P-0701"/>
    <x v="20"/>
    <x v="3"/>
    <x v="0"/>
    <n v="21"/>
    <x v="2"/>
    <x v="4"/>
    <n v="75"/>
    <n v="7838"/>
    <n v="18.190000000000001"/>
    <n v="84"/>
    <n v="3"/>
    <n v="41942"/>
    <s v="Low"/>
    <s v="Adult"/>
  </r>
  <r>
    <s v="P-0177"/>
    <x v="23"/>
    <x v="4"/>
    <x v="1"/>
    <n v="21"/>
    <x v="1"/>
    <x v="0"/>
    <n v="72"/>
    <n v="10140"/>
    <n v="18.66"/>
    <n v="101"/>
    <n v="4"/>
    <n v="26188"/>
    <s v="Low"/>
    <s v="Adult"/>
  </r>
  <r>
    <s v="P-0935"/>
    <x v="8"/>
    <x v="4"/>
    <x v="1"/>
    <n v="21"/>
    <x v="2"/>
    <x v="3"/>
    <n v="72"/>
    <n v="14003"/>
    <n v="12.85"/>
    <n v="80"/>
    <n v="4"/>
    <n v="81501"/>
    <s v="Low"/>
    <s v="Adult"/>
  </r>
  <r>
    <s v="P-0547"/>
    <x v="19"/>
    <x v="6"/>
    <x v="1"/>
    <n v="21"/>
    <x v="1"/>
    <x v="3"/>
    <n v="74"/>
    <n v="8201"/>
    <n v="12.69"/>
    <n v="38"/>
    <n v="4"/>
    <n v="37611"/>
    <s v="Low"/>
    <s v="Adult"/>
  </r>
  <r>
    <s v="P-0437"/>
    <x v="0"/>
    <x v="0"/>
    <x v="1"/>
    <n v="22"/>
    <x v="1"/>
    <x v="2"/>
    <n v="80"/>
    <n v="3258"/>
    <n v="7.41"/>
    <n v="93"/>
    <n v="4"/>
    <n v="14214"/>
    <s v="Moderate"/>
    <s v="Adult"/>
  </r>
  <r>
    <s v="P-0536"/>
    <x v="4"/>
    <x v="2"/>
    <x v="0"/>
    <n v="22"/>
    <x v="1"/>
    <x v="0"/>
    <n v="70"/>
    <n v="11553"/>
    <n v="14.04"/>
    <n v="104"/>
    <n v="4"/>
    <n v="41500"/>
    <s v="Low"/>
    <s v="Adult"/>
  </r>
  <r>
    <s v="P-0986"/>
    <x v="4"/>
    <x v="2"/>
    <x v="1"/>
    <n v="22"/>
    <x v="1"/>
    <x v="5"/>
    <n v="73"/>
    <n v="7870"/>
    <n v="17.2"/>
    <n v="103"/>
    <n v="4"/>
    <n v="31364"/>
    <s v="Low"/>
    <s v="Adult"/>
  </r>
  <r>
    <s v="P-0187"/>
    <x v="32"/>
    <x v="3"/>
    <x v="0"/>
    <n v="22"/>
    <x v="1"/>
    <x v="0"/>
    <n v="77"/>
    <n v="7005"/>
    <n v="24.97"/>
    <n v="46"/>
    <n v="4"/>
    <n v="41837"/>
    <s v="Moderate"/>
    <s v="Adult"/>
  </r>
  <r>
    <s v="P-0180"/>
    <x v="23"/>
    <x v="4"/>
    <x v="0"/>
    <n v="22"/>
    <x v="2"/>
    <x v="4"/>
    <n v="73"/>
    <n v="7944"/>
    <n v="16.21"/>
    <n v="80"/>
    <n v="4"/>
    <n v="42113"/>
    <s v="Low"/>
    <s v="Adult"/>
  </r>
  <r>
    <s v="P-0664"/>
    <x v="7"/>
    <x v="4"/>
    <x v="2"/>
    <n v="22"/>
    <x v="0"/>
    <x v="1"/>
    <n v="86"/>
    <n v="11423"/>
    <n v="11.96"/>
    <n v="105"/>
    <n v="4"/>
    <n v="55851"/>
    <s v="High"/>
    <s v="Adult"/>
  </r>
  <r>
    <s v="P-0066"/>
    <x v="10"/>
    <x v="5"/>
    <x v="1"/>
    <n v="22"/>
    <x v="1"/>
    <x v="5"/>
    <n v="82"/>
    <n v="4023"/>
    <n v="16.84"/>
    <n v="119"/>
    <n v="4"/>
    <n v="12483"/>
    <s v="Moderate"/>
    <s v="Adult"/>
  </r>
  <r>
    <s v="P-0964"/>
    <x v="28"/>
    <x v="6"/>
    <x v="1"/>
    <n v="22"/>
    <x v="2"/>
    <x v="3"/>
    <n v="72"/>
    <n v="5628"/>
    <n v="18.62"/>
    <n v="84"/>
    <n v="4"/>
    <n v="30326"/>
    <s v="Low"/>
    <s v="Adult"/>
  </r>
  <r>
    <s v="P-0568"/>
    <x v="1"/>
    <x v="0"/>
    <x v="0"/>
    <n v="23"/>
    <x v="0"/>
    <x v="0"/>
    <n v="91"/>
    <n v="2736"/>
    <n v="4.1500000000000004"/>
    <n v="44"/>
    <n v="4"/>
    <n v="12074"/>
    <s v="High"/>
    <s v="Adult"/>
  </r>
  <r>
    <s v="P-0316"/>
    <x v="30"/>
    <x v="1"/>
    <x v="0"/>
    <n v="23"/>
    <x v="1"/>
    <x v="1"/>
    <n v="79"/>
    <n v="6045"/>
    <n v="14.34"/>
    <n v="71"/>
    <n v="3"/>
    <n v="29491"/>
    <s v="Moderate"/>
    <s v="Adult"/>
  </r>
  <r>
    <s v="P-0916"/>
    <x v="30"/>
    <x v="1"/>
    <x v="1"/>
    <n v="23"/>
    <x v="1"/>
    <x v="0"/>
    <n v="78"/>
    <n v="7705"/>
    <n v="12.07"/>
    <n v="68"/>
    <n v="3"/>
    <n v="42151"/>
    <s v="Moderate"/>
    <s v="Adult"/>
  </r>
  <r>
    <s v="P-0703"/>
    <x v="4"/>
    <x v="2"/>
    <x v="1"/>
    <n v="23"/>
    <x v="1"/>
    <x v="0"/>
    <n v="77"/>
    <n v="8446"/>
    <n v="15.17"/>
    <n v="16"/>
    <n v="3"/>
    <n v="35656"/>
    <s v="Moderate"/>
    <s v="Adult"/>
  </r>
  <r>
    <s v="P-0112"/>
    <x v="15"/>
    <x v="3"/>
    <x v="1"/>
    <n v="23"/>
    <x v="0"/>
    <x v="1"/>
    <n v="65"/>
    <n v="4208"/>
    <n v="19.579999999999998"/>
    <n v="108"/>
    <n v="3"/>
    <n v="18501"/>
    <s v="Low"/>
    <s v="Adult"/>
  </r>
  <r>
    <s v="P-0191"/>
    <x v="6"/>
    <x v="4"/>
    <x v="1"/>
    <n v="23"/>
    <x v="0"/>
    <x v="4"/>
    <n v="76"/>
    <n v="7902"/>
    <n v="16.25"/>
    <n v="88"/>
    <n v="4"/>
    <n v="46466"/>
    <s v="Moderate"/>
    <s v="Adult"/>
  </r>
  <r>
    <s v="P-0473"/>
    <x v="9"/>
    <x v="5"/>
    <x v="0"/>
    <n v="23"/>
    <x v="1"/>
    <x v="5"/>
    <n v="72"/>
    <n v="2603"/>
    <n v="18.760000000000002"/>
    <n v="148"/>
    <n v="3"/>
    <n v="15301"/>
    <s v="Low"/>
    <s v="Adult"/>
  </r>
  <r>
    <s v="P-0186"/>
    <x v="11"/>
    <x v="6"/>
    <x v="2"/>
    <n v="23"/>
    <x v="1"/>
    <x v="3"/>
    <n v="80"/>
    <n v="6013"/>
    <n v="15.04"/>
    <n v="67"/>
    <n v="4"/>
    <n v="21462"/>
    <s v="Moderate"/>
    <s v="Adult"/>
  </r>
  <r>
    <s v="P-0241"/>
    <x v="16"/>
    <x v="6"/>
    <x v="0"/>
    <n v="23"/>
    <x v="1"/>
    <x v="5"/>
    <n v="79"/>
    <n v="6737"/>
    <n v="19.940000000000001"/>
    <n v="93"/>
    <n v="5"/>
    <n v="33804"/>
    <s v="Moderate"/>
    <s v="Adult"/>
  </r>
  <r>
    <s v="P-0276"/>
    <x v="29"/>
    <x v="6"/>
    <x v="1"/>
    <n v="23"/>
    <x v="2"/>
    <x v="0"/>
    <n v="78"/>
    <n v="4474"/>
    <n v="14.58"/>
    <n v="77"/>
    <n v="4"/>
    <n v="25096"/>
    <s v="Moderate"/>
    <s v="Adult"/>
  </r>
  <r>
    <s v="P-0677"/>
    <x v="16"/>
    <x v="6"/>
    <x v="2"/>
    <n v="23"/>
    <x v="2"/>
    <x v="4"/>
    <n v="80"/>
    <n v="6516"/>
    <n v="17.96"/>
    <n v="79"/>
    <n v="4"/>
    <n v="23588"/>
    <s v="Moderate"/>
    <s v="Adult"/>
  </r>
  <r>
    <s v="P-0145"/>
    <x v="0"/>
    <x v="0"/>
    <x v="0"/>
    <n v="24"/>
    <x v="0"/>
    <x v="1"/>
    <n v="83"/>
    <n v="3398"/>
    <n v="7.56"/>
    <n v="39"/>
    <n v="4"/>
    <n v="10486"/>
    <s v="High"/>
    <s v="Adult"/>
  </r>
  <r>
    <s v="P-0465"/>
    <x v="1"/>
    <x v="0"/>
    <x v="2"/>
    <n v="24"/>
    <x v="2"/>
    <x v="0"/>
    <n v="95"/>
    <n v="1766"/>
    <n v="2.99"/>
    <n v="29"/>
    <n v="5"/>
    <n v="8575"/>
    <s v="High"/>
    <s v="Adult"/>
  </r>
  <r>
    <s v="P-0803"/>
    <x v="2"/>
    <x v="1"/>
    <x v="1"/>
    <n v="24"/>
    <x v="0"/>
    <x v="2"/>
    <n v="84"/>
    <n v="5956"/>
    <n v="14.64"/>
    <n v="70"/>
    <n v="4"/>
    <n v="25270"/>
    <s v="High"/>
    <s v="Adult"/>
  </r>
  <r>
    <s v="P-0720"/>
    <x v="3"/>
    <x v="2"/>
    <x v="1"/>
    <n v="24"/>
    <x v="0"/>
    <x v="2"/>
    <n v="82"/>
    <n v="7991"/>
    <n v="11.37"/>
    <n v="46"/>
    <n v="4"/>
    <n v="29786"/>
    <s v="Moderate"/>
    <s v="Adult"/>
  </r>
  <r>
    <s v="P-0093"/>
    <x v="15"/>
    <x v="3"/>
    <x v="1"/>
    <n v="24"/>
    <x v="2"/>
    <x v="1"/>
    <n v="74"/>
    <n v="7570"/>
    <n v="15.29"/>
    <n v="56"/>
    <n v="3"/>
    <n v="38465"/>
    <s v="Low"/>
    <s v="Adult"/>
  </r>
  <r>
    <s v="P-0062"/>
    <x v="6"/>
    <x v="4"/>
    <x v="2"/>
    <n v="24"/>
    <x v="0"/>
    <x v="5"/>
    <n v="71"/>
    <n v="11680"/>
    <n v="20.51"/>
    <n v="89"/>
    <n v="3"/>
    <n v="29794"/>
    <s v="Low"/>
    <s v="Adult"/>
  </r>
  <r>
    <s v="P-0120"/>
    <x v="9"/>
    <x v="5"/>
    <x v="0"/>
    <n v="24"/>
    <x v="1"/>
    <x v="5"/>
    <n v="72"/>
    <n v="2146"/>
    <n v="13.17"/>
    <n v="88"/>
    <n v="4"/>
    <n v="12500"/>
    <s v="Low"/>
    <s v="Adult"/>
  </r>
  <r>
    <s v="P-0231"/>
    <x v="10"/>
    <x v="5"/>
    <x v="0"/>
    <n v="24"/>
    <x v="1"/>
    <x v="2"/>
    <n v="72"/>
    <n v="3800"/>
    <n v="20.77"/>
    <n v="111"/>
    <n v="3"/>
    <n v="16729"/>
    <s v="Low"/>
    <s v="Adult"/>
  </r>
  <r>
    <s v="P-0489"/>
    <x v="17"/>
    <x v="5"/>
    <x v="0"/>
    <n v="24"/>
    <x v="1"/>
    <x v="5"/>
    <n v="65"/>
    <n v="2824"/>
    <n v="24.51"/>
    <n v="134"/>
    <n v="4"/>
    <n v="11134"/>
    <s v="Low"/>
    <s v="Adult"/>
  </r>
  <r>
    <s v="P-0207"/>
    <x v="28"/>
    <x v="6"/>
    <x v="1"/>
    <n v="24"/>
    <x v="2"/>
    <x v="5"/>
    <n v="82"/>
    <n v="9878"/>
    <n v="11.59"/>
    <n v="45"/>
    <n v="4"/>
    <n v="55358"/>
    <s v="Moderate"/>
    <s v="Adult"/>
  </r>
  <r>
    <s v="P-0343"/>
    <x v="29"/>
    <x v="6"/>
    <x v="1"/>
    <n v="24"/>
    <x v="1"/>
    <x v="1"/>
    <n v="75"/>
    <n v="4868"/>
    <n v="20.45"/>
    <n v="57"/>
    <n v="4"/>
    <n v="13334"/>
    <s v="Low"/>
    <s v="Adult"/>
  </r>
  <r>
    <s v="P-0364"/>
    <x v="19"/>
    <x v="6"/>
    <x v="1"/>
    <n v="24"/>
    <x v="2"/>
    <x v="0"/>
    <n v="72"/>
    <n v="7139"/>
    <n v="9.36"/>
    <n v="62"/>
    <n v="4"/>
    <n v="26687"/>
    <s v="Low"/>
    <s v="Adult"/>
  </r>
  <r>
    <s v="P-0393"/>
    <x v="29"/>
    <x v="6"/>
    <x v="1"/>
    <n v="24"/>
    <x v="0"/>
    <x v="2"/>
    <n v="79"/>
    <n v="6944"/>
    <n v="15.46"/>
    <n v="80"/>
    <n v="5"/>
    <n v="24961"/>
    <s v="Moderate"/>
    <s v="Adult"/>
  </r>
  <r>
    <s v="P-0236"/>
    <x v="21"/>
    <x v="0"/>
    <x v="0"/>
    <n v="25"/>
    <x v="0"/>
    <x v="0"/>
    <n v="93"/>
    <n v="3019"/>
    <n v="7.02"/>
    <n v="44"/>
    <n v="4"/>
    <n v="17738"/>
    <s v="High"/>
    <s v="Adult"/>
  </r>
  <r>
    <s v="P-0798"/>
    <x v="0"/>
    <x v="0"/>
    <x v="1"/>
    <n v="25"/>
    <x v="2"/>
    <x v="0"/>
    <n v="85"/>
    <n v="964"/>
    <n v="8.11"/>
    <n v="37"/>
    <n v="3"/>
    <n v="5433"/>
    <s v="High"/>
    <s v="Adult"/>
  </r>
  <r>
    <s v="P-0902"/>
    <x v="1"/>
    <x v="0"/>
    <x v="1"/>
    <n v="25"/>
    <x v="1"/>
    <x v="5"/>
    <n v="77"/>
    <n v="2119"/>
    <n v="6.54"/>
    <n v="54"/>
    <n v="4"/>
    <n v="10847"/>
    <s v="Moderate"/>
    <s v="Adult"/>
  </r>
  <r>
    <s v="P-0109"/>
    <x v="24"/>
    <x v="1"/>
    <x v="0"/>
    <n v="25"/>
    <x v="0"/>
    <x v="2"/>
    <n v="74"/>
    <n v="4860"/>
    <n v="22.53"/>
    <n v="96"/>
    <n v="4"/>
    <n v="24611"/>
    <s v="Low"/>
    <s v="Adult"/>
  </r>
  <r>
    <s v="P-0225"/>
    <x v="2"/>
    <x v="1"/>
    <x v="1"/>
    <n v="25"/>
    <x v="2"/>
    <x v="2"/>
    <n v="76"/>
    <n v="6919"/>
    <n v="16.91"/>
    <n v="81"/>
    <n v="4"/>
    <n v="23635"/>
    <s v="Moderate"/>
    <s v="Adult"/>
  </r>
  <r>
    <s v="P-0368"/>
    <x v="34"/>
    <x v="1"/>
    <x v="1"/>
    <n v="25"/>
    <x v="0"/>
    <x v="5"/>
    <n v="77"/>
    <n v="4755"/>
    <n v="14.98"/>
    <n v="85"/>
    <n v="5"/>
    <n v="14572"/>
    <s v="Moderate"/>
    <s v="Adult"/>
  </r>
  <r>
    <s v="P-0330"/>
    <x v="33"/>
    <x v="2"/>
    <x v="1"/>
    <n v="25"/>
    <x v="0"/>
    <x v="1"/>
    <n v="72"/>
    <n v="8175"/>
    <n v="18.21"/>
    <n v="88"/>
    <n v="3"/>
    <n v="21512"/>
    <s v="Low"/>
    <s v="Adult"/>
  </r>
  <r>
    <s v="P-0612"/>
    <x v="25"/>
    <x v="2"/>
    <x v="0"/>
    <n v="25"/>
    <x v="1"/>
    <x v="5"/>
    <n v="80"/>
    <n v="7371"/>
    <n v="11.12"/>
    <n v="67"/>
    <n v="5"/>
    <n v="24296"/>
    <s v="Moderate"/>
    <s v="Adult"/>
  </r>
  <r>
    <s v="P-0661"/>
    <x v="4"/>
    <x v="2"/>
    <x v="1"/>
    <n v="25"/>
    <x v="1"/>
    <x v="5"/>
    <n v="80"/>
    <n v="5466"/>
    <n v="15.65"/>
    <n v="52"/>
    <n v="4"/>
    <n v="30802"/>
    <s v="Moderate"/>
    <s v="Adult"/>
  </r>
  <r>
    <s v="P-0171"/>
    <x v="32"/>
    <x v="3"/>
    <x v="0"/>
    <n v="25"/>
    <x v="1"/>
    <x v="2"/>
    <n v="81"/>
    <n v="6733"/>
    <n v="20.57"/>
    <n v="67"/>
    <n v="3"/>
    <n v="33708"/>
    <s v="Moderate"/>
    <s v="Adult"/>
  </r>
  <r>
    <s v="P-0527"/>
    <x v="20"/>
    <x v="3"/>
    <x v="0"/>
    <n v="25"/>
    <x v="0"/>
    <x v="4"/>
    <n v="70"/>
    <n v="6936"/>
    <n v="14.09"/>
    <n v="110"/>
    <n v="3"/>
    <n v="20693"/>
    <s v="Low"/>
    <s v="Adult"/>
  </r>
  <r>
    <s v="P-0469"/>
    <x v="6"/>
    <x v="4"/>
    <x v="1"/>
    <n v="25"/>
    <x v="2"/>
    <x v="3"/>
    <n v="79"/>
    <n v="7609"/>
    <n v="20.32"/>
    <n v="81"/>
    <n v="4"/>
    <n v="27659"/>
    <s v="Moderate"/>
    <s v="Adult"/>
  </r>
  <r>
    <s v="P-0025"/>
    <x v="19"/>
    <x v="6"/>
    <x v="0"/>
    <n v="25"/>
    <x v="1"/>
    <x v="2"/>
    <n v="81"/>
    <n v="8622"/>
    <n v="12.72"/>
    <n v="100"/>
    <n v="4"/>
    <n v="41399"/>
    <s v="Moderate"/>
    <s v="Adult"/>
  </r>
  <r>
    <s v="P-0258"/>
    <x v="19"/>
    <x v="6"/>
    <x v="0"/>
    <n v="25"/>
    <x v="0"/>
    <x v="0"/>
    <n v="83"/>
    <n v="6640"/>
    <n v="6.39"/>
    <n v="85"/>
    <n v="4"/>
    <n v="30559"/>
    <s v="High"/>
    <s v="Adult"/>
  </r>
  <r>
    <s v="P-0591"/>
    <x v="16"/>
    <x v="6"/>
    <x v="1"/>
    <n v="25"/>
    <x v="1"/>
    <x v="4"/>
    <n v="75"/>
    <n v="6889"/>
    <n v="13.68"/>
    <n v="88"/>
    <n v="4"/>
    <n v="27390"/>
    <s v="Low"/>
    <s v="Adult"/>
  </r>
  <r>
    <s v="P-0848"/>
    <x v="24"/>
    <x v="1"/>
    <x v="0"/>
    <n v="26"/>
    <x v="1"/>
    <x v="1"/>
    <n v="85"/>
    <n v="4012"/>
    <n v="9.9499999999999993"/>
    <n v="81"/>
    <n v="4"/>
    <n v="10468"/>
    <s v="High"/>
    <s v="Adult"/>
  </r>
  <r>
    <s v="P-0885"/>
    <x v="3"/>
    <x v="2"/>
    <x v="0"/>
    <n v="26"/>
    <x v="1"/>
    <x v="3"/>
    <n v="76"/>
    <n v="7657"/>
    <n v="17.350000000000001"/>
    <n v="69"/>
    <n v="3"/>
    <n v="27732"/>
    <s v="Moderate"/>
    <s v="Adult"/>
  </r>
  <r>
    <s v="P-0543"/>
    <x v="32"/>
    <x v="3"/>
    <x v="1"/>
    <n v="26"/>
    <x v="1"/>
    <x v="3"/>
    <n v="75"/>
    <n v="6317"/>
    <n v="16.23"/>
    <n v="73"/>
    <n v="4"/>
    <n v="18871"/>
    <s v="Low"/>
    <s v="Adult"/>
  </r>
  <r>
    <s v="P-0894"/>
    <x v="26"/>
    <x v="4"/>
    <x v="1"/>
    <n v="26"/>
    <x v="1"/>
    <x v="3"/>
    <n v="67"/>
    <n v="10371"/>
    <n v="20.3"/>
    <n v="94"/>
    <n v="3"/>
    <n v="56339"/>
    <s v="Low"/>
    <s v="Adult"/>
  </r>
  <r>
    <s v="P-0034"/>
    <x v="35"/>
    <x v="0"/>
    <x v="0"/>
    <n v="27"/>
    <x v="1"/>
    <x v="1"/>
    <n v="90"/>
    <n v="3280"/>
    <n v="5.51"/>
    <n v="38"/>
    <n v="4"/>
    <n v="9179"/>
    <s v="High"/>
    <s v="Adult"/>
  </r>
  <r>
    <s v="P-0327"/>
    <x v="1"/>
    <x v="0"/>
    <x v="0"/>
    <n v="27"/>
    <x v="0"/>
    <x v="0"/>
    <n v="88"/>
    <n v="2405"/>
    <n v="8.69"/>
    <n v="18"/>
    <n v="5"/>
    <n v="10200"/>
    <s v="High"/>
    <s v="Adult"/>
  </r>
  <r>
    <s v="P-0512"/>
    <x v="0"/>
    <x v="0"/>
    <x v="0"/>
    <n v="27"/>
    <x v="1"/>
    <x v="3"/>
    <n v="88"/>
    <n v="2751"/>
    <n v="3.61"/>
    <n v="18"/>
    <n v="5"/>
    <n v="10722"/>
    <s v="High"/>
    <s v="Adult"/>
  </r>
  <r>
    <s v="P-0556"/>
    <x v="1"/>
    <x v="0"/>
    <x v="2"/>
    <n v="27"/>
    <x v="2"/>
    <x v="5"/>
    <n v="83"/>
    <n v="2742"/>
    <n v="3.13"/>
    <n v="51"/>
    <n v="4"/>
    <n v="16024"/>
    <s v="High"/>
    <s v="Adult"/>
  </r>
  <r>
    <s v="P-0901"/>
    <x v="34"/>
    <x v="1"/>
    <x v="1"/>
    <n v="27"/>
    <x v="1"/>
    <x v="0"/>
    <n v="81"/>
    <n v="8805"/>
    <n v="8.56"/>
    <n v="96"/>
    <n v="4"/>
    <n v="31339"/>
    <s v="Moderate"/>
    <s v="Adult"/>
  </r>
  <r>
    <s v="P-0477"/>
    <x v="22"/>
    <x v="2"/>
    <x v="0"/>
    <n v="27"/>
    <x v="1"/>
    <x v="4"/>
    <n v="76"/>
    <n v="9898"/>
    <n v="19.75"/>
    <n v="65"/>
    <n v="4"/>
    <n v="49992"/>
    <s v="Moderate"/>
    <s v="Adult"/>
  </r>
  <r>
    <s v="P-0589"/>
    <x v="22"/>
    <x v="2"/>
    <x v="0"/>
    <n v="27"/>
    <x v="0"/>
    <x v="0"/>
    <n v="70"/>
    <n v="8028"/>
    <n v="15.89"/>
    <n v="79"/>
    <n v="4"/>
    <n v="33655"/>
    <s v="Low"/>
    <s v="Adult"/>
  </r>
  <r>
    <s v="P-0373"/>
    <x v="15"/>
    <x v="3"/>
    <x v="0"/>
    <n v="27"/>
    <x v="0"/>
    <x v="2"/>
    <n v="80"/>
    <n v="5205"/>
    <n v="17.600000000000001"/>
    <n v="81"/>
    <n v="4"/>
    <n v="16734"/>
    <s v="Moderate"/>
    <s v="Adult"/>
  </r>
  <r>
    <s v="P-0559"/>
    <x v="32"/>
    <x v="3"/>
    <x v="2"/>
    <n v="27"/>
    <x v="2"/>
    <x v="5"/>
    <n v="82"/>
    <n v="6545"/>
    <n v="7.13"/>
    <n v="100"/>
    <n v="4"/>
    <n v="31150"/>
    <s v="Moderate"/>
    <s v="Adult"/>
  </r>
  <r>
    <s v="P-0742"/>
    <x v="5"/>
    <x v="3"/>
    <x v="0"/>
    <n v="27"/>
    <x v="2"/>
    <x v="3"/>
    <n v="81"/>
    <n v="5405"/>
    <n v="15.53"/>
    <n v="109"/>
    <n v="4"/>
    <n v="26629"/>
    <s v="Moderate"/>
    <s v="Adult"/>
  </r>
  <r>
    <s v="P-0687"/>
    <x v="7"/>
    <x v="4"/>
    <x v="1"/>
    <n v="27"/>
    <x v="2"/>
    <x v="3"/>
    <n v="80"/>
    <n v="10174"/>
    <n v="10.47"/>
    <n v="95"/>
    <n v="4"/>
    <n v="34175"/>
    <s v="Moderate"/>
    <s v="Adult"/>
  </r>
  <r>
    <s v="P-0759"/>
    <x v="6"/>
    <x v="4"/>
    <x v="0"/>
    <n v="27"/>
    <x v="0"/>
    <x v="4"/>
    <n v="68"/>
    <n v="9247"/>
    <n v="28.67"/>
    <n v="94"/>
    <n v="3"/>
    <n v="33930"/>
    <s v="Low"/>
    <s v="Adult"/>
  </r>
  <r>
    <s v="P-0026"/>
    <x v="29"/>
    <x v="6"/>
    <x v="1"/>
    <n v="27"/>
    <x v="2"/>
    <x v="5"/>
    <n v="82"/>
    <n v="5082"/>
    <n v="12.91"/>
    <n v="87"/>
    <n v="4"/>
    <n v="23931"/>
    <s v="Moderate"/>
    <s v="Adult"/>
  </r>
  <r>
    <s v="P-0230"/>
    <x v="1"/>
    <x v="0"/>
    <x v="1"/>
    <n v="28"/>
    <x v="0"/>
    <x v="0"/>
    <n v="92"/>
    <n v="2286"/>
    <n v="2.83"/>
    <n v="38"/>
    <n v="4"/>
    <n v="10205"/>
    <s v="High"/>
    <s v="Adult"/>
  </r>
  <r>
    <s v="P-0495"/>
    <x v="1"/>
    <x v="0"/>
    <x v="0"/>
    <n v="28"/>
    <x v="0"/>
    <x v="1"/>
    <n v="79"/>
    <n v="2930"/>
    <n v="5.56"/>
    <n v="46"/>
    <n v="4"/>
    <n v="8796"/>
    <s v="Moderate"/>
    <s v="Adult"/>
  </r>
  <r>
    <s v="P-0388"/>
    <x v="31"/>
    <x v="1"/>
    <x v="0"/>
    <n v="28"/>
    <x v="1"/>
    <x v="0"/>
    <n v="72"/>
    <n v="4784"/>
    <n v="14.8"/>
    <n v="62"/>
    <n v="4"/>
    <n v="23044"/>
    <s v="Low"/>
    <s v="Adult"/>
  </r>
  <r>
    <s v="P-0315"/>
    <x v="3"/>
    <x v="2"/>
    <x v="2"/>
    <n v="28"/>
    <x v="0"/>
    <x v="5"/>
    <n v="85"/>
    <n v="7625"/>
    <n v="15.87"/>
    <n v="54"/>
    <n v="4"/>
    <n v="37949"/>
    <s v="High"/>
    <s v="Adult"/>
  </r>
  <r>
    <s v="P-0456"/>
    <x v="4"/>
    <x v="2"/>
    <x v="0"/>
    <n v="28"/>
    <x v="0"/>
    <x v="2"/>
    <n v="76"/>
    <n v="6187"/>
    <n v="15.38"/>
    <n v="75"/>
    <n v="4"/>
    <n v="34272"/>
    <s v="Moderate"/>
    <s v="Adult"/>
  </r>
  <r>
    <s v="P-0009"/>
    <x v="6"/>
    <x v="4"/>
    <x v="1"/>
    <n v="28"/>
    <x v="2"/>
    <x v="5"/>
    <n v="71"/>
    <n v="9596"/>
    <n v="20.9"/>
    <n v="88"/>
    <n v="3"/>
    <n v="34434"/>
    <s v="Low"/>
    <s v="Adult"/>
  </r>
  <r>
    <s v="P-0013"/>
    <x v="23"/>
    <x v="4"/>
    <x v="1"/>
    <n v="28"/>
    <x v="2"/>
    <x v="3"/>
    <n v="73"/>
    <n v="10647"/>
    <n v="18.32"/>
    <n v="84"/>
    <n v="4"/>
    <n v="59878"/>
    <s v="Low"/>
    <s v="Adult"/>
  </r>
  <r>
    <s v="P-0242"/>
    <x v="13"/>
    <x v="5"/>
    <x v="1"/>
    <n v="28"/>
    <x v="0"/>
    <x v="4"/>
    <n v="79"/>
    <n v="3689"/>
    <n v="19.22"/>
    <n v="121"/>
    <n v="4"/>
    <n v="13281"/>
    <s v="Moderate"/>
    <s v="Adult"/>
  </r>
  <r>
    <s v="P-0348"/>
    <x v="13"/>
    <x v="5"/>
    <x v="0"/>
    <n v="28"/>
    <x v="1"/>
    <x v="0"/>
    <n v="79"/>
    <n v="2276"/>
    <n v="17.489999999999998"/>
    <n v="96"/>
    <n v="3"/>
    <n v="13405"/>
    <s v="Moderate"/>
    <s v="Adult"/>
  </r>
  <r>
    <s v="P-0976"/>
    <x v="17"/>
    <x v="5"/>
    <x v="1"/>
    <n v="28"/>
    <x v="1"/>
    <x v="5"/>
    <n v="73"/>
    <n v="3005"/>
    <n v="16.59"/>
    <n v="95"/>
    <n v="4"/>
    <n v="13693"/>
    <s v="Low"/>
    <s v="Adult"/>
  </r>
  <r>
    <s v="P-0407"/>
    <x v="21"/>
    <x v="0"/>
    <x v="1"/>
    <n v="29"/>
    <x v="0"/>
    <x v="3"/>
    <n v="93"/>
    <n v="2271"/>
    <n v="5.73"/>
    <n v="19"/>
    <n v="4"/>
    <n v="6845"/>
    <s v="High"/>
    <s v="Adult"/>
  </r>
  <r>
    <s v="P-0618"/>
    <x v="35"/>
    <x v="0"/>
    <x v="0"/>
    <n v="29"/>
    <x v="1"/>
    <x v="3"/>
    <n v="80"/>
    <n v="2397"/>
    <n v="0.31"/>
    <n v="47"/>
    <n v="4"/>
    <n v="8647"/>
    <s v="Moderate"/>
    <s v="Adult"/>
  </r>
  <r>
    <s v="P-0928"/>
    <x v="21"/>
    <x v="0"/>
    <x v="1"/>
    <n v="29"/>
    <x v="0"/>
    <x v="4"/>
    <n v="86"/>
    <n v="2138"/>
    <n v="3.6"/>
    <n v="26"/>
    <n v="4"/>
    <n v="8752"/>
    <s v="High"/>
    <s v="Adult"/>
  </r>
  <r>
    <s v="P-0442"/>
    <x v="2"/>
    <x v="1"/>
    <x v="1"/>
    <n v="29"/>
    <x v="2"/>
    <x v="2"/>
    <n v="87"/>
    <n v="6492"/>
    <n v="11.25"/>
    <n v="30"/>
    <n v="5"/>
    <n v="16972"/>
    <s v="High"/>
    <s v="Adult"/>
  </r>
  <r>
    <s v="P-0590"/>
    <x v="31"/>
    <x v="1"/>
    <x v="0"/>
    <n v="29"/>
    <x v="0"/>
    <x v="0"/>
    <n v="89"/>
    <n v="5141"/>
    <n v="9.56"/>
    <n v="72"/>
    <n v="4"/>
    <n v="13967"/>
    <s v="High"/>
    <s v="Adult"/>
  </r>
  <r>
    <s v="P-0610"/>
    <x v="30"/>
    <x v="1"/>
    <x v="0"/>
    <n v="29"/>
    <x v="2"/>
    <x v="5"/>
    <n v="76"/>
    <n v="3361"/>
    <n v="17.28"/>
    <n v="74"/>
    <n v="4"/>
    <n v="18124"/>
    <s v="Moderate"/>
    <s v="Adult"/>
  </r>
  <r>
    <s v="P-0774"/>
    <x v="2"/>
    <x v="1"/>
    <x v="1"/>
    <n v="29"/>
    <x v="1"/>
    <x v="4"/>
    <n v="74"/>
    <n v="5209"/>
    <n v="13.85"/>
    <n v="98"/>
    <n v="3"/>
    <n v="27748"/>
    <s v="Low"/>
    <s v="Adult"/>
  </r>
  <r>
    <s v="P-0293"/>
    <x v="20"/>
    <x v="3"/>
    <x v="1"/>
    <n v="29"/>
    <x v="1"/>
    <x v="5"/>
    <n v="78"/>
    <n v="7578"/>
    <n v="14.22"/>
    <n v="71"/>
    <n v="3"/>
    <n v="24939"/>
    <s v="Moderate"/>
    <s v="Adult"/>
  </r>
  <r>
    <s v="P-0593"/>
    <x v="15"/>
    <x v="3"/>
    <x v="0"/>
    <n v="29"/>
    <x v="0"/>
    <x v="4"/>
    <n v="80"/>
    <n v="8578"/>
    <n v="18.21"/>
    <n v="84"/>
    <n v="3"/>
    <n v="35124"/>
    <s v="Moderate"/>
    <s v="Adult"/>
  </r>
  <r>
    <s v="P-0797"/>
    <x v="36"/>
    <x v="3"/>
    <x v="0"/>
    <n v="29"/>
    <x v="0"/>
    <x v="3"/>
    <n v="71"/>
    <n v="5577"/>
    <n v="17.579999999999998"/>
    <n v="107"/>
    <n v="3"/>
    <n v="32353"/>
    <s v="Low"/>
    <s v="Adult"/>
  </r>
  <r>
    <s v="P-0949"/>
    <x v="15"/>
    <x v="3"/>
    <x v="0"/>
    <n v="29"/>
    <x v="0"/>
    <x v="4"/>
    <n v="75"/>
    <n v="3571"/>
    <n v="16.34"/>
    <n v="80"/>
    <n v="4"/>
    <n v="13114"/>
    <s v="Low"/>
    <s v="Adult"/>
  </r>
  <r>
    <s v="P-0279"/>
    <x v="6"/>
    <x v="4"/>
    <x v="0"/>
    <n v="29"/>
    <x v="0"/>
    <x v="3"/>
    <n v="67"/>
    <n v="8697"/>
    <n v="15.11"/>
    <n v="82"/>
    <n v="4"/>
    <n v="39411"/>
    <s v="Low"/>
    <s v="Adult"/>
  </r>
  <r>
    <s v="P-0751"/>
    <x v="7"/>
    <x v="4"/>
    <x v="1"/>
    <n v="29"/>
    <x v="2"/>
    <x v="3"/>
    <n v="75"/>
    <n v="10851"/>
    <n v="19.010000000000002"/>
    <n v="96"/>
    <n v="4"/>
    <n v="54242"/>
    <s v="Low"/>
    <s v="Adult"/>
  </r>
  <r>
    <s v="P-0919"/>
    <x v="26"/>
    <x v="4"/>
    <x v="1"/>
    <n v="29"/>
    <x v="1"/>
    <x v="2"/>
    <n v="82"/>
    <n v="8610"/>
    <n v="13.24"/>
    <n v="102"/>
    <n v="4"/>
    <n v="26902"/>
    <s v="Moderate"/>
    <s v="Adult"/>
  </r>
  <r>
    <s v="P-0359"/>
    <x v="27"/>
    <x v="5"/>
    <x v="0"/>
    <n v="29"/>
    <x v="2"/>
    <x v="2"/>
    <n v="73"/>
    <n v="3712"/>
    <n v="20.89"/>
    <n v="82"/>
    <n v="4"/>
    <n v="17468"/>
    <s v="Low"/>
    <s v="Adult"/>
  </r>
  <r>
    <s v="P-0650"/>
    <x v="9"/>
    <x v="5"/>
    <x v="1"/>
    <n v="29"/>
    <x v="0"/>
    <x v="3"/>
    <n v="78"/>
    <n v="3274"/>
    <n v="18.440000000000001"/>
    <n v="102"/>
    <n v="4"/>
    <n v="18393"/>
    <s v="Moderate"/>
    <s v="Adult"/>
  </r>
  <r>
    <s v="P-0706"/>
    <x v="17"/>
    <x v="5"/>
    <x v="0"/>
    <n v="29"/>
    <x v="0"/>
    <x v="5"/>
    <n v="72"/>
    <n v="3430"/>
    <n v="19.510000000000002"/>
    <n v="69"/>
    <n v="3"/>
    <n v="14070"/>
    <s v="Low"/>
    <s v="Adult"/>
  </r>
  <r>
    <s v="P-0799"/>
    <x v="27"/>
    <x v="5"/>
    <x v="0"/>
    <n v="29"/>
    <x v="1"/>
    <x v="2"/>
    <n v="79"/>
    <n v="3019"/>
    <n v="15.53"/>
    <n v="74"/>
    <n v="4"/>
    <n v="10321"/>
    <s v="Moderate"/>
    <s v="Adult"/>
  </r>
  <r>
    <s v="P-0262"/>
    <x v="11"/>
    <x v="6"/>
    <x v="0"/>
    <n v="29"/>
    <x v="0"/>
    <x v="0"/>
    <n v="77"/>
    <n v="5759"/>
    <n v="17.07"/>
    <n v="81"/>
    <n v="3"/>
    <n v="32018"/>
    <s v="Moderate"/>
    <s v="Adult"/>
  </r>
  <r>
    <s v="P-0823"/>
    <x v="29"/>
    <x v="6"/>
    <x v="0"/>
    <n v="29"/>
    <x v="2"/>
    <x v="2"/>
    <n v="81"/>
    <n v="8574"/>
    <n v="9.0299999999999994"/>
    <n v="92"/>
    <n v="4"/>
    <n v="21710"/>
    <s v="Moderate"/>
    <s v="Adult"/>
  </r>
  <r>
    <s v="P-0124"/>
    <x v="1"/>
    <x v="0"/>
    <x v="0"/>
    <n v="30"/>
    <x v="2"/>
    <x v="5"/>
    <n v="83"/>
    <n v="3678"/>
    <n v="8.75"/>
    <n v="30"/>
    <n v="4"/>
    <n v="20490"/>
    <s v="High"/>
    <s v="Adult"/>
  </r>
  <r>
    <s v="P-0549"/>
    <x v="30"/>
    <x v="1"/>
    <x v="0"/>
    <n v="30"/>
    <x v="2"/>
    <x v="1"/>
    <n v="73"/>
    <n v="6386"/>
    <n v="12.67"/>
    <n v="85"/>
    <n v="4"/>
    <n v="27417"/>
    <s v="Low"/>
    <s v="Adult"/>
  </r>
  <r>
    <s v="P-0038"/>
    <x v="4"/>
    <x v="2"/>
    <x v="1"/>
    <n v="30"/>
    <x v="0"/>
    <x v="1"/>
    <n v="77"/>
    <n v="7620"/>
    <n v="21.49"/>
    <n v="54"/>
    <n v="3"/>
    <n v="31677"/>
    <s v="Moderate"/>
    <s v="Adult"/>
  </r>
  <r>
    <s v="P-0051"/>
    <x v="36"/>
    <x v="3"/>
    <x v="1"/>
    <n v="30"/>
    <x v="2"/>
    <x v="2"/>
    <n v="78"/>
    <n v="6904"/>
    <n v="20.9"/>
    <n v="85"/>
    <n v="4"/>
    <n v="19946"/>
    <s v="Moderate"/>
    <s v="Adult"/>
  </r>
  <r>
    <s v="P-0349"/>
    <x v="23"/>
    <x v="4"/>
    <x v="1"/>
    <n v="30"/>
    <x v="1"/>
    <x v="3"/>
    <n v="83"/>
    <n v="8015"/>
    <n v="15.91"/>
    <n v="98"/>
    <n v="5"/>
    <n v="38229"/>
    <s v="High"/>
    <s v="Adult"/>
  </r>
  <r>
    <s v="P-0369"/>
    <x v="8"/>
    <x v="4"/>
    <x v="0"/>
    <n v="30"/>
    <x v="2"/>
    <x v="5"/>
    <n v="91"/>
    <n v="8609"/>
    <n v="15.77"/>
    <n v="69"/>
    <n v="5"/>
    <n v="28915"/>
    <s v="High"/>
    <s v="Adult"/>
  </r>
  <r>
    <s v="P-0981"/>
    <x v="26"/>
    <x v="4"/>
    <x v="1"/>
    <n v="30"/>
    <x v="1"/>
    <x v="4"/>
    <n v="79"/>
    <n v="6743"/>
    <n v="16.14"/>
    <n v="76"/>
    <n v="4"/>
    <n v="18868"/>
    <s v="Moderate"/>
    <s v="Adult"/>
  </r>
  <r>
    <s v="P-0100"/>
    <x v="17"/>
    <x v="5"/>
    <x v="2"/>
    <n v="30"/>
    <x v="1"/>
    <x v="5"/>
    <n v="77"/>
    <n v="3569"/>
    <n v="17.48"/>
    <n v="95"/>
    <n v="3"/>
    <n v="11897"/>
    <s v="Moderate"/>
    <s v="Adult"/>
  </r>
  <r>
    <s v="P-0607"/>
    <x v="27"/>
    <x v="5"/>
    <x v="1"/>
    <n v="30"/>
    <x v="2"/>
    <x v="5"/>
    <n v="73"/>
    <n v="3329"/>
    <n v="18.010000000000002"/>
    <n v="143"/>
    <n v="4"/>
    <n v="8769"/>
    <s v="Low"/>
    <s v="Adult"/>
  </r>
  <r>
    <s v="P-0632"/>
    <x v="10"/>
    <x v="5"/>
    <x v="1"/>
    <n v="30"/>
    <x v="2"/>
    <x v="3"/>
    <n v="73"/>
    <n v="4654"/>
    <n v="15.13"/>
    <n v="96"/>
    <n v="3"/>
    <n v="18002"/>
    <s v="Low"/>
    <s v="Adult"/>
  </r>
  <r>
    <s v="P-0736"/>
    <x v="17"/>
    <x v="5"/>
    <x v="0"/>
    <n v="30"/>
    <x v="1"/>
    <x v="5"/>
    <n v="69"/>
    <n v="3379"/>
    <n v="12.56"/>
    <n v="120"/>
    <n v="3"/>
    <n v="16078"/>
    <s v="Low"/>
    <s v="Adult"/>
  </r>
  <r>
    <s v="P-0754"/>
    <x v="13"/>
    <x v="5"/>
    <x v="0"/>
    <n v="30"/>
    <x v="2"/>
    <x v="2"/>
    <n v="75"/>
    <n v="3272"/>
    <n v="14.25"/>
    <n v="76"/>
    <n v="4"/>
    <n v="9096"/>
    <s v="Low"/>
    <s v="Adult"/>
  </r>
  <r>
    <s v="P-0834"/>
    <x v="17"/>
    <x v="5"/>
    <x v="0"/>
    <n v="30"/>
    <x v="2"/>
    <x v="5"/>
    <n v="69"/>
    <n v="3614"/>
    <n v="20.98"/>
    <n v="124"/>
    <n v="2"/>
    <n v="16688"/>
    <s v="Low"/>
    <s v="Adult"/>
  </r>
  <r>
    <s v="P-0344"/>
    <x v="19"/>
    <x v="6"/>
    <x v="0"/>
    <n v="30"/>
    <x v="2"/>
    <x v="3"/>
    <n v="73"/>
    <n v="9538"/>
    <n v="13.37"/>
    <n v="103"/>
    <n v="4"/>
    <n v="36327"/>
    <s v="Low"/>
    <s v="Adult"/>
  </r>
  <r>
    <s v="P-0471"/>
    <x v="11"/>
    <x v="6"/>
    <x v="0"/>
    <n v="30"/>
    <x v="2"/>
    <x v="4"/>
    <n v="80"/>
    <n v="5529"/>
    <n v="19.03"/>
    <n v="99"/>
    <n v="4"/>
    <n v="18054"/>
    <s v="Moderate"/>
    <s v="Adult"/>
  </r>
  <r>
    <s v="P-0890"/>
    <x v="29"/>
    <x v="6"/>
    <x v="1"/>
    <n v="30"/>
    <x v="1"/>
    <x v="4"/>
    <n v="79"/>
    <n v="7824"/>
    <n v="18.91"/>
    <n v="88"/>
    <n v="4"/>
    <n v="37890"/>
    <s v="Moderate"/>
    <s v="Adult"/>
  </r>
  <r>
    <s v="P-0102"/>
    <x v="0"/>
    <x v="0"/>
    <x v="1"/>
    <n v="31"/>
    <x v="0"/>
    <x v="1"/>
    <n v="80"/>
    <n v="1665"/>
    <n v="12.06"/>
    <n v="26"/>
    <n v="4"/>
    <n v="6375"/>
    <s v="Moderate"/>
    <s v="Adult"/>
  </r>
  <r>
    <s v="P-0387"/>
    <x v="21"/>
    <x v="0"/>
    <x v="0"/>
    <n v="31"/>
    <x v="2"/>
    <x v="1"/>
    <n v="84"/>
    <n v="1954"/>
    <n v="8.56"/>
    <n v="62"/>
    <n v="4"/>
    <n v="7104"/>
    <s v="High"/>
    <s v="Adult"/>
  </r>
  <r>
    <s v="P-0812"/>
    <x v="1"/>
    <x v="0"/>
    <x v="0"/>
    <n v="31"/>
    <x v="2"/>
    <x v="1"/>
    <n v="87"/>
    <n v="2189"/>
    <n v="8.4499999999999993"/>
    <n v="29"/>
    <n v="4"/>
    <n v="12104"/>
    <s v="High"/>
    <s v="Adult"/>
  </r>
  <r>
    <s v="P-0942"/>
    <x v="1"/>
    <x v="0"/>
    <x v="0"/>
    <n v="31"/>
    <x v="2"/>
    <x v="0"/>
    <n v="83"/>
    <n v="1583"/>
    <n v="6.04"/>
    <n v="34"/>
    <n v="4"/>
    <n v="7586"/>
    <s v="High"/>
    <s v="Adult"/>
  </r>
  <r>
    <s v="P-0084"/>
    <x v="31"/>
    <x v="1"/>
    <x v="0"/>
    <n v="31"/>
    <x v="2"/>
    <x v="1"/>
    <n v="79"/>
    <n v="7261"/>
    <n v="8.6300000000000008"/>
    <n v="30"/>
    <n v="4"/>
    <n v="41013"/>
    <s v="Moderate"/>
    <s v="Adult"/>
  </r>
  <r>
    <s v="P-0731"/>
    <x v="30"/>
    <x v="1"/>
    <x v="1"/>
    <n v="31"/>
    <x v="0"/>
    <x v="2"/>
    <n v="77"/>
    <n v="4872"/>
    <n v="16.48"/>
    <n v="70"/>
    <n v="4"/>
    <n v="20454"/>
    <s v="Moderate"/>
    <s v="Adult"/>
  </r>
  <r>
    <s v="P-0075"/>
    <x v="36"/>
    <x v="3"/>
    <x v="1"/>
    <n v="31"/>
    <x v="2"/>
    <x v="2"/>
    <n v="79"/>
    <n v="5729"/>
    <n v="11.54"/>
    <n v="80"/>
    <n v="4"/>
    <n v="22551"/>
    <s v="Moderate"/>
    <s v="Adult"/>
  </r>
  <r>
    <s v="P-0551"/>
    <x v="36"/>
    <x v="3"/>
    <x v="0"/>
    <n v="31"/>
    <x v="0"/>
    <x v="0"/>
    <n v="79"/>
    <n v="6634"/>
    <n v="23.17"/>
    <n v="50"/>
    <n v="4"/>
    <n v="27805"/>
    <s v="Moderate"/>
    <s v="Adult"/>
  </r>
  <r>
    <s v="P-0686"/>
    <x v="20"/>
    <x v="3"/>
    <x v="1"/>
    <n v="31"/>
    <x v="1"/>
    <x v="0"/>
    <n v="78"/>
    <n v="6079"/>
    <n v="10.37"/>
    <n v="103"/>
    <n v="4"/>
    <n v="24110"/>
    <s v="Moderate"/>
    <s v="Adult"/>
  </r>
  <r>
    <s v="P-0975"/>
    <x v="5"/>
    <x v="3"/>
    <x v="1"/>
    <n v="31"/>
    <x v="2"/>
    <x v="2"/>
    <n v="76"/>
    <n v="6985"/>
    <n v="20.82"/>
    <n v="49"/>
    <n v="4"/>
    <n v="31442"/>
    <s v="Moderate"/>
    <s v="Adult"/>
  </r>
  <r>
    <s v="P-0458"/>
    <x v="7"/>
    <x v="4"/>
    <x v="0"/>
    <n v="31"/>
    <x v="2"/>
    <x v="5"/>
    <n v="75"/>
    <n v="9174"/>
    <n v="14.98"/>
    <n v="115"/>
    <n v="4"/>
    <n v="40408"/>
    <s v="Low"/>
    <s v="Adult"/>
  </r>
  <r>
    <s v="P-0781"/>
    <x v="23"/>
    <x v="4"/>
    <x v="1"/>
    <n v="31"/>
    <x v="2"/>
    <x v="0"/>
    <n v="75"/>
    <n v="6281"/>
    <n v="16.12"/>
    <n v="89"/>
    <n v="4"/>
    <n v="19241"/>
    <s v="Low"/>
    <s v="Adult"/>
  </r>
  <r>
    <s v="P-0291"/>
    <x v="19"/>
    <x v="6"/>
    <x v="0"/>
    <n v="31"/>
    <x v="2"/>
    <x v="2"/>
    <n v="68"/>
    <n v="5890"/>
    <n v="14.77"/>
    <n v="82"/>
    <n v="3"/>
    <n v="16309"/>
    <s v="Low"/>
    <s v="Adult"/>
  </r>
  <r>
    <s v="P-0746"/>
    <x v="28"/>
    <x v="6"/>
    <x v="0"/>
    <n v="31"/>
    <x v="1"/>
    <x v="2"/>
    <n v="76"/>
    <n v="6387"/>
    <n v="9.5"/>
    <n v="83"/>
    <n v="4"/>
    <n v="29174"/>
    <s v="Moderate"/>
    <s v="Adult"/>
  </r>
  <r>
    <s v="P-0005"/>
    <x v="35"/>
    <x v="0"/>
    <x v="1"/>
    <n v="32"/>
    <x v="2"/>
    <x v="5"/>
    <n v="84"/>
    <n v="2199"/>
    <n v="12.41"/>
    <n v="39"/>
    <n v="4"/>
    <n v="5762"/>
    <s v="High"/>
    <s v="Adult"/>
  </r>
  <r>
    <s v="P-0044"/>
    <x v="0"/>
    <x v="0"/>
    <x v="0"/>
    <n v="32"/>
    <x v="0"/>
    <x v="1"/>
    <n v="77"/>
    <n v="2775"/>
    <n v="2.16"/>
    <n v="62"/>
    <n v="3"/>
    <n v="14478"/>
    <s v="Moderate"/>
    <s v="Adult"/>
  </r>
  <r>
    <s v="P-0173"/>
    <x v="1"/>
    <x v="0"/>
    <x v="0"/>
    <n v="32"/>
    <x v="2"/>
    <x v="0"/>
    <n v="85"/>
    <n v="1703"/>
    <n v="6.76"/>
    <n v="51"/>
    <n v="4"/>
    <n v="9061"/>
    <s v="High"/>
    <s v="Adult"/>
  </r>
  <r>
    <s v="P-0342"/>
    <x v="1"/>
    <x v="0"/>
    <x v="1"/>
    <n v="32"/>
    <x v="0"/>
    <x v="2"/>
    <n v="81"/>
    <n v="3055"/>
    <n v="12.74"/>
    <n v="60"/>
    <n v="4"/>
    <n v="10713"/>
    <s v="Moderate"/>
    <s v="Adult"/>
  </r>
  <r>
    <s v="P-0426"/>
    <x v="0"/>
    <x v="0"/>
    <x v="0"/>
    <n v="32"/>
    <x v="0"/>
    <x v="2"/>
    <n v="84"/>
    <n v="3266"/>
    <n v="5.55"/>
    <n v="41"/>
    <n v="4"/>
    <n v="8509"/>
    <s v="High"/>
    <s v="Adult"/>
  </r>
  <r>
    <s v="P-0835"/>
    <x v="0"/>
    <x v="0"/>
    <x v="1"/>
    <n v="32"/>
    <x v="2"/>
    <x v="1"/>
    <n v="81"/>
    <n v="1840"/>
    <n v="5.08"/>
    <n v="101"/>
    <n v="5"/>
    <n v="5444"/>
    <s v="Moderate"/>
    <s v="Adult"/>
  </r>
  <r>
    <s v="P-0153"/>
    <x v="30"/>
    <x v="1"/>
    <x v="0"/>
    <n v="32"/>
    <x v="2"/>
    <x v="3"/>
    <n v="75"/>
    <n v="6592"/>
    <n v="13.04"/>
    <n v="82"/>
    <n v="3"/>
    <n v="38892"/>
    <s v="Low"/>
    <s v="Adult"/>
  </r>
  <r>
    <s v="P-0234"/>
    <x v="34"/>
    <x v="1"/>
    <x v="1"/>
    <n v="32"/>
    <x v="0"/>
    <x v="4"/>
    <n v="85"/>
    <n v="5149"/>
    <n v="9.9600000000000009"/>
    <n v="87"/>
    <n v="4"/>
    <n v="22232"/>
    <s v="High"/>
    <s v="Adult"/>
  </r>
  <r>
    <s v="P-0429"/>
    <x v="24"/>
    <x v="1"/>
    <x v="0"/>
    <n v="32"/>
    <x v="0"/>
    <x v="5"/>
    <n v="86"/>
    <n v="4032"/>
    <n v="10.43"/>
    <n v="70"/>
    <n v="4"/>
    <n v="23281"/>
    <s v="High"/>
    <s v="Adult"/>
  </r>
  <r>
    <s v="P-0080"/>
    <x v="22"/>
    <x v="2"/>
    <x v="1"/>
    <n v="32"/>
    <x v="1"/>
    <x v="5"/>
    <n v="71"/>
    <n v="9770"/>
    <n v="17.09"/>
    <n v="95"/>
    <n v="5"/>
    <n v="38507"/>
    <s v="Low"/>
    <s v="Adult"/>
  </r>
  <r>
    <s v="P-0558"/>
    <x v="25"/>
    <x v="2"/>
    <x v="1"/>
    <n v="32"/>
    <x v="2"/>
    <x v="1"/>
    <n v="88"/>
    <n v="6636"/>
    <n v="8.15"/>
    <n v="62"/>
    <n v="4"/>
    <n v="20303"/>
    <s v="High"/>
    <s v="Adult"/>
  </r>
  <r>
    <s v="P-0865"/>
    <x v="3"/>
    <x v="2"/>
    <x v="1"/>
    <n v="32"/>
    <x v="1"/>
    <x v="2"/>
    <n v="86"/>
    <n v="8576"/>
    <n v="10.36"/>
    <n v="84"/>
    <n v="4"/>
    <n v="38171"/>
    <s v="High"/>
    <s v="Adult"/>
  </r>
  <r>
    <s v="P-0675"/>
    <x v="32"/>
    <x v="3"/>
    <x v="0"/>
    <n v="32"/>
    <x v="1"/>
    <x v="4"/>
    <n v="80"/>
    <n v="7209"/>
    <n v="6.31"/>
    <n v="93"/>
    <n v="4"/>
    <n v="38612"/>
    <s v="Moderate"/>
    <s v="Adult"/>
  </r>
  <r>
    <s v="P-0167"/>
    <x v="23"/>
    <x v="4"/>
    <x v="1"/>
    <n v="32"/>
    <x v="2"/>
    <x v="1"/>
    <n v="73"/>
    <n v="11955"/>
    <n v="21.04"/>
    <n v="68"/>
    <n v="5"/>
    <n v="45778"/>
    <s v="Low"/>
    <s v="Adult"/>
  </r>
  <r>
    <s v="P-0172"/>
    <x v="7"/>
    <x v="4"/>
    <x v="1"/>
    <n v="32"/>
    <x v="2"/>
    <x v="1"/>
    <n v="74"/>
    <n v="8758"/>
    <n v="16.36"/>
    <n v="63"/>
    <n v="4"/>
    <n v="37992"/>
    <s v="Low"/>
    <s v="Adult"/>
  </r>
  <r>
    <s v="P-0421"/>
    <x v="6"/>
    <x v="4"/>
    <x v="1"/>
    <n v="32"/>
    <x v="2"/>
    <x v="1"/>
    <n v="72"/>
    <n v="4054"/>
    <n v="15"/>
    <n v="104"/>
    <n v="4"/>
    <n v="21877"/>
    <s v="Low"/>
    <s v="Adult"/>
  </r>
  <r>
    <s v="P-0004"/>
    <x v="10"/>
    <x v="5"/>
    <x v="1"/>
    <n v="32"/>
    <x v="1"/>
    <x v="1"/>
    <n v="71"/>
    <n v="5291"/>
    <n v="19.579999999999998"/>
    <n v="121"/>
    <n v="3"/>
    <n v="16385"/>
    <s v="Low"/>
    <s v="Adult"/>
  </r>
  <r>
    <s v="P-0125"/>
    <x v="13"/>
    <x v="5"/>
    <x v="1"/>
    <n v="32"/>
    <x v="0"/>
    <x v="1"/>
    <n v="76"/>
    <n v="3700"/>
    <n v="19.34"/>
    <n v="102"/>
    <n v="5"/>
    <n v="10376"/>
    <s v="Moderate"/>
    <s v="Adult"/>
  </r>
  <r>
    <s v="P-0218"/>
    <x v="9"/>
    <x v="5"/>
    <x v="1"/>
    <n v="32"/>
    <x v="1"/>
    <x v="1"/>
    <n v="73"/>
    <n v="3495"/>
    <n v="23.25"/>
    <n v="126"/>
    <n v="3"/>
    <n v="17394"/>
    <s v="Low"/>
    <s v="Adult"/>
  </r>
  <r>
    <s v="P-0633"/>
    <x v="27"/>
    <x v="5"/>
    <x v="0"/>
    <n v="32"/>
    <x v="2"/>
    <x v="4"/>
    <n v="72"/>
    <n v="3362"/>
    <n v="16.14"/>
    <n v="124"/>
    <n v="3"/>
    <n v="17556"/>
    <s v="Low"/>
    <s v="Adult"/>
  </r>
  <r>
    <s v="P-0717"/>
    <x v="27"/>
    <x v="5"/>
    <x v="1"/>
    <n v="32"/>
    <x v="1"/>
    <x v="0"/>
    <n v="71"/>
    <n v="2561"/>
    <n v="19.73"/>
    <n v="89"/>
    <n v="4"/>
    <n v="7618"/>
    <s v="Low"/>
    <s v="Adult"/>
  </r>
  <r>
    <s v="P-0298"/>
    <x v="29"/>
    <x v="6"/>
    <x v="1"/>
    <n v="32"/>
    <x v="0"/>
    <x v="5"/>
    <n v="74"/>
    <n v="8337"/>
    <n v="11.87"/>
    <n v="85"/>
    <n v="4"/>
    <n v="23815"/>
    <s v="Low"/>
    <s v="Adult"/>
  </r>
  <r>
    <s v="P-0524"/>
    <x v="28"/>
    <x v="6"/>
    <x v="1"/>
    <n v="32"/>
    <x v="0"/>
    <x v="2"/>
    <n v="74"/>
    <n v="7731"/>
    <n v="8.66"/>
    <n v="70"/>
    <n v="4"/>
    <n v="35979"/>
    <s v="Low"/>
    <s v="Adult"/>
  </r>
  <r>
    <s v="P-0831"/>
    <x v="16"/>
    <x v="6"/>
    <x v="0"/>
    <n v="32"/>
    <x v="0"/>
    <x v="3"/>
    <n v="70"/>
    <n v="9026"/>
    <n v="19.75"/>
    <n v="116"/>
    <n v="4"/>
    <n v="49725"/>
    <s v="Low"/>
    <s v="Adult"/>
  </r>
  <r>
    <s v="P-0334"/>
    <x v="1"/>
    <x v="0"/>
    <x v="0"/>
    <n v="33"/>
    <x v="0"/>
    <x v="2"/>
    <n v="88"/>
    <n v="3401"/>
    <n v="6.53"/>
    <n v="49"/>
    <n v="4"/>
    <n v="15451"/>
    <s v="High"/>
    <s v="Adult"/>
  </r>
  <r>
    <s v="P-0732"/>
    <x v="0"/>
    <x v="0"/>
    <x v="0"/>
    <n v="33"/>
    <x v="1"/>
    <x v="2"/>
    <n v="88"/>
    <n v="1463"/>
    <n v="1.19"/>
    <n v="71"/>
    <n v="4"/>
    <n v="7798"/>
    <s v="High"/>
    <s v="Adult"/>
  </r>
  <r>
    <s v="P-0422"/>
    <x v="24"/>
    <x v="1"/>
    <x v="0"/>
    <n v="33"/>
    <x v="0"/>
    <x v="2"/>
    <n v="82"/>
    <n v="8892"/>
    <n v="12.89"/>
    <n v="52"/>
    <n v="4"/>
    <n v="37830"/>
    <s v="Moderate"/>
    <s v="Adult"/>
  </r>
  <r>
    <s v="P-0663"/>
    <x v="30"/>
    <x v="1"/>
    <x v="1"/>
    <n v="33"/>
    <x v="0"/>
    <x v="0"/>
    <n v="82"/>
    <n v="5786"/>
    <n v="8.35"/>
    <n v="56"/>
    <n v="4"/>
    <n v="17104"/>
    <s v="Moderate"/>
    <s v="Adult"/>
  </r>
  <r>
    <s v="P-0482"/>
    <x v="3"/>
    <x v="2"/>
    <x v="1"/>
    <n v="33"/>
    <x v="1"/>
    <x v="3"/>
    <n v="85"/>
    <n v="6691"/>
    <n v="7.47"/>
    <n v="100"/>
    <n v="5"/>
    <n v="24109"/>
    <s v="High"/>
    <s v="Adult"/>
  </r>
  <r>
    <s v="P-0738"/>
    <x v="4"/>
    <x v="2"/>
    <x v="1"/>
    <n v="33"/>
    <x v="2"/>
    <x v="4"/>
    <n v="78"/>
    <n v="9259"/>
    <n v="14.52"/>
    <n v="80"/>
    <n v="4"/>
    <n v="37996"/>
    <s v="Moderate"/>
    <s v="Adult"/>
  </r>
  <r>
    <s v="P-0641"/>
    <x v="5"/>
    <x v="3"/>
    <x v="1"/>
    <n v="33"/>
    <x v="0"/>
    <x v="1"/>
    <n v="68"/>
    <n v="5816"/>
    <n v="15.13"/>
    <n v="131"/>
    <n v="3"/>
    <n v="23395"/>
    <s v="Low"/>
    <s v="Adult"/>
  </r>
  <r>
    <s v="P-0097"/>
    <x v="8"/>
    <x v="4"/>
    <x v="0"/>
    <n v="33"/>
    <x v="2"/>
    <x v="4"/>
    <n v="74"/>
    <n v="8941"/>
    <n v="14.83"/>
    <n v="84"/>
    <n v="4"/>
    <n v="46621"/>
    <s v="Low"/>
    <s v="Adult"/>
  </r>
  <r>
    <s v="P-0135"/>
    <x v="7"/>
    <x v="4"/>
    <x v="1"/>
    <n v="33"/>
    <x v="2"/>
    <x v="1"/>
    <n v="77"/>
    <n v="6393"/>
    <n v="8.1999999999999993"/>
    <n v="132"/>
    <n v="4"/>
    <n v="31503"/>
    <s v="Moderate"/>
    <s v="Adult"/>
  </r>
  <r>
    <s v="P-0194"/>
    <x v="8"/>
    <x v="4"/>
    <x v="1"/>
    <n v="33"/>
    <x v="2"/>
    <x v="2"/>
    <n v="79"/>
    <n v="8338"/>
    <n v="14.17"/>
    <n v="86"/>
    <n v="4"/>
    <n v="22662"/>
    <s v="Moderate"/>
    <s v="Adult"/>
  </r>
  <r>
    <s v="P-0698"/>
    <x v="17"/>
    <x v="5"/>
    <x v="0"/>
    <n v="33"/>
    <x v="2"/>
    <x v="2"/>
    <n v="66"/>
    <n v="4899"/>
    <n v="26.11"/>
    <n v="117"/>
    <n v="3"/>
    <n v="26878"/>
    <s v="Low"/>
    <s v="Adult"/>
  </r>
  <r>
    <s v="P-0043"/>
    <x v="11"/>
    <x v="6"/>
    <x v="0"/>
    <n v="33"/>
    <x v="2"/>
    <x v="0"/>
    <n v="80"/>
    <n v="7499"/>
    <n v="13.23"/>
    <n v="101"/>
    <n v="4"/>
    <n v="38040"/>
    <s v="Moderate"/>
    <s v="Adult"/>
  </r>
  <r>
    <s v="P-0174"/>
    <x v="19"/>
    <x v="6"/>
    <x v="1"/>
    <n v="33"/>
    <x v="2"/>
    <x v="1"/>
    <n v="82"/>
    <n v="7660"/>
    <n v="16.559999999999999"/>
    <n v="86"/>
    <n v="4"/>
    <n v="42855"/>
    <s v="Moderate"/>
    <s v="Adult"/>
  </r>
  <r>
    <s v="P-0303"/>
    <x v="29"/>
    <x v="6"/>
    <x v="2"/>
    <n v="33"/>
    <x v="0"/>
    <x v="4"/>
    <n v="78"/>
    <n v="6288"/>
    <n v="15.41"/>
    <n v="60"/>
    <n v="4"/>
    <n v="33814"/>
    <s v="Moderate"/>
    <s v="Adult"/>
  </r>
  <r>
    <s v="P-0845"/>
    <x v="28"/>
    <x v="6"/>
    <x v="1"/>
    <n v="33"/>
    <x v="0"/>
    <x v="0"/>
    <n v="71"/>
    <n v="7811"/>
    <n v="21.65"/>
    <n v="79"/>
    <n v="4"/>
    <n v="23368"/>
    <s v="Low"/>
    <s v="Adult"/>
  </r>
  <r>
    <s v="P-0962"/>
    <x v="35"/>
    <x v="0"/>
    <x v="0"/>
    <n v="34"/>
    <x v="2"/>
    <x v="0"/>
    <n v="74"/>
    <n v="2048"/>
    <n v="0"/>
    <n v="35"/>
    <n v="4"/>
    <n v="7060"/>
    <s v="Low"/>
    <s v="Adult"/>
  </r>
  <r>
    <s v="P-0425"/>
    <x v="31"/>
    <x v="1"/>
    <x v="1"/>
    <n v="34"/>
    <x v="1"/>
    <x v="4"/>
    <n v="81"/>
    <n v="5122"/>
    <n v="15.03"/>
    <n v="82"/>
    <n v="5"/>
    <n v="29461"/>
    <s v="Moderate"/>
    <s v="Adult"/>
  </r>
  <r>
    <s v="P-0716"/>
    <x v="33"/>
    <x v="2"/>
    <x v="1"/>
    <n v="34"/>
    <x v="0"/>
    <x v="1"/>
    <n v="88"/>
    <n v="8071"/>
    <n v="19.03"/>
    <n v="83"/>
    <n v="5"/>
    <n v="25002"/>
    <s v="High"/>
    <s v="Adult"/>
  </r>
  <r>
    <s v="P-0726"/>
    <x v="25"/>
    <x v="2"/>
    <x v="0"/>
    <n v="34"/>
    <x v="1"/>
    <x v="1"/>
    <n v="92"/>
    <n v="7918"/>
    <n v="13.01"/>
    <n v="59"/>
    <n v="5"/>
    <n v="38182"/>
    <s v="High"/>
    <s v="Adult"/>
  </r>
  <r>
    <s v="P-0067"/>
    <x v="32"/>
    <x v="3"/>
    <x v="1"/>
    <n v="34"/>
    <x v="0"/>
    <x v="1"/>
    <n v="78"/>
    <n v="6360"/>
    <n v="10.86"/>
    <n v="74"/>
    <n v="3"/>
    <n v="27106"/>
    <s v="Moderate"/>
    <s v="Adult"/>
  </r>
  <r>
    <s v="P-0127"/>
    <x v="15"/>
    <x v="3"/>
    <x v="1"/>
    <n v="34"/>
    <x v="1"/>
    <x v="5"/>
    <n v="86"/>
    <n v="6478"/>
    <n v="19.75"/>
    <n v="94"/>
    <n v="4"/>
    <n v="34892"/>
    <s v="High"/>
    <s v="Adult"/>
  </r>
  <r>
    <s v="P-0532"/>
    <x v="5"/>
    <x v="3"/>
    <x v="1"/>
    <n v="34"/>
    <x v="2"/>
    <x v="4"/>
    <n v="82"/>
    <n v="5416"/>
    <n v="12.45"/>
    <n v="61"/>
    <n v="4"/>
    <n v="20558"/>
    <s v="Moderate"/>
    <s v="Adult"/>
  </r>
  <r>
    <s v="P-0672"/>
    <x v="5"/>
    <x v="3"/>
    <x v="1"/>
    <n v="34"/>
    <x v="2"/>
    <x v="2"/>
    <n v="77"/>
    <n v="6129"/>
    <n v="13"/>
    <n v="73"/>
    <n v="4"/>
    <n v="17218"/>
    <s v="Moderate"/>
    <s v="Adult"/>
  </r>
  <r>
    <s v="P-0950"/>
    <x v="5"/>
    <x v="3"/>
    <x v="1"/>
    <n v="34"/>
    <x v="0"/>
    <x v="4"/>
    <n v="85"/>
    <n v="7983"/>
    <n v="10.28"/>
    <n v="65"/>
    <n v="4"/>
    <n v="21798"/>
    <s v="High"/>
    <s v="Adult"/>
  </r>
  <r>
    <s v="P-0214"/>
    <x v="23"/>
    <x v="4"/>
    <x v="2"/>
    <n v="34"/>
    <x v="2"/>
    <x v="1"/>
    <n v="67"/>
    <n v="9500"/>
    <n v="22.82"/>
    <n v="72"/>
    <n v="3"/>
    <n v="28700"/>
    <s v="Low"/>
    <s v="Adult"/>
  </r>
  <r>
    <s v="P-0361"/>
    <x v="7"/>
    <x v="4"/>
    <x v="1"/>
    <n v="34"/>
    <x v="0"/>
    <x v="1"/>
    <n v="73"/>
    <n v="8303"/>
    <n v="16.82"/>
    <n v="112"/>
    <n v="3"/>
    <n v="22390"/>
    <s v="Low"/>
    <s v="Adult"/>
  </r>
  <r>
    <s v="P-0979"/>
    <x v="9"/>
    <x v="5"/>
    <x v="0"/>
    <n v="34"/>
    <x v="2"/>
    <x v="4"/>
    <n v="64"/>
    <n v="2611"/>
    <n v="24.14"/>
    <n v="146"/>
    <n v="3"/>
    <n v="15320"/>
    <s v="Low"/>
    <s v="Adult"/>
  </r>
  <r>
    <s v="P-0723"/>
    <x v="19"/>
    <x v="6"/>
    <x v="0"/>
    <n v="34"/>
    <x v="0"/>
    <x v="2"/>
    <n v="66"/>
    <n v="8157"/>
    <n v="16.63"/>
    <n v="111"/>
    <n v="3"/>
    <n v="31204"/>
    <s v="Low"/>
    <s v="Adult"/>
  </r>
  <r>
    <s v="P-0508"/>
    <x v="30"/>
    <x v="1"/>
    <x v="0"/>
    <n v="35"/>
    <x v="1"/>
    <x v="1"/>
    <n v="79"/>
    <n v="4034"/>
    <n v="12.48"/>
    <n v="91"/>
    <n v="4"/>
    <n v="12097"/>
    <s v="Moderate"/>
    <s v="Adult"/>
  </r>
  <r>
    <s v="P-0727"/>
    <x v="31"/>
    <x v="1"/>
    <x v="1"/>
    <n v="35"/>
    <x v="0"/>
    <x v="5"/>
    <n v="81"/>
    <n v="6003"/>
    <n v="16.920000000000002"/>
    <n v="85"/>
    <n v="3"/>
    <n v="22361"/>
    <s v="Moderate"/>
    <s v="Adult"/>
  </r>
  <r>
    <s v="P-0064"/>
    <x v="22"/>
    <x v="2"/>
    <x v="1"/>
    <n v="35"/>
    <x v="2"/>
    <x v="4"/>
    <n v="74"/>
    <n v="9570"/>
    <n v="15.32"/>
    <n v="106"/>
    <n v="4"/>
    <n v="32574"/>
    <s v="Low"/>
    <s v="Adult"/>
  </r>
  <r>
    <s v="P-0430"/>
    <x v="3"/>
    <x v="2"/>
    <x v="1"/>
    <n v="35"/>
    <x v="1"/>
    <x v="3"/>
    <n v="80"/>
    <n v="6247"/>
    <n v="15.19"/>
    <n v="56"/>
    <n v="4"/>
    <n v="26582"/>
    <s v="Moderate"/>
    <s v="Adult"/>
  </r>
  <r>
    <s v="P-0446"/>
    <x v="33"/>
    <x v="2"/>
    <x v="1"/>
    <n v="35"/>
    <x v="0"/>
    <x v="0"/>
    <n v="88"/>
    <n v="6289"/>
    <n v="6.85"/>
    <n v="74"/>
    <n v="5"/>
    <n v="17265"/>
    <s v="High"/>
    <s v="Adult"/>
  </r>
  <r>
    <s v="P-0033"/>
    <x v="36"/>
    <x v="3"/>
    <x v="0"/>
    <n v="35"/>
    <x v="0"/>
    <x v="2"/>
    <n v="83"/>
    <n v="9509"/>
    <n v="7.53"/>
    <n v="91"/>
    <n v="4"/>
    <n v="24787"/>
    <s v="High"/>
    <s v="Adult"/>
  </r>
  <r>
    <s v="P-0223"/>
    <x v="5"/>
    <x v="3"/>
    <x v="0"/>
    <n v="35"/>
    <x v="2"/>
    <x v="1"/>
    <n v="75"/>
    <n v="7167"/>
    <n v="12.87"/>
    <n v="58"/>
    <n v="3"/>
    <n v="21265"/>
    <s v="Low"/>
    <s v="Adult"/>
  </r>
  <r>
    <s v="P-0636"/>
    <x v="32"/>
    <x v="3"/>
    <x v="1"/>
    <n v="35"/>
    <x v="0"/>
    <x v="4"/>
    <n v="84"/>
    <n v="7711"/>
    <n v="19.39"/>
    <n v="54"/>
    <n v="5"/>
    <n v="43974"/>
    <s v="High"/>
    <s v="Adult"/>
  </r>
  <r>
    <s v="P-0390"/>
    <x v="26"/>
    <x v="4"/>
    <x v="0"/>
    <n v="35"/>
    <x v="0"/>
    <x v="2"/>
    <n v="71"/>
    <n v="8401"/>
    <n v="18.97"/>
    <n v="93"/>
    <n v="4"/>
    <n v="40610"/>
    <s v="Low"/>
    <s v="Adult"/>
  </r>
  <r>
    <s v="P-0333"/>
    <x v="13"/>
    <x v="5"/>
    <x v="1"/>
    <n v="35"/>
    <x v="0"/>
    <x v="4"/>
    <n v="69"/>
    <n v="4048"/>
    <n v="16.989999999999998"/>
    <n v="119"/>
    <n v="4"/>
    <n v="18488"/>
    <s v="Low"/>
    <s v="Adult"/>
  </r>
  <r>
    <s v="P-0613"/>
    <x v="17"/>
    <x v="5"/>
    <x v="1"/>
    <n v="35"/>
    <x v="0"/>
    <x v="4"/>
    <n v="74"/>
    <n v="3377"/>
    <n v="19.97"/>
    <n v="90"/>
    <n v="4"/>
    <n v="10560"/>
    <s v="Low"/>
    <s v="Adult"/>
  </r>
  <r>
    <s v="P-0134"/>
    <x v="19"/>
    <x v="6"/>
    <x v="0"/>
    <n v="35"/>
    <x v="0"/>
    <x v="0"/>
    <n v="77"/>
    <n v="7513"/>
    <n v="13.9"/>
    <n v="87"/>
    <n v="3"/>
    <n v="39040"/>
    <s v="Moderate"/>
    <s v="Adult"/>
  </r>
  <r>
    <s v="P-0275"/>
    <x v="11"/>
    <x v="6"/>
    <x v="1"/>
    <n v="35"/>
    <x v="1"/>
    <x v="5"/>
    <n v="74"/>
    <n v="7764"/>
    <n v="16.03"/>
    <n v="84"/>
    <n v="4"/>
    <n v="20251"/>
    <s v="Low"/>
    <s v="Adult"/>
  </r>
  <r>
    <s v="P-0463"/>
    <x v="19"/>
    <x v="6"/>
    <x v="2"/>
    <n v="35"/>
    <x v="0"/>
    <x v="0"/>
    <n v="80"/>
    <n v="5383"/>
    <n v="8.99"/>
    <n v="71"/>
    <n v="4"/>
    <n v="14110"/>
    <s v="Moderate"/>
    <s v="Adult"/>
  </r>
  <r>
    <s v="P-0715"/>
    <x v="29"/>
    <x v="6"/>
    <x v="1"/>
    <n v="35"/>
    <x v="2"/>
    <x v="3"/>
    <n v="81"/>
    <n v="6038"/>
    <n v="10.6"/>
    <n v="68"/>
    <n v="3"/>
    <n v="23704"/>
    <s v="Moderate"/>
    <s v="Adult"/>
  </r>
  <r>
    <s v="P-0918"/>
    <x v="29"/>
    <x v="6"/>
    <x v="0"/>
    <n v="35"/>
    <x v="0"/>
    <x v="2"/>
    <n v="78"/>
    <n v="8461"/>
    <n v="15.91"/>
    <n v="110"/>
    <n v="3"/>
    <n v="22612"/>
    <s v="Moderate"/>
    <s v="Adult"/>
  </r>
  <r>
    <s v="P-0050"/>
    <x v="0"/>
    <x v="0"/>
    <x v="0"/>
    <n v="36"/>
    <x v="2"/>
    <x v="5"/>
    <n v="90"/>
    <n v="2779"/>
    <n v="8.49"/>
    <n v="49"/>
    <n v="4"/>
    <n v="16160"/>
    <s v="High"/>
    <s v="Adult"/>
  </r>
  <r>
    <s v="P-0773"/>
    <x v="34"/>
    <x v="1"/>
    <x v="0"/>
    <n v="36"/>
    <x v="2"/>
    <x v="0"/>
    <n v="84"/>
    <n v="4047"/>
    <n v="20.09"/>
    <n v="60"/>
    <n v="4"/>
    <n v="22773"/>
    <s v="High"/>
    <s v="Adult"/>
  </r>
  <r>
    <s v="P-0772"/>
    <x v="22"/>
    <x v="2"/>
    <x v="0"/>
    <n v="36"/>
    <x v="2"/>
    <x v="1"/>
    <n v="70"/>
    <n v="7124"/>
    <n v="11.3"/>
    <n v="96"/>
    <n v="3"/>
    <n v="25803"/>
    <s v="Low"/>
    <s v="Adult"/>
  </r>
  <r>
    <s v="P-0843"/>
    <x v="4"/>
    <x v="2"/>
    <x v="0"/>
    <n v="36"/>
    <x v="2"/>
    <x v="3"/>
    <n v="73"/>
    <n v="6772"/>
    <n v="11.58"/>
    <n v="114"/>
    <n v="3"/>
    <n v="28422"/>
    <s v="Low"/>
    <s v="Adult"/>
  </r>
  <r>
    <s v="P-0029"/>
    <x v="20"/>
    <x v="3"/>
    <x v="0"/>
    <n v="36"/>
    <x v="1"/>
    <x v="5"/>
    <n v="77"/>
    <n v="6778"/>
    <n v="10.02"/>
    <n v="107"/>
    <n v="4"/>
    <n v="30468"/>
    <s v="Moderate"/>
    <s v="Adult"/>
  </r>
  <r>
    <s v="P-0119"/>
    <x v="36"/>
    <x v="3"/>
    <x v="0"/>
    <n v="36"/>
    <x v="1"/>
    <x v="4"/>
    <n v="72"/>
    <n v="8553"/>
    <n v="12.91"/>
    <n v="119"/>
    <n v="3"/>
    <n v="31998"/>
    <s v="Low"/>
    <s v="Adult"/>
  </r>
  <r>
    <s v="P-0383"/>
    <x v="32"/>
    <x v="3"/>
    <x v="0"/>
    <n v="36"/>
    <x v="0"/>
    <x v="4"/>
    <n v="78"/>
    <n v="6885"/>
    <n v="16.850000000000001"/>
    <n v="80"/>
    <n v="4"/>
    <n v="31602"/>
    <s v="Moderate"/>
    <s v="Adult"/>
  </r>
  <r>
    <s v="P-0761"/>
    <x v="20"/>
    <x v="3"/>
    <x v="0"/>
    <n v="36"/>
    <x v="0"/>
    <x v="3"/>
    <n v="69"/>
    <n v="7214"/>
    <n v="22.21"/>
    <n v="70"/>
    <n v="3"/>
    <n v="32227"/>
    <s v="Low"/>
    <s v="Adult"/>
  </r>
  <r>
    <s v="P-0933"/>
    <x v="20"/>
    <x v="3"/>
    <x v="1"/>
    <n v="36"/>
    <x v="0"/>
    <x v="3"/>
    <n v="80"/>
    <n v="6351"/>
    <n v="15.34"/>
    <n v="84"/>
    <n v="4"/>
    <n v="23578"/>
    <s v="Moderate"/>
    <s v="Adult"/>
  </r>
  <r>
    <s v="P-0934"/>
    <x v="36"/>
    <x v="3"/>
    <x v="0"/>
    <n v="36"/>
    <x v="0"/>
    <x v="3"/>
    <n v="78"/>
    <n v="6889"/>
    <n v="12.69"/>
    <n v="126"/>
    <n v="4"/>
    <n v="26810"/>
    <s v="Moderate"/>
    <s v="Adult"/>
  </r>
  <r>
    <s v="P-1000"/>
    <x v="15"/>
    <x v="3"/>
    <x v="0"/>
    <n v="36"/>
    <x v="0"/>
    <x v="3"/>
    <n v="64"/>
    <n v="7953"/>
    <n v="19.79"/>
    <n v="104"/>
    <n v="3"/>
    <n v="42400"/>
    <s v="Low"/>
    <s v="Adult"/>
  </r>
  <r>
    <s v="P-0302"/>
    <x v="6"/>
    <x v="4"/>
    <x v="1"/>
    <n v="36"/>
    <x v="0"/>
    <x v="0"/>
    <n v="60"/>
    <n v="9734"/>
    <n v="16.5"/>
    <n v="97"/>
    <n v="3"/>
    <n v="39928"/>
    <s v="Low"/>
    <s v="Adult"/>
  </r>
  <r>
    <s v="P-0133"/>
    <x v="13"/>
    <x v="5"/>
    <x v="0"/>
    <n v="36"/>
    <x v="1"/>
    <x v="2"/>
    <n v="75"/>
    <n v="4251"/>
    <n v="13.89"/>
    <n v="113"/>
    <n v="3"/>
    <n v="15773"/>
    <s v="Low"/>
    <s v="Adult"/>
  </r>
  <r>
    <s v="P-0644"/>
    <x v="11"/>
    <x v="6"/>
    <x v="1"/>
    <n v="36"/>
    <x v="2"/>
    <x v="2"/>
    <n v="84"/>
    <n v="7806"/>
    <n v="15.4"/>
    <n v="72"/>
    <n v="4"/>
    <n v="38922"/>
    <s v="High"/>
    <s v="Adult"/>
  </r>
  <r>
    <s v="P-0768"/>
    <x v="29"/>
    <x v="6"/>
    <x v="1"/>
    <n v="36"/>
    <x v="0"/>
    <x v="3"/>
    <n v="85"/>
    <n v="8849"/>
    <n v="16.68"/>
    <n v="34"/>
    <n v="4"/>
    <n v="43581"/>
    <s v="High"/>
    <s v="Adult"/>
  </r>
  <r>
    <s v="P-0925"/>
    <x v="29"/>
    <x v="6"/>
    <x v="0"/>
    <n v="36"/>
    <x v="0"/>
    <x v="4"/>
    <n v="71"/>
    <n v="8274"/>
    <n v="15.27"/>
    <n v="86"/>
    <n v="4"/>
    <n v="47377"/>
    <s v="Low"/>
    <s v="Adult"/>
  </r>
  <r>
    <s v="P-0312"/>
    <x v="1"/>
    <x v="0"/>
    <x v="0"/>
    <n v="37"/>
    <x v="1"/>
    <x v="1"/>
    <n v="97"/>
    <n v="2128"/>
    <n v="1.81"/>
    <n v="41"/>
    <n v="5"/>
    <n v="8848"/>
    <s v="High"/>
    <s v="Adult"/>
  </r>
  <r>
    <s v="P-0323"/>
    <x v="21"/>
    <x v="0"/>
    <x v="0"/>
    <n v="37"/>
    <x v="0"/>
    <x v="3"/>
    <n v="86"/>
    <n v="2872"/>
    <n v="4.28"/>
    <n v="32"/>
    <n v="5"/>
    <n v="11124"/>
    <s v="High"/>
    <s v="Adult"/>
  </r>
  <r>
    <s v="P-0466"/>
    <x v="0"/>
    <x v="0"/>
    <x v="1"/>
    <n v="37"/>
    <x v="1"/>
    <x v="4"/>
    <n v="92"/>
    <n v="2740"/>
    <n v="2.2200000000000002"/>
    <n v="68"/>
    <n v="4"/>
    <n v="9445"/>
    <s v="High"/>
    <s v="Adult"/>
  </r>
  <r>
    <s v="P-0573"/>
    <x v="21"/>
    <x v="0"/>
    <x v="1"/>
    <n v="37"/>
    <x v="0"/>
    <x v="2"/>
    <n v="85"/>
    <n v="3196"/>
    <n v="7.84"/>
    <n v="65"/>
    <n v="4"/>
    <n v="12409"/>
    <s v="High"/>
    <s v="Adult"/>
  </r>
  <r>
    <s v="P-0951"/>
    <x v="21"/>
    <x v="0"/>
    <x v="2"/>
    <n v="37"/>
    <x v="1"/>
    <x v="5"/>
    <n v="83"/>
    <n v="2415"/>
    <n v="7.4"/>
    <n v="19"/>
    <n v="4"/>
    <n v="7111"/>
    <s v="High"/>
    <s v="Adult"/>
  </r>
  <r>
    <s v="P-0872"/>
    <x v="4"/>
    <x v="2"/>
    <x v="1"/>
    <n v="37"/>
    <x v="2"/>
    <x v="5"/>
    <n v="74"/>
    <n v="8809"/>
    <n v="21.96"/>
    <n v="89"/>
    <n v="3"/>
    <n v="51200"/>
    <s v="Low"/>
    <s v="Adult"/>
  </r>
  <r>
    <s v="P-0304"/>
    <x v="5"/>
    <x v="3"/>
    <x v="1"/>
    <n v="37"/>
    <x v="2"/>
    <x v="0"/>
    <n v="70"/>
    <n v="6018"/>
    <n v="23.42"/>
    <n v="99"/>
    <n v="4"/>
    <n v="29321"/>
    <s v="Low"/>
    <s v="Adult"/>
  </r>
  <r>
    <s v="P-0561"/>
    <x v="32"/>
    <x v="3"/>
    <x v="1"/>
    <n v="37"/>
    <x v="2"/>
    <x v="3"/>
    <n v="77"/>
    <n v="5983"/>
    <n v="10.26"/>
    <n v="87"/>
    <n v="4"/>
    <n v="35505"/>
    <s v="Moderate"/>
    <s v="Adult"/>
  </r>
  <r>
    <s v="P-0598"/>
    <x v="32"/>
    <x v="3"/>
    <x v="0"/>
    <n v="37"/>
    <x v="1"/>
    <x v="0"/>
    <n v="71"/>
    <n v="7492"/>
    <n v="19.510000000000002"/>
    <n v="74"/>
    <n v="3"/>
    <n v="38565"/>
    <s v="Low"/>
    <s v="Adult"/>
  </r>
  <r>
    <s v="P-0822"/>
    <x v="5"/>
    <x v="3"/>
    <x v="0"/>
    <n v="37"/>
    <x v="0"/>
    <x v="1"/>
    <n v="65"/>
    <n v="9345"/>
    <n v="14.07"/>
    <n v="120"/>
    <n v="4"/>
    <n v="26168"/>
    <s v="Low"/>
    <s v="Adult"/>
  </r>
  <r>
    <s v="P-0763"/>
    <x v="7"/>
    <x v="4"/>
    <x v="0"/>
    <n v="37"/>
    <x v="1"/>
    <x v="3"/>
    <n v="67"/>
    <n v="7347"/>
    <n v="23.92"/>
    <n v="99"/>
    <n v="3"/>
    <n v="23280"/>
    <s v="Low"/>
    <s v="Adult"/>
  </r>
  <r>
    <s v="P-0943"/>
    <x v="6"/>
    <x v="4"/>
    <x v="1"/>
    <n v="37"/>
    <x v="0"/>
    <x v="0"/>
    <n v="70"/>
    <n v="9938"/>
    <n v="22.35"/>
    <n v="105"/>
    <n v="4"/>
    <n v="48548"/>
    <s v="Low"/>
    <s v="Adult"/>
  </r>
  <r>
    <s v="P-0130"/>
    <x v="13"/>
    <x v="5"/>
    <x v="0"/>
    <n v="37"/>
    <x v="2"/>
    <x v="0"/>
    <n v="75"/>
    <n v="3017"/>
    <n v="19.98"/>
    <n v="93"/>
    <n v="4"/>
    <n v="12901"/>
    <s v="Low"/>
    <s v="Adult"/>
  </r>
  <r>
    <s v="P-0649"/>
    <x v="27"/>
    <x v="5"/>
    <x v="0"/>
    <n v="37"/>
    <x v="0"/>
    <x v="3"/>
    <n v="86"/>
    <n v="4458"/>
    <n v="13.66"/>
    <n v="65"/>
    <n v="5"/>
    <n v="15328"/>
    <s v="High"/>
    <s v="Adult"/>
  </r>
  <r>
    <s v="P-0847"/>
    <x v="27"/>
    <x v="5"/>
    <x v="0"/>
    <n v="37"/>
    <x v="1"/>
    <x v="1"/>
    <n v="73"/>
    <n v="3487"/>
    <n v="14.09"/>
    <n v="114"/>
    <n v="3"/>
    <n v="13161"/>
    <s v="Low"/>
    <s v="Adult"/>
  </r>
  <r>
    <s v="P-0188"/>
    <x v="16"/>
    <x v="6"/>
    <x v="2"/>
    <n v="37"/>
    <x v="0"/>
    <x v="0"/>
    <n v="76"/>
    <n v="6385"/>
    <n v="20.67"/>
    <n v="94"/>
    <n v="4"/>
    <n v="22771"/>
    <s v="Moderate"/>
    <s v="Adult"/>
  </r>
  <r>
    <s v="P-0485"/>
    <x v="28"/>
    <x v="6"/>
    <x v="0"/>
    <n v="37"/>
    <x v="0"/>
    <x v="4"/>
    <n v="83"/>
    <n v="6924"/>
    <n v="12.07"/>
    <n v="93"/>
    <n v="5"/>
    <n v="19394"/>
    <s v="High"/>
    <s v="Adult"/>
  </r>
  <r>
    <s v="P-0708"/>
    <x v="29"/>
    <x v="6"/>
    <x v="1"/>
    <n v="37"/>
    <x v="0"/>
    <x v="3"/>
    <n v="69"/>
    <n v="6521"/>
    <n v="19.47"/>
    <n v="93"/>
    <n v="4"/>
    <n v="36978"/>
    <s v="Low"/>
    <s v="Adult"/>
  </r>
  <r>
    <s v="P-0977"/>
    <x v="16"/>
    <x v="6"/>
    <x v="1"/>
    <n v="37"/>
    <x v="1"/>
    <x v="0"/>
    <n v="69"/>
    <n v="5461"/>
    <n v="23.19"/>
    <n v="84"/>
    <n v="3"/>
    <n v="26153"/>
    <s v="Low"/>
    <s v="Adult"/>
  </r>
  <r>
    <s v="P-0744"/>
    <x v="1"/>
    <x v="0"/>
    <x v="2"/>
    <n v="38"/>
    <x v="2"/>
    <x v="3"/>
    <n v="92"/>
    <n v="2564"/>
    <n v="0"/>
    <n v="59"/>
    <n v="4"/>
    <n v="9964"/>
    <s v="High"/>
    <s v="Adult"/>
  </r>
  <r>
    <s v="P-0830"/>
    <x v="0"/>
    <x v="0"/>
    <x v="0"/>
    <n v="38"/>
    <x v="1"/>
    <x v="3"/>
    <n v="73"/>
    <n v="2537"/>
    <n v="10.27"/>
    <n v="55"/>
    <n v="3"/>
    <n v="11501"/>
    <s v="Low"/>
    <s v="Adult"/>
  </r>
  <r>
    <s v="P-0261"/>
    <x v="31"/>
    <x v="1"/>
    <x v="0"/>
    <n v="38"/>
    <x v="1"/>
    <x v="0"/>
    <n v="70"/>
    <n v="6383"/>
    <n v="17.36"/>
    <n v="59"/>
    <n v="4"/>
    <n v="36773"/>
    <s v="Low"/>
    <s v="Adult"/>
  </r>
  <r>
    <s v="P-0788"/>
    <x v="34"/>
    <x v="1"/>
    <x v="0"/>
    <n v="38"/>
    <x v="2"/>
    <x v="2"/>
    <n v="82"/>
    <n v="5245"/>
    <n v="10.83"/>
    <n v="35"/>
    <n v="4"/>
    <n v="15141"/>
    <s v="Moderate"/>
    <s v="Adult"/>
  </r>
  <r>
    <s v="P-0481"/>
    <x v="32"/>
    <x v="3"/>
    <x v="1"/>
    <n v="38"/>
    <x v="1"/>
    <x v="0"/>
    <n v="85"/>
    <n v="5683"/>
    <n v="13.85"/>
    <n v="85"/>
    <n v="3"/>
    <n v="31584"/>
    <s v="High"/>
    <s v="Adult"/>
  </r>
  <r>
    <s v="P-0579"/>
    <x v="20"/>
    <x v="3"/>
    <x v="1"/>
    <n v="38"/>
    <x v="2"/>
    <x v="3"/>
    <n v="73"/>
    <n v="6992"/>
    <n v="19.920000000000002"/>
    <n v="74"/>
    <n v="3"/>
    <n v="38392"/>
    <s v="Low"/>
    <s v="Adult"/>
  </r>
  <r>
    <s v="P-0620"/>
    <x v="36"/>
    <x v="3"/>
    <x v="1"/>
    <n v="38"/>
    <x v="0"/>
    <x v="1"/>
    <n v="89"/>
    <n v="7919"/>
    <n v="18.61"/>
    <n v="57"/>
    <n v="5"/>
    <n v="31040"/>
    <s v="High"/>
    <s v="Adult"/>
  </r>
  <r>
    <s v="P-0745"/>
    <x v="20"/>
    <x v="3"/>
    <x v="1"/>
    <n v="38"/>
    <x v="1"/>
    <x v="5"/>
    <n v="80"/>
    <n v="7466"/>
    <n v="14.18"/>
    <n v="63"/>
    <n v="5"/>
    <n v="44492"/>
    <s v="Moderate"/>
    <s v="Adult"/>
  </r>
  <r>
    <s v="P-0785"/>
    <x v="32"/>
    <x v="3"/>
    <x v="1"/>
    <n v="38"/>
    <x v="0"/>
    <x v="1"/>
    <n v="65"/>
    <n v="5130"/>
    <n v="16.71"/>
    <n v="105"/>
    <n v="3"/>
    <n v="26054"/>
    <s v="Low"/>
    <s v="Adult"/>
  </r>
  <r>
    <s v="P-0052"/>
    <x v="23"/>
    <x v="4"/>
    <x v="1"/>
    <n v="38"/>
    <x v="1"/>
    <x v="4"/>
    <n v="81"/>
    <n v="7771"/>
    <n v="16.809999999999999"/>
    <n v="94"/>
    <n v="4"/>
    <n v="35294"/>
    <s v="Moderate"/>
    <s v="Adult"/>
  </r>
  <r>
    <s v="P-0108"/>
    <x v="26"/>
    <x v="4"/>
    <x v="1"/>
    <n v="38"/>
    <x v="0"/>
    <x v="1"/>
    <n v="65"/>
    <n v="6418"/>
    <n v="19.32"/>
    <n v="98"/>
    <n v="3"/>
    <n v="24034"/>
    <s v="Low"/>
    <s v="Adult"/>
  </r>
  <r>
    <s v="P-0205"/>
    <x v="10"/>
    <x v="5"/>
    <x v="1"/>
    <n v="38"/>
    <x v="1"/>
    <x v="1"/>
    <n v="74"/>
    <n v="4429"/>
    <n v="20.22"/>
    <n v="104"/>
    <n v="5"/>
    <n v="11722"/>
    <s v="Low"/>
    <s v="Adult"/>
  </r>
  <r>
    <s v="P-0239"/>
    <x v="29"/>
    <x v="6"/>
    <x v="0"/>
    <n v="38"/>
    <x v="1"/>
    <x v="2"/>
    <n v="87"/>
    <n v="5662"/>
    <n v="17.690000000000001"/>
    <n v="76"/>
    <n v="4"/>
    <n v="15809"/>
    <s v="High"/>
    <s v="Adult"/>
  </r>
  <r>
    <s v="P-0273"/>
    <x v="19"/>
    <x v="6"/>
    <x v="1"/>
    <n v="38"/>
    <x v="2"/>
    <x v="0"/>
    <n v="69"/>
    <n v="8834"/>
    <n v="21.58"/>
    <n v="100"/>
    <n v="3"/>
    <n v="34750"/>
    <s v="Low"/>
    <s v="Adult"/>
  </r>
  <r>
    <s v="P-0765"/>
    <x v="11"/>
    <x v="6"/>
    <x v="1"/>
    <n v="38"/>
    <x v="2"/>
    <x v="4"/>
    <n v="88"/>
    <n v="7209"/>
    <n v="19.079999999999998"/>
    <n v="74"/>
    <n v="5"/>
    <n v="27257"/>
    <s v="High"/>
    <s v="Adult"/>
  </r>
  <r>
    <s v="P-0600"/>
    <x v="0"/>
    <x v="0"/>
    <x v="1"/>
    <n v="39"/>
    <x v="1"/>
    <x v="5"/>
    <n v="83"/>
    <n v="2296"/>
    <n v="10.89"/>
    <n v="37"/>
    <n v="4"/>
    <n v="6016"/>
    <s v="High"/>
    <s v="Adult"/>
  </r>
  <r>
    <s v="P-0940"/>
    <x v="0"/>
    <x v="0"/>
    <x v="1"/>
    <n v="39"/>
    <x v="1"/>
    <x v="5"/>
    <n v="83"/>
    <n v="3128"/>
    <n v="6.35"/>
    <n v="18"/>
    <n v="4"/>
    <n v="13237"/>
    <s v="High"/>
    <s v="Adult"/>
  </r>
  <r>
    <s v="P-0755"/>
    <x v="34"/>
    <x v="1"/>
    <x v="0"/>
    <n v="39"/>
    <x v="1"/>
    <x v="5"/>
    <n v="82"/>
    <n v="6179"/>
    <n v="12.39"/>
    <n v="74"/>
    <n v="4"/>
    <n v="16579"/>
    <s v="Moderate"/>
    <s v="Adult"/>
  </r>
  <r>
    <s v="P-0969"/>
    <x v="31"/>
    <x v="1"/>
    <x v="0"/>
    <n v="39"/>
    <x v="2"/>
    <x v="4"/>
    <n v="90"/>
    <n v="7913"/>
    <n v="12.41"/>
    <n v="44"/>
    <n v="4"/>
    <n v="36907"/>
    <s v="High"/>
    <s v="Adult"/>
  </r>
  <r>
    <s v="P-0980"/>
    <x v="24"/>
    <x v="1"/>
    <x v="1"/>
    <n v="39"/>
    <x v="0"/>
    <x v="1"/>
    <n v="72"/>
    <n v="5512"/>
    <n v="5.65"/>
    <n v="84"/>
    <n v="4"/>
    <n v="14074"/>
    <s v="Low"/>
    <s v="Adult"/>
  </r>
  <r>
    <s v="P-0876"/>
    <x v="4"/>
    <x v="2"/>
    <x v="0"/>
    <n v="39"/>
    <x v="2"/>
    <x v="3"/>
    <n v="84"/>
    <n v="9983"/>
    <n v="14"/>
    <n v="71"/>
    <n v="4"/>
    <n v="37220"/>
    <s v="High"/>
    <s v="Adult"/>
  </r>
  <r>
    <s v="P-0170"/>
    <x v="32"/>
    <x v="3"/>
    <x v="0"/>
    <n v="39"/>
    <x v="0"/>
    <x v="5"/>
    <n v="74"/>
    <n v="6254"/>
    <n v="17.21"/>
    <n v="97"/>
    <n v="3"/>
    <n v="21255"/>
    <s v="Low"/>
    <s v="Adult"/>
  </r>
  <r>
    <s v="P-0363"/>
    <x v="36"/>
    <x v="3"/>
    <x v="0"/>
    <n v="39"/>
    <x v="2"/>
    <x v="0"/>
    <n v="79"/>
    <n v="7527"/>
    <n v="16.36"/>
    <n v="84"/>
    <n v="4"/>
    <n v="21726"/>
    <s v="Moderate"/>
    <s v="Adult"/>
  </r>
  <r>
    <s v="P-0954"/>
    <x v="20"/>
    <x v="3"/>
    <x v="0"/>
    <n v="39"/>
    <x v="0"/>
    <x v="4"/>
    <n v="74"/>
    <n v="3816"/>
    <n v="18.02"/>
    <n v="105"/>
    <n v="3"/>
    <n v="16553"/>
    <s v="Low"/>
    <s v="Adult"/>
  </r>
  <r>
    <s v="P-0142"/>
    <x v="8"/>
    <x v="4"/>
    <x v="1"/>
    <n v="39"/>
    <x v="2"/>
    <x v="2"/>
    <n v="88"/>
    <n v="8688"/>
    <n v="14.25"/>
    <n v="94"/>
    <n v="4"/>
    <n v="30588"/>
    <s v="High"/>
    <s v="Adult"/>
  </r>
  <r>
    <s v="P-0346"/>
    <x v="26"/>
    <x v="4"/>
    <x v="0"/>
    <n v="39"/>
    <x v="0"/>
    <x v="5"/>
    <n v="73"/>
    <n v="8087"/>
    <n v="10.33"/>
    <n v="84"/>
    <n v="4"/>
    <n v="47692"/>
    <s v="Low"/>
    <s v="Adult"/>
  </r>
  <r>
    <s v="P-0039"/>
    <x v="17"/>
    <x v="5"/>
    <x v="1"/>
    <n v="39"/>
    <x v="0"/>
    <x v="2"/>
    <n v="76"/>
    <n v="4642"/>
    <n v="12.28"/>
    <n v="85"/>
    <n v="4"/>
    <n v="17691"/>
    <s v="Moderate"/>
    <s v="Adult"/>
  </r>
  <r>
    <s v="P-0265"/>
    <x v="13"/>
    <x v="5"/>
    <x v="0"/>
    <n v="39"/>
    <x v="2"/>
    <x v="5"/>
    <n v="75"/>
    <n v="1993"/>
    <n v="15.12"/>
    <n v="92"/>
    <n v="3"/>
    <n v="10222"/>
    <s v="Low"/>
    <s v="Adult"/>
  </r>
  <r>
    <s v="P-0523"/>
    <x v="19"/>
    <x v="6"/>
    <x v="0"/>
    <n v="39"/>
    <x v="2"/>
    <x v="5"/>
    <n v="66"/>
    <n v="7449"/>
    <n v="16.78"/>
    <n v="111"/>
    <n v="3"/>
    <n v="25630"/>
    <s v="Low"/>
    <s v="Adult"/>
  </r>
  <r>
    <s v="P-0619"/>
    <x v="19"/>
    <x v="6"/>
    <x v="0"/>
    <n v="39"/>
    <x v="1"/>
    <x v="1"/>
    <n v="82"/>
    <n v="8116"/>
    <n v="8.56"/>
    <n v="74"/>
    <n v="4"/>
    <n v="20693"/>
    <s v="Moderate"/>
    <s v="Adult"/>
  </r>
  <r>
    <s v="P-0995"/>
    <x v="29"/>
    <x v="6"/>
    <x v="1"/>
    <n v="39"/>
    <x v="1"/>
    <x v="3"/>
    <n v="82"/>
    <n v="4281"/>
    <n v="6.46"/>
    <n v="92"/>
    <n v="4"/>
    <n v="18390"/>
    <s v="Moderate"/>
    <s v="Adult"/>
  </r>
  <r>
    <s v="P-0260"/>
    <x v="1"/>
    <x v="0"/>
    <x v="1"/>
    <n v="40"/>
    <x v="2"/>
    <x v="1"/>
    <n v="90"/>
    <n v="2726"/>
    <n v="0.04"/>
    <n v="5"/>
    <n v="4"/>
    <n v="11743"/>
    <s v="High"/>
    <s v="Adult"/>
  </r>
  <r>
    <s v="P-0300"/>
    <x v="0"/>
    <x v="0"/>
    <x v="0"/>
    <n v="40"/>
    <x v="1"/>
    <x v="5"/>
    <n v="89"/>
    <n v="2467"/>
    <n v="12.93"/>
    <n v="60"/>
    <n v="4"/>
    <n v="12244"/>
    <s v="High"/>
    <s v="Adult"/>
  </r>
  <r>
    <s v="P-0318"/>
    <x v="35"/>
    <x v="0"/>
    <x v="1"/>
    <n v="40"/>
    <x v="1"/>
    <x v="4"/>
    <n v="89"/>
    <n v="2723"/>
    <n v="6.48"/>
    <n v="20"/>
    <n v="5"/>
    <n v="9281"/>
    <s v="High"/>
    <s v="Adult"/>
  </r>
  <r>
    <s v="P-0190"/>
    <x v="34"/>
    <x v="1"/>
    <x v="0"/>
    <n v="40"/>
    <x v="2"/>
    <x v="3"/>
    <n v="77"/>
    <n v="8957"/>
    <n v="10.8"/>
    <n v="78"/>
    <n v="4"/>
    <n v="38147"/>
    <s v="Moderate"/>
    <s v="Adult"/>
  </r>
  <r>
    <s v="P-0764"/>
    <x v="31"/>
    <x v="1"/>
    <x v="0"/>
    <n v="40"/>
    <x v="1"/>
    <x v="0"/>
    <n v="81"/>
    <n v="4931"/>
    <n v="5.91"/>
    <n v="103"/>
    <n v="4"/>
    <n v="17027"/>
    <s v="Moderate"/>
    <s v="Adult"/>
  </r>
  <r>
    <s v="P-0779"/>
    <x v="2"/>
    <x v="1"/>
    <x v="1"/>
    <n v="40"/>
    <x v="0"/>
    <x v="5"/>
    <n v="78"/>
    <n v="7029"/>
    <n v="14.21"/>
    <n v="68"/>
    <n v="4"/>
    <n v="19770"/>
    <s v="Moderate"/>
    <s v="Adult"/>
  </r>
  <r>
    <s v="P-0955"/>
    <x v="2"/>
    <x v="1"/>
    <x v="0"/>
    <n v="40"/>
    <x v="2"/>
    <x v="0"/>
    <n v="81"/>
    <n v="6482"/>
    <n v="17.28"/>
    <n v="46"/>
    <n v="4"/>
    <n v="32148"/>
    <s v="Moderate"/>
    <s v="Adult"/>
  </r>
  <r>
    <s v="P-0006"/>
    <x v="36"/>
    <x v="3"/>
    <x v="1"/>
    <n v="40"/>
    <x v="0"/>
    <x v="3"/>
    <n v="87"/>
    <n v="4855"/>
    <n v="19.37"/>
    <n v="97"/>
    <n v="5"/>
    <n v="15278"/>
    <s v="High"/>
    <s v="Adult"/>
  </r>
  <r>
    <s v="P-0221"/>
    <x v="5"/>
    <x v="3"/>
    <x v="0"/>
    <n v="40"/>
    <x v="1"/>
    <x v="5"/>
    <n v="86"/>
    <n v="6016"/>
    <n v="19.350000000000001"/>
    <n v="70"/>
    <n v="5"/>
    <n v="18924"/>
    <s v="High"/>
    <s v="Adult"/>
  </r>
  <r>
    <s v="P-0496"/>
    <x v="5"/>
    <x v="3"/>
    <x v="1"/>
    <n v="40"/>
    <x v="1"/>
    <x v="4"/>
    <n v="85"/>
    <n v="5516"/>
    <n v="15.69"/>
    <n v="67"/>
    <n v="4"/>
    <n v="15338"/>
    <s v="High"/>
    <s v="Adult"/>
  </r>
  <r>
    <s v="P-0699"/>
    <x v="15"/>
    <x v="3"/>
    <x v="1"/>
    <n v="40"/>
    <x v="2"/>
    <x v="1"/>
    <n v="69"/>
    <n v="5804"/>
    <n v="16.18"/>
    <n v="81"/>
    <n v="4"/>
    <n v="30535"/>
    <s v="Low"/>
    <s v="Adult"/>
  </r>
  <r>
    <s v="P-0101"/>
    <x v="26"/>
    <x v="4"/>
    <x v="0"/>
    <n v="40"/>
    <x v="1"/>
    <x v="3"/>
    <n v="73"/>
    <n v="10279"/>
    <n v="18.78"/>
    <n v="87"/>
    <n v="4"/>
    <n v="49732"/>
    <s v="Low"/>
    <s v="Adult"/>
  </r>
  <r>
    <s v="P-0213"/>
    <x v="23"/>
    <x v="4"/>
    <x v="0"/>
    <n v="40"/>
    <x v="0"/>
    <x v="5"/>
    <n v="84"/>
    <n v="7955"/>
    <n v="19.350000000000001"/>
    <n v="77"/>
    <n v="4"/>
    <n v="37038"/>
    <s v="High"/>
    <s v="Adult"/>
  </r>
  <r>
    <s v="P-0347"/>
    <x v="7"/>
    <x v="4"/>
    <x v="1"/>
    <n v="40"/>
    <x v="0"/>
    <x v="3"/>
    <n v="66"/>
    <n v="10602"/>
    <n v="21.14"/>
    <n v="76"/>
    <n v="3"/>
    <n v="41259"/>
    <s v="Low"/>
    <s v="Adult"/>
  </r>
  <r>
    <s v="P-0376"/>
    <x v="6"/>
    <x v="4"/>
    <x v="1"/>
    <n v="40"/>
    <x v="2"/>
    <x v="4"/>
    <n v="71"/>
    <n v="9600"/>
    <n v="15.81"/>
    <n v="123"/>
    <n v="4"/>
    <n v="26543"/>
    <s v="Low"/>
    <s v="Adult"/>
  </r>
  <r>
    <s v="P-0095"/>
    <x v="13"/>
    <x v="5"/>
    <x v="1"/>
    <n v="40"/>
    <x v="2"/>
    <x v="4"/>
    <n v="67"/>
    <n v="4794"/>
    <n v="22.51"/>
    <n v="123"/>
    <n v="3"/>
    <n v="13417"/>
    <s v="Low"/>
    <s v="Adult"/>
  </r>
  <r>
    <s v="P-0405"/>
    <x v="16"/>
    <x v="6"/>
    <x v="2"/>
    <n v="40"/>
    <x v="2"/>
    <x v="2"/>
    <n v="79"/>
    <n v="6752"/>
    <n v="9.81"/>
    <n v="70"/>
    <n v="4"/>
    <n v="20838"/>
    <s v="Moderate"/>
    <s v="Adult"/>
  </r>
  <r>
    <s v="P-0667"/>
    <x v="19"/>
    <x v="6"/>
    <x v="1"/>
    <n v="40"/>
    <x v="2"/>
    <x v="5"/>
    <n v="62"/>
    <n v="5543"/>
    <n v="23.78"/>
    <n v="100"/>
    <n v="3"/>
    <n v="28643"/>
    <s v="Low"/>
    <s v="Adult"/>
  </r>
  <r>
    <s v="P-0987"/>
    <x v="19"/>
    <x v="6"/>
    <x v="1"/>
    <n v="40"/>
    <x v="1"/>
    <x v="4"/>
    <n v="87"/>
    <n v="6421"/>
    <n v="16.13"/>
    <n v="61"/>
    <n v="4"/>
    <n v="31335"/>
    <s v="High"/>
    <s v="Adult"/>
  </r>
  <r>
    <s v="P-0280"/>
    <x v="21"/>
    <x v="0"/>
    <x v="1"/>
    <n v="41"/>
    <x v="0"/>
    <x v="2"/>
    <n v="87"/>
    <n v="2397"/>
    <n v="14.34"/>
    <n v="22"/>
    <n v="5"/>
    <n v="10769"/>
    <s v="High"/>
    <s v="Adult"/>
  </r>
  <r>
    <s v="P-0709"/>
    <x v="0"/>
    <x v="0"/>
    <x v="0"/>
    <n v="41"/>
    <x v="0"/>
    <x v="1"/>
    <n v="87"/>
    <n v="2077"/>
    <n v="4.9400000000000004"/>
    <n v="41"/>
    <n v="4"/>
    <n v="11904"/>
    <s v="High"/>
    <s v="Adult"/>
  </r>
  <r>
    <s v="P-0789"/>
    <x v="24"/>
    <x v="1"/>
    <x v="1"/>
    <n v="41"/>
    <x v="0"/>
    <x v="0"/>
    <n v="82"/>
    <n v="7635"/>
    <n v="10.79"/>
    <n v="45"/>
    <n v="5"/>
    <n v="28004"/>
    <s v="Moderate"/>
    <s v="Adult"/>
  </r>
  <r>
    <s v="P-0939"/>
    <x v="31"/>
    <x v="1"/>
    <x v="0"/>
    <n v="41"/>
    <x v="1"/>
    <x v="3"/>
    <n v="81"/>
    <n v="6429"/>
    <n v="12.26"/>
    <n v="96"/>
    <n v="4"/>
    <n v="17940"/>
    <s v="Moderate"/>
    <s v="Adult"/>
  </r>
  <r>
    <s v="P-0952"/>
    <x v="30"/>
    <x v="1"/>
    <x v="1"/>
    <n v="41"/>
    <x v="1"/>
    <x v="0"/>
    <n v="71"/>
    <n v="5607"/>
    <n v="10.63"/>
    <n v="68"/>
    <n v="4"/>
    <n v="23958"/>
    <s v="Low"/>
    <s v="Adult"/>
  </r>
  <r>
    <s v="P-0431"/>
    <x v="33"/>
    <x v="2"/>
    <x v="1"/>
    <n v="41"/>
    <x v="2"/>
    <x v="1"/>
    <n v="83"/>
    <n v="9929"/>
    <n v="17.11"/>
    <n v="47"/>
    <n v="5"/>
    <n v="56250"/>
    <s v="High"/>
    <s v="Adult"/>
  </r>
  <r>
    <s v="P-0475"/>
    <x v="33"/>
    <x v="2"/>
    <x v="1"/>
    <n v="41"/>
    <x v="2"/>
    <x v="3"/>
    <n v="79"/>
    <n v="8706"/>
    <n v="11.07"/>
    <n v="95"/>
    <n v="3"/>
    <n v="43028"/>
    <s v="Moderate"/>
    <s v="Adult"/>
  </r>
  <r>
    <s v="P-0199"/>
    <x v="36"/>
    <x v="3"/>
    <x v="2"/>
    <n v="41"/>
    <x v="0"/>
    <x v="4"/>
    <n v="83"/>
    <n v="4716"/>
    <n v="8.5500000000000007"/>
    <n v="124"/>
    <n v="4"/>
    <n v="26514"/>
    <s v="High"/>
    <s v="Adult"/>
  </r>
  <r>
    <s v="P-0813"/>
    <x v="15"/>
    <x v="3"/>
    <x v="0"/>
    <n v="41"/>
    <x v="1"/>
    <x v="5"/>
    <n v="85"/>
    <n v="8179"/>
    <n v="12"/>
    <n v="87"/>
    <n v="4"/>
    <n v="47917"/>
    <s v="High"/>
    <s v="Adult"/>
  </r>
  <r>
    <s v="P-0944"/>
    <x v="15"/>
    <x v="3"/>
    <x v="1"/>
    <n v="41"/>
    <x v="1"/>
    <x v="2"/>
    <n v="74"/>
    <n v="6558"/>
    <n v="17.13"/>
    <n v="77"/>
    <n v="4"/>
    <n v="32543"/>
    <s v="Low"/>
    <s v="Adult"/>
  </r>
  <r>
    <s v="P-0506"/>
    <x v="26"/>
    <x v="4"/>
    <x v="1"/>
    <n v="41"/>
    <x v="1"/>
    <x v="4"/>
    <n v="75"/>
    <n v="7690"/>
    <n v="17.04"/>
    <n v="98"/>
    <n v="3"/>
    <n v="34459"/>
    <s v="Low"/>
    <s v="Adult"/>
  </r>
  <r>
    <s v="P-0899"/>
    <x v="23"/>
    <x v="4"/>
    <x v="1"/>
    <n v="41"/>
    <x v="0"/>
    <x v="5"/>
    <n v="70"/>
    <n v="9129"/>
    <n v="19.95"/>
    <n v="77"/>
    <n v="4"/>
    <n v="22847"/>
    <s v="Low"/>
    <s v="Adult"/>
  </r>
  <r>
    <s v="P-0317"/>
    <x v="13"/>
    <x v="5"/>
    <x v="0"/>
    <n v="41"/>
    <x v="1"/>
    <x v="3"/>
    <n v="59"/>
    <n v="3373"/>
    <n v="23.49"/>
    <n v="102"/>
    <n v="4"/>
    <n v="8950"/>
    <s v="Low"/>
    <s v="Adult"/>
  </r>
  <r>
    <s v="P-0870"/>
    <x v="17"/>
    <x v="5"/>
    <x v="1"/>
    <n v="41"/>
    <x v="0"/>
    <x v="2"/>
    <n v="71"/>
    <n v="1705"/>
    <n v="17.61"/>
    <n v="88"/>
    <n v="4"/>
    <n v="9999"/>
    <s v="Low"/>
    <s v="Adult"/>
  </r>
  <r>
    <s v="P-0189"/>
    <x v="16"/>
    <x v="6"/>
    <x v="0"/>
    <n v="41"/>
    <x v="1"/>
    <x v="2"/>
    <n v="80"/>
    <n v="7751"/>
    <n v="12.41"/>
    <n v="69"/>
    <n v="4"/>
    <n v="36766"/>
    <s v="Moderate"/>
    <s v="Adult"/>
  </r>
  <r>
    <s v="P-0684"/>
    <x v="16"/>
    <x v="6"/>
    <x v="0"/>
    <n v="41"/>
    <x v="2"/>
    <x v="3"/>
    <n v="82"/>
    <n v="7394"/>
    <n v="15.31"/>
    <n v="57"/>
    <n v="4"/>
    <n v="32279"/>
    <s v="Moderate"/>
    <s v="Adult"/>
  </r>
  <r>
    <s v="P-0817"/>
    <x v="11"/>
    <x v="6"/>
    <x v="0"/>
    <n v="41"/>
    <x v="1"/>
    <x v="3"/>
    <n v="78"/>
    <n v="6910"/>
    <n v="10.199999999999999"/>
    <n v="97"/>
    <n v="4"/>
    <n v="39763"/>
    <s v="Moderate"/>
    <s v="Adult"/>
  </r>
  <r>
    <s v="P-0444"/>
    <x v="21"/>
    <x v="0"/>
    <x v="1"/>
    <n v="42"/>
    <x v="2"/>
    <x v="1"/>
    <n v="91"/>
    <n v="2633"/>
    <n v="1.37"/>
    <n v="30"/>
    <n v="5"/>
    <n v="7290"/>
    <s v="High"/>
    <s v="Adult"/>
  </r>
  <r>
    <s v="P-0898"/>
    <x v="1"/>
    <x v="0"/>
    <x v="0"/>
    <n v="42"/>
    <x v="0"/>
    <x v="5"/>
    <n v="86"/>
    <n v="2516"/>
    <n v="6.21"/>
    <n v="60"/>
    <n v="4"/>
    <n v="7520"/>
    <s v="High"/>
    <s v="Adult"/>
  </r>
  <r>
    <s v="P-0888"/>
    <x v="2"/>
    <x v="1"/>
    <x v="0"/>
    <n v="42"/>
    <x v="1"/>
    <x v="4"/>
    <n v="80"/>
    <n v="5336"/>
    <n v="12.61"/>
    <n v="69"/>
    <n v="4"/>
    <n v="19553"/>
    <s v="Moderate"/>
    <s v="Adult"/>
  </r>
  <r>
    <s v="P-0692"/>
    <x v="4"/>
    <x v="2"/>
    <x v="1"/>
    <n v="42"/>
    <x v="1"/>
    <x v="5"/>
    <n v="76"/>
    <n v="7852"/>
    <n v="20.23"/>
    <n v="91"/>
    <n v="4"/>
    <n v="25151"/>
    <s v="Moderate"/>
    <s v="Adult"/>
  </r>
  <r>
    <s v="P-0887"/>
    <x v="3"/>
    <x v="2"/>
    <x v="0"/>
    <n v="42"/>
    <x v="2"/>
    <x v="2"/>
    <n v="87"/>
    <n v="8399"/>
    <n v="15.6"/>
    <n v="99"/>
    <n v="4"/>
    <n v="30568"/>
    <s v="High"/>
    <s v="Adult"/>
  </r>
  <r>
    <s v="P-0068"/>
    <x v="32"/>
    <x v="3"/>
    <x v="1"/>
    <n v="42"/>
    <x v="0"/>
    <x v="1"/>
    <n v="78"/>
    <n v="7168"/>
    <n v="19.82"/>
    <n v="90"/>
    <n v="4"/>
    <n v="36692"/>
    <s v="Moderate"/>
    <s v="Adult"/>
  </r>
  <r>
    <s v="P-0053"/>
    <x v="8"/>
    <x v="4"/>
    <x v="1"/>
    <n v="42"/>
    <x v="0"/>
    <x v="5"/>
    <n v="76"/>
    <n v="10242"/>
    <n v="15.4"/>
    <n v="103"/>
    <n v="4"/>
    <n v="28250"/>
    <s v="Moderate"/>
    <s v="Adult"/>
  </r>
  <r>
    <s v="P-0082"/>
    <x v="23"/>
    <x v="4"/>
    <x v="1"/>
    <n v="42"/>
    <x v="0"/>
    <x v="3"/>
    <n v="72"/>
    <n v="7929"/>
    <n v="19.350000000000001"/>
    <n v="97"/>
    <n v="3"/>
    <n v="42428"/>
    <s v="Low"/>
    <s v="Adult"/>
  </r>
  <r>
    <s v="P-0257"/>
    <x v="6"/>
    <x v="4"/>
    <x v="0"/>
    <n v="42"/>
    <x v="0"/>
    <x v="1"/>
    <n v="78"/>
    <n v="11902"/>
    <n v="22.26"/>
    <n v="114"/>
    <n v="4"/>
    <n v="39645"/>
    <s v="Moderate"/>
    <s v="Adult"/>
  </r>
  <r>
    <s v="P-0457"/>
    <x v="7"/>
    <x v="4"/>
    <x v="0"/>
    <n v="42"/>
    <x v="1"/>
    <x v="4"/>
    <n v="71"/>
    <n v="5563"/>
    <n v="22.27"/>
    <n v="109"/>
    <n v="3"/>
    <n v="14127"/>
    <s v="Low"/>
    <s v="Adult"/>
  </r>
  <r>
    <s v="P-0647"/>
    <x v="6"/>
    <x v="4"/>
    <x v="1"/>
    <n v="42"/>
    <x v="0"/>
    <x v="2"/>
    <n v="76"/>
    <n v="8792"/>
    <n v="15.46"/>
    <n v="111"/>
    <n v="4"/>
    <n v="36114"/>
    <s v="Moderate"/>
    <s v="Adult"/>
  </r>
  <r>
    <s v="P-0735"/>
    <x v="23"/>
    <x v="4"/>
    <x v="1"/>
    <n v="42"/>
    <x v="2"/>
    <x v="4"/>
    <n v="77"/>
    <n v="7816"/>
    <n v="16.8"/>
    <n v="106"/>
    <n v="5"/>
    <n v="26190"/>
    <s v="Moderate"/>
    <s v="Adult"/>
  </r>
  <r>
    <s v="P-0461"/>
    <x v="9"/>
    <x v="5"/>
    <x v="1"/>
    <n v="42"/>
    <x v="0"/>
    <x v="1"/>
    <n v="61"/>
    <n v="4089"/>
    <n v="16.52"/>
    <n v="92"/>
    <n v="3"/>
    <n v="15008"/>
    <s v="Low"/>
    <s v="Adult"/>
  </r>
  <r>
    <s v="P-0517"/>
    <x v="17"/>
    <x v="5"/>
    <x v="1"/>
    <n v="42"/>
    <x v="1"/>
    <x v="4"/>
    <n v="76"/>
    <n v="4967"/>
    <n v="24.38"/>
    <n v="85"/>
    <n v="3"/>
    <n v="12855"/>
    <s v="Moderate"/>
    <s v="Adult"/>
  </r>
  <r>
    <s v="P-0648"/>
    <x v="19"/>
    <x v="6"/>
    <x v="0"/>
    <n v="42"/>
    <x v="0"/>
    <x v="3"/>
    <n v="71"/>
    <n v="8087"/>
    <n v="15.78"/>
    <n v="72"/>
    <n v="4"/>
    <n v="35086"/>
    <s v="Low"/>
    <s v="Adult"/>
  </r>
  <r>
    <s v="P-0965"/>
    <x v="29"/>
    <x v="6"/>
    <x v="0"/>
    <n v="42"/>
    <x v="1"/>
    <x v="0"/>
    <n v="69"/>
    <n v="7959"/>
    <n v="21.61"/>
    <n v="107"/>
    <n v="4"/>
    <n v="41787"/>
    <s v="Low"/>
    <s v="Adult"/>
  </r>
  <r>
    <s v="P-0967"/>
    <x v="19"/>
    <x v="6"/>
    <x v="1"/>
    <n v="42"/>
    <x v="1"/>
    <x v="3"/>
    <n v="81"/>
    <n v="10000"/>
    <n v="14.12"/>
    <n v="58"/>
    <n v="5"/>
    <n v="31905"/>
    <s v="Moderate"/>
    <s v="Adult"/>
  </r>
  <r>
    <s v="P-0285"/>
    <x v="1"/>
    <x v="0"/>
    <x v="1"/>
    <n v="43"/>
    <x v="0"/>
    <x v="2"/>
    <n v="88"/>
    <n v="2760"/>
    <n v="7.58"/>
    <n v="50"/>
    <n v="4"/>
    <n v="8836"/>
    <s v="High"/>
    <s v="Adult"/>
  </r>
  <r>
    <s v="P-0627"/>
    <x v="1"/>
    <x v="0"/>
    <x v="0"/>
    <n v="43"/>
    <x v="0"/>
    <x v="0"/>
    <n v="83"/>
    <n v="2645"/>
    <n v="0"/>
    <n v="54"/>
    <n v="5"/>
    <n v="13430"/>
    <s v="High"/>
    <s v="Adult"/>
  </r>
  <r>
    <s v="P-0092"/>
    <x v="34"/>
    <x v="1"/>
    <x v="1"/>
    <n v="43"/>
    <x v="1"/>
    <x v="2"/>
    <n v="74"/>
    <n v="9046"/>
    <n v="14.1"/>
    <n v="90"/>
    <n v="4"/>
    <n v="33227"/>
    <s v="Low"/>
    <s v="Adult"/>
  </r>
  <r>
    <s v="P-0539"/>
    <x v="34"/>
    <x v="1"/>
    <x v="0"/>
    <n v="43"/>
    <x v="2"/>
    <x v="2"/>
    <n v="86"/>
    <n v="6087"/>
    <n v="11.4"/>
    <n v="76"/>
    <n v="4"/>
    <n v="23385"/>
    <s v="High"/>
    <s v="Adult"/>
  </r>
  <r>
    <s v="P-0232"/>
    <x v="33"/>
    <x v="2"/>
    <x v="0"/>
    <n v="43"/>
    <x v="2"/>
    <x v="1"/>
    <n v="78"/>
    <n v="5973"/>
    <n v="13.77"/>
    <n v="63"/>
    <n v="5"/>
    <n v="23540"/>
    <s v="Moderate"/>
    <s v="Adult"/>
  </r>
  <r>
    <s v="P-0320"/>
    <x v="25"/>
    <x v="2"/>
    <x v="0"/>
    <n v="43"/>
    <x v="1"/>
    <x v="0"/>
    <n v="86"/>
    <n v="6461"/>
    <n v="17.32"/>
    <n v="55"/>
    <n v="5"/>
    <n v="19831"/>
    <s v="High"/>
    <s v="Adult"/>
  </r>
  <r>
    <s v="P-0614"/>
    <x v="4"/>
    <x v="2"/>
    <x v="0"/>
    <n v="43"/>
    <x v="0"/>
    <x v="5"/>
    <n v="73"/>
    <n v="6444"/>
    <n v="17.93"/>
    <n v="99"/>
    <n v="3"/>
    <n v="29775"/>
    <s v="Low"/>
    <s v="Adult"/>
  </r>
  <r>
    <s v="P-0210"/>
    <x v="15"/>
    <x v="3"/>
    <x v="1"/>
    <n v="43"/>
    <x v="1"/>
    <x v="0"/>
    <n v="75"/>
    <n v="7556"/>
    <n v="17.309999999999999"/>
    <n v="88"/>
    <n v="3"/>
    <n v="41123"/>
    <s v="Low"/>
    <s v="Adult"/>
  </r>
  <r>
    <s v="P-0948"/>
    <x v="36"/>
    <x v="3"/>
    <x v="1"/>
    <n v="43"/>
    <x v="0"/>
    <x v="3"/>
    <n v="71"/>
    <n v="7743"/>
    <n v="9.42"/>
    <n v="118"/>
    <n v="3"/>
    <n v="39154"/>
    <s v="Low"/>
    <s v="Adult"/>
  </r>
  <r>
    <s v="P-0833"/>
    <x v="8"/>
    <x v="4"/>
    <x v="0"/>
    <n v="43"/>
    <x v="2"/>
    <x v="4"/>
    <n v="78"/>
    <n v="9013"/>
    <n v="11.09"/>
    <n v="76"/>
    <n v="3"/>
    <n v="47140"/>
    <s v="Moderate"/>
    <s v="Adult"/>
  </r>
  <r>
    <s v="P-0915"/>
    <x v="6"/>
    <x v="4"/>
    <x v="1"/>
    <n v="43"/>
    <x v="1"/>
    <x v="5"/>
    <n v="74"/>
    <n v="10770"/>
    <n v="17.5"/>
    <n v="81"/>
    <n v="3"/>
    <n v="38859"/>
    <s v="Low"/>
    <s v="Adult"/>
  </r>
  <r>
    <s v="P-0079"/>
    <x v="17"/>
    <x v="5"/>
    <x v="0"/>
    <n v="43"/>
    <x v="2"/>
    <x v="0"/>
    <n v="71"/>
    <n v="3043"/>
    <n v="18.190000000000001"/>
    <n v="85"/>
    <n v="3"/>
    <n v="8282"/>
    <s v="Low"/>
    <s v="Adult"/>
  </r>
  <r>
    <s v="P-0629"/>
    <x v="19"/>
    <x v="6"/>
    <x v="0"/>
    <n v="43"/>
    <x v="0"/>
    <x v="2"/>
    <n v="84"/>
    <n v="9930"/>
    <n v="9.9499999999999993"/>
    <n v="92"/>
    <n v="5"/>
    <n v="45932"/>
    <s v="High"/>
    <s v="Adult"/>
  </r>
  <r>
    <s v="P-0141"/>
    <x v="1"/>
    <x v="0"/>
    <x v="1"/>
    <n v="44"/>
    <x v="2"/>
    <x v="3"/>
    <n v="96"/>
    <n v="2564"/>
    <n v="2.2799999999999998"/>
    <n v="16"/>
    <n v="5"/>
    <n v="9195"/>
    <s v="High"/>
    <s v="Adult"/>
  </r>
  <r>
    <s v="P-0635"/>
    <x v="1"/>
    <x v="0"/>
    <x v="0"/>
    <n v="44"/>
    <x v="1"/>
    <x v="4"/>
    <n v="86"/>
    <n v="3110"/>
    <n v="0.69"/>
    <n v="42"/>
    <n v="5"/>
    <n v="16609"/>
    <s v="High"/>
    <s v="Adult"/>
  </r>
  <r>
    <s v="P-0287"/>
    <x v="30"/>
    <x v="1"/>
    <x v="1"/>
    <n v="44"/>
    <x v="2"/>
    <x v="3"/>
    <n v="75"/>
    <n v="7348"/>
    <n v="15.79"/>
    <n v="67"/>
    <n v="4"/>
    <n v="26069"/>
    <s v="Low"/>
    <s v="Adult"/>
  </r>
  <r>
    <s v="P-0297"/>
    <x v="31"/>
    <x v="1"/>
    <x v="0"/>
    <n v="44"/>
    <x v="2"/>
    <x v="4"/>
    <n v="82"/>
    <n v="5166"/>
    <n v="10.36"/>
    <n v="39"/>
    <n v="4"/>
    <n v="26451"/>
    <s v="Moderate"/>
    <s v="Adult"/>
  </r>
  <r>
    <s v="P-0227"/>
    <x v="25"/>
    <x v="2"/>
    <x v="2"/>
    <n v="44"/>
    <x v="1"/>
    <x v="2"/>
    <n v="82"/>
    <n v="4121"/>
    <n v="17.54"/>
    <n v="65"/>
    <n v="4"/>
    <n v="10617"/>
    <s v="Moderate"/>
    <s v="Adult"/>
  </r>
  <r>
    <s v="P-0753"/>
    <x v="33"/>
    <x v="2"/>
    <x v="0"/>
    <n v="44"/>
    <x v="2"/>
    <x v="2"/>
    <n v="89"/>
    <n v="7785"/>
    <n v="16.079999999999998"/>
    <n v="51"/>
    <n v="4"/>
    <n v="35914"/>
    <s v="High"/>
    <s v="Adult"/>
  </r>
  <r>
    <s v="P-0484"/>
    <x v="36"/>
    <x v="3"/>
    <x v="1"/>
    <n v="44"/>
    <x v="0"/>
    <x v="2"/>
    <n v="68"/>
    <n v="7468"/>
    <n v="20.76"/>
    <n v="111"/>
    <n v="3"/>
    <n v="34799"/>
    <s v="Low"/>
    <s v="Adult"/>
  </r>
  <r>
    <s v="P-0621"/>
    <x v="36"/>
    <x v="3"/>
    <x v="0"/>
    <n v="44"/>
    <x v="2"/>
    <x v="3"/>
    <n v="82"/>
    <n v="4714"/>
    <n v="17.079999999999998"/>
    <n v="113"/>
    <n v="4"/>
    <n v="20284"/>
    <s v="Moderate"/>
    <s v="Adult"/>
  </r>
  <r>
    <s v="P-0854"/>
    <x v="36"/>
    <x v="3"/>
    <x v="1"/>
    <n v="44"/>
    <x v="1"/>
    <x v="3"/>
    <n v="79"/>
    <n v="4866"/>
    <n v="15.67"/>
    <n v="78"/>
    <n v="4"/>
    <n v="19894"/>
    <s v="Moderate"/>
    <s v="Adult"/>
  </r>
  <r>
    <s v="P-0253"/>
    <x v="26"/>
    <x v="4"/>
    <x v="1"/>
    <n v="44"/>
    <x v="0"/>
    <x v="0"/>
    <n v="73"/>
    <n v="10439"/>
    <n v="10.53"/>
    <n v="88"/>
    <n v="3"/>
    <n v="53251"/>
    <s v="Low"/>
    <s v="Adult"/>
  </r>
  <r>
    <s v="P-0115"/>
    <x v="10"/>
    <x v="5"/>
    <x v="1"/>
    <n v="44"/>
    <x v="0"/>
    <x v="2"/>
    <n v="75"/>
    <n v="3519"/>
    <n v="18.12"/>
    <n v="123"/>
    <n v="4"/>
    <n v="9253"/>
    <s v="Low"/>
    <s v="Adult"/>
  </r>
  <r>
    <s v="P-0548"/>
    <x v="9"/>
    <x v="5"/>
    <x v="0"/>
    <n v="44"/>
    <x v="0"/>
    <x v="0"/>
    <n v="64"/>
    <n v="3340"/>
    <n v="20.48"/>
    <n v="110"/>
    <n v="3"/>
    <n v="8352"/>
    <s v="Low"/>
    <s v="Adult"/>
  </r>
  <r>
    <s v="P-0588"/>
    <x v="9"/>
    <x v="5"/>
    <x v="0"/>
    <n v="44"/>
    <x v="2"/>
    <x v="5"/>
    <n v="74"/>
    <n v="3917"/>
    <n v="17.07"/>
    <n v="99"/>
    <n v="4"/>
    <n v="19946"/>
    <s v="Low"/>
    <s v="Adult"/>
  </r>
  <r>
    <s v="P-0936"/>
    <x v="17"/>
    <x v="5"/>
    <x v="0"/>
    <n v="44"/>
    <x v="2"/>
    <x v="0"/>
    <n v="68"/>
    <n v="3080"/>
    <n v="10.14"/>
    <n v="103"/>
    <n v="4"/>
    <n v="12172"/>
    <s v="Low"/>
    <s v="Adult"/>
  </r>
  <r>
    <s v="P-0534"/>
    <x v="19"/>
    <x v="6"/>
    <x v="0"/>
    <n v="44"/>
    <x v="2"/>
    <x v="0"/>
    <n v="84"/>
    <n v="6591"/>
    <n v="14.18"/>
    <n v="70"/>
    <n v="4"/>
    <n v="36673"/>
    <s v="High"/>
    <s v="Adult"/>
  </r>
  <r>
    <s v="P-0352"/>
    <x v="0"/>
    <x v="0"/>
    <x v="0"/>
    <n v="45"/>
    <x v="2"/>
    <x v="2"/>
    <n v="90"/>
    <n v="2336"/>
    <n v="0"/>
    <n v="39"/>
    <n v="5"/>
    <n v="12706"/>
    <s v="High"/>
    <s v="Adult"/>
  </r>
  <r>
    <s v="P-0752"/>
    <x v="1"/>
    <x v="0"/>
    <x v="1"/>
    <n v="45"/>
    <x v="2"/>
    <x v="1"/>
    <n v="88"/>
    <n v="2537"/>
    <n v="0.9"/>
    <n v="61"/>
    <n v="4"/>
    <n v="10626"/>
    <s v="High"/>
    <s v="Adult"/>
  </r>
  <r>
    <s v="P-0819"/>
    <x v="1"/>
    <x v="0"/>
    <x v="1"/>
    <n v="45"/>
    <x v="1"/>
    <x v="0"/>
    <n v="85"/>
    <n v="3043"/>
    <n v="7.77"/>
    <n v="58"/>
    <n v="4"/>
    <n v="7972"/>
    <s v="High"/>
    <s v="Adult"/>
  </r>
  <r>
    <s v="P-0027"/>
    <x v="24"/>
    <x v="1"/>
    <x v="0"/>
    <n v="45"/>
    <x v="1"/>
    <x v="5"/>
    <n v="74"/>
    <n v="5682"/>
    <n v="22.88"/>
    <n v="104"/>
    <n v="3"/>
    <n v="19788"/>
    <s v="Low"/>
    <s v="Adult"/>
  </r>
  <r>
    <s v="P-0028"/>
    <x v="24"/>
    <x v="1"/>
    <x v="0"/>
    <n v="45"/>
    <x v="0"/>
    <x v="2"/>
    <n v="76"/>
    <n v="5851"/>
    <n v="14.96"/>
    <n v="72"/>
    <n v="4"/>
    <n v="22513"/>
    <s v="Moderate"/>
    <s v="Adult"/>
  </r>
  <r>
    <s v="P-0528"/>
    <x v="2"/>
    <x v="1"/>
    <x v="0"/>
    <n v="45"/>
    <x v="0"/>
    <x v="2"/>
    <n v="79"/>
    <n v="4640"/>
    <n v="15.04"/>
    <n v="98"/>
    <n v="4"/>
    <n v="16676"/>
    <s v="Moderate"/>
    <s v="Adult"/>
  </r>
  <r>
    <s v="P-0702"/>
    <x v="2"/>
    <x v="1"/>
    <x v="0"/>
    <n v="45"/>
    <x v="0"/>
    <x v="5"/>
    <n v="82"/>
    <n v="6060"/>
    <n v="14.54"/>
    <n v="89"/>
    <n v="4"/>
    <n v="25606"/>
    <s v="Moderate"/>
    <s v="Adult"/>
  </r>
  <r>
    <s v="P-0035"/>
    <x v="22"/>
    <x v="2"/>
    <x v="1"/>
    <n v="45"/>
    <x v="1"/>
    <x v="1"/>
    <n v="68"/>
    <n v="11430"/>
    <n v="16.54"/>
    <n v="66"/>
    <n v="3"/>
    <n v="60386"/>
    <s v="Low"/>
    <s v="Adult"/>
  </r>
  <r>
    <s v="P-0046"/>
    <x v="3"/>
    <x v="2"/>
    <x v="1"/>
    <n v="45"/>
    <x v="2"/>
    <x v="3"/>
    <n v="73"/>
    <n v="7162"/>
    <n v="17.8"/>
    <n v="98"/>
    <n v="4"/>
    <n v="18176"/>
    <s v="Low"/>
    <s v="Adult"/>
  </r>
  <r>
    <s v="P-0983"/>
    <x v="4"/>
    <x v="2"/>
    <x v="1"/>
    <n v="45"/>
    <x v="0"/>
    <x v="2"/>
    <n v="80"/>
    <n v="6955"/>
    <n v="11.8"/>
    <n v="62"/>
    <n v="4"/>
    <n v="28795"/>
    <s v="Moderate"/>
    <s v="Adult"/>
  </r>
  <r>
    <s v="P-0401"/>
    <x v="32"/>
    <x v="3"/>
    <x v="0"/>
    <n v="45"/>
    <x v="2"/>
    <x v="2"/>
    <n v="77"/>
    <n v="3211"/>
    <n v="13.81"/>
    <n v="101"/>
    <n v="3"/>
    <n v="11140"/>
    <s v="Moderate"/>
    <s v="Adult"/>
  </r>
  <r>
    <s v="P-0879"/>
    <x v="15"/>
    <x v="3"/>
    <x v="0"/>
    <n v="45"/>
    <x v="0"/>
    <x v="0"/>
    <n v="84"/>
    <n v="8278"/>
    <n v="15.5"/>
    <n v="62"/>
    <n v="5"/>
    <n v="23980"/>
    <s v="High"/>
    <s v="Adult"/>
  </r>
  <r>
    <s v="P-0259"/>
    <x v="8"/>
    <x v="4"/>
    <x v="1"/>
    <n v="45"/>
    <x v="2"/>
    <x v="0"/>
    <n v="66"/>
    <n v="7879"/>
    <n v="17.78"/>
    <n v="128"/>
    <n v="3"/>
    <n v="32727"/>
    <s v="Low"/>
    <s v="Adult"/>
  </r>
  <r>
    <s v="P-0544"/>
    <x v="23"/>
    <x v="4"/>
    <x v="1"/>
    <n v="45"/>
    <x v="2"/>
    <x v="2"/>
    <n v="68"/>
    <n v="8890"/>
    <n v="17.89"/>
    <n v="89"/>
    <n v="3"/>
    <n v="38421"/>
    <s v="Low"/>
    <s v="Adult"/>
  </r>
  <r>
    <s v="P-0583"/>
    <x v="26"/>
    <x v="4"/>
    <x v="1"/>
    <n v="45"/>
    <x v="1"/>
    <x v="5"/>
    <n v="74"/>
    <n v="7905"/>
    <n v="18.45"/>
    <n v="110"/>
    <n v="3"/>
    <n v="35378"/>
    <s v="Low"/>
    <s v="Adult"/>
  </r>
  <r>
    <s v="P-0849"/>
    <x v="23"/>
    <x v="4"/>
    <x v="1"/>
    <n v="45"/>
    <x v="0"/>
    <x v="3"/>
    <n v="77"/>
    <n v="7233"/>
    <n v="11.38"/>
    <n v="105"/>
    <n v="4"/>
    <n v="29290"/>
    <s v="Moderate"/>
    <s v="Adult"/>
  </r>
  <r>
    <s v="P-0880"/>
    <x v="9"/>
    <x v="5"/>
    <x v="1"/>
    <n v="45"/>
    <x v="2"/>
    <x v="3"/>
    <n v="63"/>
    <n v="3423"/>
    <n v="16.489999999999998"/>
    <n v="146"/>
    <n v="3"/>
    <n v="17498"/>
    <s v="Low"/>
    <s v="Adult"/>
  </r>
  <r>
    <s v="P-0313"/>
    <x v="28"/>
    <x v="6"/>
    <x v="0"/>
    <n v="45"/>
    <x v="0"/>
    <x v="2"/>
    <n v="75"/>
    <n v="5235"/>
    <n v="13.53"/>
    <n v="89"/>
    <n v="4"/>
    <n v="24491"/>
    <s v="Low"/>
    <s v="Adult"/>
  </r>
  <r>
    <s v="P-0869"/>
    <x v="11"/>
    <x v="6"/>
    <x v="1"/>
    <n v="45"/>
    <x v="0"/>
    <x v="1"/>
    <n v="78"/>
    <n v="6901"/>
    <n v="5.91"/>
    <n v="106"/>
    <n v="4"/>
    <n v="25536"/>
    <s v="Moderate"/>
    <s v="Adult"/>
  </r>
  <r>
    <s v="P-0525"/>
    <x v="1"/>
    <x v="0"/>
    <x v="1"/>
    <n v="46"/>
    <x v="2"/>
    <x v="0"/>
    <n v="98"/>
    <n v="2152"/>
    <n v="1.33"/>
    <n v="19"/>
    <n v="5"/>
    <n v="5484"/>
    <s v="High"/>
    <s v="Adult"/>
  </r>
  <r>
    <s v="P-0679"/>
    <x v="0"/>
    <x v="0"/>
    <x v="0"/>
    <n v="46"/>
    <x v="1"/>
    <x v="3"/>
    <n v="90"/>
    <n v="3073"/>
    <n v="0"/>
    <n v="38"/>
    <n v="4"/>
    <n v="15405"/>
    <s v="High"/>
    <s v="Adult"/>
  </r>
  <r>
    <s v="P-0168"/>
    <x v="34"/>
    <x v="1"/>
    <x v="1"/>
    <n v="46"/>
    <x v="0"/>
    <x v="2"/>
    <n v="71"/>
    <n v="5454"/>
    <n v="11.92"/>
    <n v="97"/>
    <n v="3"/>
    <n v="21248"/>
    <s v="Low"/>
    <s v="Adult"/>
  </r>
  <r>
    <s v="P-0658"/>
    <x v="24"/>
    <x v="1"/>
    <x v="0"/>
    <n v="46"/>
    <x v="1"/>
    <x v="4"/>
    <n v="80"/>
    <n v="6624"/>
    <n v="8.73"/>
    <n v="65"/>
    <n v="4"/>
    <n v="28021"/>
    <s v="Moderate"/>
    <s v="Adult"/>
  </r>
  <r>
    <s v="P-0268"/>
    <x v="25"/>
    <x v="2"/>
    <x v="0"/>
    <n v="46"/>
    <x v="1"/>
    <x v="4"/>
    <n v="95"/>
    <n v="5284"/>
    <n v="11.42"/>
    <n v="65"/>
    <n v="5"/>
    <n v="14018"/>
    <s v="High"/>
    <s v="Adult"/>
  </r>
  <r>
    <s v="P-0914"/>
    <x v="33"/>
    <x v="2"/>
    <x v="1"/>
    <n v="46"/>
    <x v="1"/>
    <x v="5"/>
    <n v="82"/>
    <n v="11287"/>
    <n v="16.329999999999998"/>
    <n v="99"/>
    <n v="4"/>
    <n v="29986"/>
    <s v="Moderate"/>
    <s v="Adult"/>
  </r>
  <r>
    <s v="P-0202"/>
    <x v="5"/>
    <x v="3"/>
    <x v="1"/>
    <n v="46"/>
    <x v="2"/>
    <x v="2"/>
    <n v="73"/>
    <n v="6202"/>
    <n v="15.36"/>
    <n v="124"/>
    <n v="3"/>
    <n v="17069"/>
    <s v="Low"/>
    <s v="Adult"/>
  </r>
  <r>
    <s v="P-0255"/>
    <x v="5"/>
    <x v="3"/>
    <x v="1"/>
    <n v="46"/>
    <x v="1"/>
    <x v="1"/>
    <n v="78"/>
    <n v="5294"/>
    <n v="15.95"/>
    <n v="113"/>
    <n v="4"/>
    <n v="29521"/>
    <s v="Moderate"/>
    <s v="Adult"/>
  </r>
  <r>
    <s v="P-0294"/>
    <x v="36"/>
    <x v="3"/>
    <x v="1"/>
    <n v="46"/>
    <x v="1"/>
    <x v="4"/>
    <n v="70"/>
    <n v="4351"/>
    <n v="19.809999999999999"/>
    <n v="90"/>
    <n v="4"/>
    <n v="24410"/>
    <s v="Low"/>
    <s v="Adult"/>
  </r>
  <r>
    <s v="P-0138"/>
    <x v="26"/>
    <x v="4"/>
    <x v="0"/>
    <n v="46"/>
    <x v="1"/>
    <x v="2"/>
    <n v="78"/>
    <n v="10710"/>
    <n v="15.63"/>
    <n v="90"/>
    <n v="4"/>
    <n v="33729"/>
    <s v="Moderate"/>
    <s v="Adult"/>
  </r>
  <r>
    <s v="P-0494"/>
    <x v="23"/>
    <x v="4"/>
    <x v="0"/>
    <n v="46"/>
    <x v="2"/>
    <x v="2"/>
    <n v="67"/>
    <n v="10792"/>
    <n v="18.02"/>
    <n v="81"/>
    <n v="4"/>
    <n v="57311"/>
    <s v="Low"/>
    <s v="Adult"/>
  </r>
  <r>
    <s v="P-0841"/>
    <x v="26"/>
    <x v="4"/>
    <x v="0"/>
    <n v="46"/>
    <x v="0"/>
    <x v="0"/>
    <n v="78"/>
    <n v="10542"/>
    <n v="18.59"/>
    <n v="74"/>
    <n v="4"/>
    <n v="57842"/>
    <s v="Moderate"/>
    <s v="Adult"/>
  </r>
  <r>
    <s v="P-0882"/>
    <x v="8"/>
    <x v="4"/>
    <x v="1"/>
    <n v="46"/>
    <x v="2"/>
    <x v="4"/>
    <n v="75"/>
    <n v="7504"/>
    <n v="24.05"/>
    <n v="74"/>
    <n v="4"/>
    <n v="20708"/>
    <s v="Low"/>
    <s v="Adult"/>
  </r>
  <r>
    <s v="P-0219"/>
    <x v="10"/>
    <x v="5"/>
    <x v="0"/>
    <n v="46"/>
    <x v="2"/>
    <x v="3"/>
    <n v="65"/>
    <n v="2700"/>
    <n v="17.23"/>
    <n v="139"/>
    <n v="3"/>
    <n v="7587"/>
    <s v="Low"/>
    <s v="Adult"/>
  </r>
  <r>
    <s v="P-0427"/>
    <x v="13"/>
    <x v="5"/>
    <x v="0"/>
    <n v="46"/>
    <x v="0"/>
    <x v="2"/>
    <n v="79"/>
    <n v="3418"/>
    <n v="18.86"/>
    <n v="115"/>
    <n v="4"/>
    <n v="12343"/>
    <s v="Moderate"/>
    <s v="Adult"/>
  </r>
  <r>
    <s v="P-0893"/>
    <x v="10"/>
    <x v="5"/>
    <x v="0"/>
    <n v="46"/>
    <x v="2"/>
    <x v="4"/>
    <n v="69"/>
    <n v="5349"/>
    <n v="20.39"/>
    <n v="130"/>
    <n v="4"/>
    <n v="24884"/>
    <s v="Low"/>
    <s v="Adult"/>
  </r>
  <r>
    <s v="P-0040"/>
    <x v="19"/>
    <x v="6"/>
    <x v="1"/>
    <n v="46"/>
    <x v="1"/>
    <x v="0"/>
    <n v="68"/>
    <n v="7566"/>
    <n v="19.64"/>
    <n v="131"/>
    <n v="3"/>
    <n v="34426"/>
    <s v="Low"/>
    <s v="Adult"/>
  </r>
  <r>
    <s v="P-0077"/>
    <x v="29"/>
    <x v="6"/>
    <x v="0"/>
    <n v="46"/>
    <x v="2"/>
    <x v="4"/>
    <n v="70"/>
    <n v="4662"/>
    <n v="18.170000000000002"/>
    <n v="100"/>
    <n v="4"/>
    <n v="16936"/>
    <s v="Low"/>
    <s v="Adult"/>
  </r>
  <r>
    <s v="P-0454"/>
    <x v="19"/>
    <x v="6"/>
    <x v="1"/>
    <n v="46"/>
    <x v="1"/>
    <x v="2"/>
    <n v="77"/>
    <n v="8795"/>
    <n v="20.350000000000001"/>
    <n v="78"/>
    <n v="3"/>
    <n v="28842"/>
    <s v="Moderate"/>
    <s v="Adult"/>
  </r>
  <r>
    <s v="P-0654"/>
    <x v="19"/>
    <x v="6"/>
    <x v="0"/>
    <n v="46"/>
    <x v="0"/>
    <x v="3"/>
    <n v="81"/>
    <n v="6246"/>
    <n v="19.97"/>
    <n v="73"/>
    <n v="3"/>
    <n v="21609"/>
    <s v="Moderate"/>
    <s v="Adult"/>
  </r>
  <r>
    <s v="P-0749"/>
    <x v="11"/>
    <x v="6"/>
    <x v="0"/>
    <n v="46"/>
    <x v="0"/>
    <x v="2"/>
    <n v="73"/>
    <n v="4450"/>
    <n v="13.18"/>
    <n v="70"/>
    <n v="4"/>
    <n v="11764"/>
    <s v="Low"/>
    <s v="Adult"/>
  </r>
  <r>
    <s v="P-0826"/>
    <x v="11"/>
    <x v="6"/>
    <x v="0"/>
    <n v="46"/>
    <x v="0"/>
    <x v="5"/>
    <n v="73"/>
    <n v="6677"/>
    <n v="19.88"/>
    <n v="64"/>
    <n v="4"/>
    <n v="23192"/>
    <s v="Low"/>
    <s v="Adult"/>
  </r>
  <r>
    <s v="P-0569"/>
    <x v="0"/>
    <x v="0"/>
    <x v="1"/>
    <n v="47"/>
    <x v="0"/>
    <x v="3"/>
    <n v="79"/>
    <n v="1804"/>
    <n v="5.63"/>
    <n v="64"/>
    <n v="3"/>
    <n v="9307"/>
    <s v="Moderate"/>
    <s v="Adult"/>
  </r>
  <r>
    <s v="P-0634"/>
    <x v="24"/>
    <x v="1"/>
    <x v="0"/>
    <n v="47"/>
    <x v="2"/>
    <x v="1"/>
    <n v="79"/>
    <n v="7673"/>
    <n v="7.82"/>
    <n v="77"/>
    <n v="4"/>
    <n v="38023"/>
    <s v="Moderate"/>
    <s v="Adult"/>
  </r>
  <r>
    <s v="P-0041"/>
    <x v="4"/>
    <x v="2"/>
    <x v="1"/>
    <n v="47"/>
    <x v="1"/>
    <x v="4"/>
    <n v="90"/>
    <n v="10537"/>
    <n v="9.0500000000000007"/>
    <n v="93"/>
    <n v="4"/>
    <n v="61063"/>
    <s v="High"/>
    <s v="Adult"/>
  </r>
  <r>
    <s v="P-0166"/>
    <x v="5"/>
    <x v="3"/>
    <x v="1"/>
    <n v="47"/>
    <x v="1"/>
    <x v="4"/>
    <n v="78"/>
    <n v="4838"/>
    <n v="8.43"/>
    <n v="69"/>
    <n v="5"/>
    <n v="19692"/>
    <s v="Moderate"/>
    <s v="Adult"/>
  </r>
  <r>
    <s v="P-0510"/>
    <x v="15"/>
    <x v="3"/>
    <x v="1"/>
    <n v="47"/>
    <x v="1"/>
    <x v="2"/>
    <n v="66"/>
    <n v="5309"/>
    <n v="19.54"/>
    <n v="100"/>
    <n v="3"/>
    <n v="15074"/>
    <s v="Low"/>
    <s v="Adult"/>
  </r>
  <r>
    <s v="P-0500"/>
    <x v="26"/>
    <x v="4"/>
    <x v="1"/>
    <n v="47"/>
    <x v="2"/>
    <x v="3"/>
    <n v="73"/>
    <n v="8578"/>
    <n v="20.23"/>
    <n v="83"/>
    <n v="3"/>
    <n v="22896"/>
    <s v="Low"/>
    <s v="Adult"/>
  </r>
  <r>
    <s v="P-0696"/>
    <x v="6"/>
    <x v="4"/>
    <x v="1"/>
    <n v="47"/>
    <x v="1"/>
    <x v="3"/>
    <n v="74"/>
    <n v="7048"/>
    <n v="18.43"/>
    <n v="92"/>
    <n v="4"/>
    <n v="19418"/>
    <s v="Low"/>
    <s v="Adult"/>
  </r>
  <r>
    <s v="P-0766"/>
    <x v="8"/>
    <x v="4"/>
    <x v="2"/>
    <n v="47"/>
    <x v="2"/>
    <x v="4"/>
    <n v="75"/>
    <n v="10303"/>
    <n v="17.239999999999998"/>
    <n v="122"/>
    <n v="4"/>
    <n v="53311"/>
    <s v="Low"/>
    <s v="Adult"/>
  </r>
  <r>
    <s v="P-0160"/>
    <x v="17"/>
    <x v="5"/>
    <x v="1"/>
    <n v="47"/>
    <x v="1"/>
    <x v="2"/>
    <n v="58"/>
    <n v="3406"/>
    <n v="22.34"/>
    <n v="119"/>
    <n v="4"/>
    <n v="16464"/>
    <s v="Low"/>
    <s v="Adult"/>
  </r>
  <r>
    <s v="P-0668"/>
    <x v="9"/>
    <x v="5"/>
    <x v="0"/>
    <n v="47"/>
    <x v="0"/>
    <x v="3"/>
    <n v="70"/>
    <n v="2879"/>
    <n v="21.41"/>
    <n v="107"/>
    <n v="3"/>
    <n v="16389"/>
    <s v="Low"/>
    <s v="Adult"/>
  </r>
  <r>
    <s v="P-0691"/>
    <x v="27"/>
    <x v="5"/>
    <x v="1"/>
    <n v="47"/>
    <x v="0"/>
    <x v="0"/>
    <n v="80"/>
    <n v="2804"/>
    <n v="12.22"/>
    <n v="100"/>
    <n v="4"/>
    <n v="10939"/>
    <s v="Moderate"/>
    <s v="Adult"/>
  </r>
  <r>
    <s v="P-0807"/>
    <x v="17"/>
    <x v="5"/>
    <x v="1"/>
    <n v="47"/>
    <x v="0"/>
    <x v="3"/>
    <n v="70"/>
    <n v="3001"/>
    <n v="16.46"/>
    <n v="118"/>
    <n v="4"/>
    <n v="14439"/>
    <s v="Low"/>
    <s v="Adult"/>
  </r>
  <r>
    <s v="P-0959"/>
    <x v="10"/>
    <x v="5"/>
    <x v="0"/>
    <n v="47"/>
    <x v="0"/>
    <x v="5"/>
    <n v="60"/>
    <n v="4684"/>
    <n v="18.579999999999998"/>
    <n v="95"/>
    <n v="3"/>
    <n v="18236"/>
    <s v="Low"/>
    <s v="Adult"/>
  </r>
  <r>
    <s v="P-0237"/>
    <x v="28"/>
    <x v="6"/>
    <x v="0"/>
    <n v="47"/>
    <x v="2"/>
    <x v="5"/>
    <n v="91"/>
    <n v="8286"/>
    <n v="13.33"/>
    <n v="56"/>
    <n v="5"/>
    <n v="43855"/>
    <s v="High"/>
    <s v="Adult"/>
  </r>
  <r>
    <s v="P-0311"/>
    <x v="35"/>
    <x v="0"/>
    <x v="0"/>
    <n v="48"/>
    <x v="0"/>
    <x v="2"/>
    <n v="85"/>
    <n v="2586"/>
    <n v="5.98"/>
    <n v="46"/>
    <n v="5"/>
    <n v="10067"/>
    <s v="High"/>
    <s v="Adult"/>
  </r>
  <r>
    <s v="P-0507"/>
    <x v="1"/>
    <x v="0"/>
    <x v="1"/>
    <n v="48"/>
    <x v="1"/>
    <x v="2"/>
    <n v="85"/>
    <n v="2587"/>
    <n v="0"/>
    <n v="65"/>
    <n v="4"/>
    <n v="15032"/>
    <s v="High"/>
    <s v="Adult"/>
  </r>
  <r>
    <s v="P-0739"/>
    <x v="21"/>
    <x v="0"/>
    <x v="0"/>
    <n v="48"/>
    <x v="2"/>
    <x v="4"/>
    <n v="87"/>
    <n v="2471"/>
    <n v="2.06"/>
    <n v="52"/>
    <n v="4"/>
    <n v="10116"/>
    <s v="High"/>
    <s v="Adult"/>
  </r>
  <r>
    <s v="P-0859"/>
    <x v="21"/>
    <x v="0"/>
    <x v="0"/>
    <n v="48"/>
    <x v="1"/>
    <x v="3"/>
    <n v="78"/>
    <n v="2381"/>
    <n v="4.5199999999999996"/>
    <n v="72"/>
    <n v="4"/>
    <n v="6499"/>
    <s v="Moderate"/>
    <s v="Adult"/>
  </r>
  <r>
    <s v="P-0560"/>
    <x v="34"/>
    <x v="1"/>
    <x v="0"/>
    <n v="48"/>
    <x v="0"/>
    <x v="5"/>
    <n v="82"/>
    <n v="5735"/>
    <n v="9.0299999999999994"/>
    <n v="51"/>
    <n v="4"/>
    <n v="19837"/>
    <s v="Moderate"/>
    <s v="Adult"/>
  </r>
  <r>
    <s v="P-0090"/>
    <x v="22"/>
    <x v="2"/>
    <x v="1"/>
    <n v="48"/>
    <x v="1"/>
    <x v="2"/>
    <n v="80"/>
    <n v="7675"/>
    <n v="14.19"/>
    <n v="132"/>
    <n v="4"/>
    <n v="43968"/>
    <s v="Moderate"/>
    <s v="Adult"/>
  </r>
  <r>
    <s v="P-0131"/>
    <x v="33"/>
    <x v="2"/>
    <x v="0"/>
    <n v="48"/>
    <x v="1"/>
    <x v="3"/>
    <n v="80"/>
    <n v="5824"/>
    <n v="16.989999999999998"/>
    <n v="80"/>
    <n v="5"/>
    <n v="30456"/>
    <s v="Moderate"/>
    <s v="Adult"/>
  </r>
  <r>
    <s v="P-0105"/>
    <x v="36"/>
    <x v="3"/>
    <x v="0"/>
    <n v="48"/>
    <x v="1"/>
    <x v="4"/>
    <n v="73"/>
    <n v="6523"/>
    <n v="16.39"/>
    <n v="86"/>
    <n v="3"/>
    <n v="16727"/>
    <s v="Low"/>
    <s v="Adult"/>
  </r>
  <r>
    <s v="P-0409"/>
    <x v="32"/>
    <x v="3"/>
    <x v="0"/>
    <n v="48"/>
    <x v="2"/>
    <x v="3"/>
    <n v="71"/>
    <n v="6954"/>
    <n v="10.98"/>
    <n v="143"/>
    <n v="3"/>
    <n v="19387"/>
    <s v="Low"/>
    <s v="Adult"/>
  </r>
  <r>
    <s v="P-0378"/>
    <x v="26"/>
    <x v="4"/>
    <x v="0"/>
    <n v="48"/>
    <x v="2"/>
    <x v="3"/>
    <n v="76"/>
    <n v="8650"/>
    <n v="14.35"/>
    <n v="83"/>
    <n v="4"/>
    <n v="51814"/>
    <s v="Moderate"/>
    <s v="Adult"/>
  </r>
  <r>
    <s v="P-0602"/>
    <x v="26"/>
    <x v="4"/>
    <x v="1"/>
    <n v="48"/>
    <x v="0"/>
    <x v="1"/>
    <n v="69"/>
    <n v="10005"/>
    <n v="16.3"/>
    <n v="103"/>
    <n v="3"/>
    <n v="49553"/>
    <s v="Low"/>
    <s v="Adult"/>
  </r>
  <r>
    <s v="P-0240"/>
    <x v="9"/>
    <x v="5"/>
    <x v="1"/>
    <n v="48"/>
    <x v="0"/>
    <x v="0"/>
    <n v="73"/>
    <n v="3864"/>
    <n v="18.02"/>
    <n v="114"/>
    <n v="4"/>
    <n v="18692"/>
    <s v="Low"/>
    <s v="Adult"/>
  </r>
  <r>
    <s v="P-0269"/>
    <x v="10"/>
    <x v="5"/>
    <x v="0"/>
    <n v="48"/>
    <x v="1"/>
    <x v="2"/>
    <n v="81"/>
    <n v="4385"/>
    <n v="14.54"/>
    <n v="89"/>
    <n v="4"/>
    <n v="21590"/>
    <s v="Moderate"/>
    <s v="Adult"/>
  </r>
  <r>
    <s v="P-0345"/>
    <x v="13"/>
    <x v="5"/>
    <x v="0"/>
    <n v="48"/>
    <x v="1"/>
    <x v="3"/>
    <n v="66"/>
    <n v="4282"/>
    <n v="23.79"/>
    <n v="120"/>
    <n v="3"/>
    <n v="21959"/>
    <s v="Low"/>
    <s v="Adult"/>
  </r>
  <r>
    <s v="P-0358"/>
    <x v="13"/>
    <x v="5"/>
    <x v="0"/>
    <n v="48"/>
    <x v="2"/>
    <x v="2"/>
    <n v="70"/>
    <n v="3370"/>
    <n v="15.52"/>
    <n v="144"/>
    <n v="4"/>
    <n v="14774"/>
    <s v="Low"/>
    <s v="Adult"/>
  </r>
  <r>
    <s v="P-0402"/>
    <x v="9"/>
    <x v="5"/>
    <x v="1"/>
    <n v="48"/>
    <x v="1"/>
    <x v="3"/>
    <n v="64"/>
    <n v="2282"/>
    <n v="22.45"/>
    <n v="125"/>
    <n v="3"/>
    <n v="10551"/>
    <s v="Low"/>
    <s v="Adult"/>
  </r>
  <r>
    <s v="P-0448"/>
    <x v="13"/>
    <x v="5"/>
    <x v="0"/>
    <n v="48"/>
    <x v="1"/>
    <x v="3"/>
    <n v="75"/>
    <n v="3509"/>
    <n v="11.69"/>
    <n v="130"/>
    <n v="4"/>
    <n v="20247"/>
    <s v="Low"/>
    <s v="Adult"/>
  </r>
  <r>
    <s v="P-0608"/>
    <x v="16"/>
    <x v="6"/>
    <x v="1"/>
    <n v="48"/>
    <x v="0"/>
    <x v="0"/>
    <n v="83"/>
    <n v="7093"/>
    <n v="5.15"/>
    <n v="84"/>
    <n v="4"/>
    <n v="32182"/>
    <s v="High"/>
    <s v="Adult"/>
  </r>
  <r>
    <s v="P-0638"/>
    <x v="29"/>
    <x v="6"/>
    <x v="0"/>
    <n v="48"/>
    <x v="1"/>
    <x v="3"/>
    <n v="60"/>
    <n v="7453"/>
    <n v="25.11"/>
    <n v="104"/>
    <n v="3"/>
    <n v="23373"/>
    <s v="Low"/>
    <s v="Adult"/>
  </r>
  <r>
    <s v="P-0829"/>
    <x v="28"/>
    <x v="6"/>
    <x v="1"/>
    <n v="48"/>
    <x v="2"/>
    <x v="2"/>
    <n v="85"/>
    <n v="5904"/>
    <n v="18.829999999999998"/>
    <n v="90"/>
    <n v="4"/>
    <n v="30670"/>
    <s v="High"/>
    <s v="Adult"/>
  </r>
  <r>
    <s v="P-0224"/>
    <x v="35"/>
    <x v="0"/>
    <x v="1"/>
    <n v="49"/>
    <x v="1"/>
    <x v="2"/>
    <n v="93"/>
    <n v="1064"/>
    <n v="4.3600000000000003"/>
    <n v="37"/>
    <n v="5"/>
    <n v="3251"/>
    <s v="High"/>
    <s v="Adult"/>
  </r>
  <r>
    <s v="P-0395"/>
    <x v="21"/>
    <x v="0"/>
    <x v="1"/>
    <n v="49"/>
    <x v="0"/>
    <x v="2"/>
    <n v="83"/>
    <n v="2572"/>
    <n v="5.0999999999999996"/>
    <n v="65"/>
    <n v="5"/>
    <n v="12797"/>
    <s v="High"/>
    <s v="Adult"/>
  </r>
  <r>
    <s v="P-0712"/>
    <x v="21"/>
    <x v="0"/>
    <x v="1"/>
    <n v="49"/>
    <x v="1"/>
    <x v="2"/>
    <n v="86"/>
    <n v="2400"/>
    <n v="1.47"/>
    <n v="77"/>
    <n v="5"/>
    <n v="12735"/>
    <s v="High"/>
    <s v="Adult"/>
  </r>
  <r>
    <s v="P-0072"/>
    <x v="2"/>
    <x v="1"/>
    <x v="0"/>
    <n v="49"/>
    <x v="1"/>
    <x v="1"/>
    <n v="72"/>
    <n v="7266"/>
    <n v="14.61"/>
    <n v="93"/>
    <n v="4"/>
    <n v="31824"/>
    <s v="Low"/>
    <s v="Adult"/>
  </r>
  <r>
    <s v="P-0625"/>
    <x v="30"/>
    <x v="1"/>
    <x v="0"/>
    <n v="49"/>
    <x v="1"/>
    <x v="2"/>
    <n v="76"/>
    <n v="6280"/>
    <n v="16.14"/>
    <n v="53"/>
    <n v="4"/>
    <n v="17732"/>
    <s v="Moderate"/>
    <s v="Adult"/>
  </r>
  <r>
    <s v="P-0747"/>
    <x v="24"/>
    <x v="1"/>
    <x v="1"/>
    <n v="49"/>
    <x v="0"/>
    <x v="1"/>
    <n v="79"/>
    <n v="6049"/>
    <n v="16.149999999999999"/>
    <n v="77"/>
    <n v="5"/>
    <n v="26824"/>
    <s v="Moderate"/>
    <s v="Adult"/>
  </r>
  <r>
    <s v="P-0424"/>
    <x v="25"/>
    <x v="2"/>
    <x v="1"/>
    <n v="49"/>
    <x v="2"/>
    <x v="4"/>
    <n v="87"/>
    <n v="6696"/>
    <n v="11.81"/>
    <n v="62"/>
    <n v="4"/>
    <n v="25929"/>
    <s v="High"/>
    <s v="Adult"/>
  </r>
  <r>
    <s v="P-0434"/>
    <x v="22"/>
    <x v="2"/>
    <x v="1"/>
    <n v="49"/>
    <x v="1"/>
    <x v="5"/>
    <n v="81"/>
    <n v="7899"/>
    <n v="6.6"/>
    <n v="114"/>
    <n v="3"/>
    <n v="31741"/>
    <s v="Moderate"/>
    <s v="Adult"/>
  </r>
  <r>
    <s v="P-0695"/>
    <x v="33"/>
    <x v="2"/>
    <x v="0"/>
    <n v="49"/>
    <x v="2"/>
    <x v="5"/>
    <n v="73"/>
    <n v="10548"/>
    <n v="14.08"/>
    <n v="70"/>
    <n v="4"/>
    <n v="50302"/>
    <s v="Low"/>
    <s v="Adult"/>
  </r>
  <r>
    <s v="P-0324"/>
    <x v="32"/>
    <x v="3"/>
    <x v="1"/>
    <n v="49"/>
    <x v="2"/>
    <x v="2"/>
    <n v="81"/>
    <n v="6630"/>
    <n v="17.350000000000001"/>
    <n v="93"/>
    <n v="4"/>
    <n v="22399"/>
    <s v="Moderate"/>
    <s v="Adult"/>
  </r>
  <r>
    <s v="P-0326"/>
    <x v="32"/>
    <x v="3"/>
    <x v="1"/>
    <n v="49"/>
    <x v="1"/>
    <x v="3"/>
    <n v="76"/>
    <n v="4497"/>
    <n v="22.93"/>
    <n v="86"/>
    <n v="5"/>
    <n v="23185"/>
    <s v="Moderate"/>
    <s v="Adult"/>
  </r>
  <r>
    <s v="P-0024"/>
    <x v="6"/>
    <x v="4"/>
    <x v="1"/>
    <n v="49"/>
    <x v="1"/>
    <x v="5"/>
    <n v="80"/>
    <n v="9314"/>
    <n v="12.13"/>
    <n v="111"/>
    <n v="5"/>
    <n v="30595"/>
    <s v="Moderate"/>
    <s v="Adult"/>
  </r>
  <r>
    <s v="P-0490"/>
    <x v="8"/>
    <x v="4"/>
    <x v="0"/>
    <n v="49"/>
    <x v="1"/>
    <x v="3"/>
    <n v="76"/>
    <n v="8841"/>
    <n v="18.350000000000001"/>
    <n v="75"/>
    <n v="4"/>
    <n v="37757"/>
    <s v="Moderate"/>
    <s v="Adult"/>
  </r>
  <r>
    <s v="P-0552"/>
    <x v="6"/>
    <x v="4"/>
    <x v="1"/>
    <n v="49"/>
    <x v="1"/>
    <x v="1"/>
    <n v="73"/>
    <n v="9519"/>
    <n v="14.75"/>
    <n v="62"/>
    <n v="3"/>
    <n v="51079"/>
    <s v="Low"/>
    <s v="Adult"/>
  </r>
  <r>
    <s v="P-0994"/>
    <x v="26"/>
    <x v="4"/>
    <x v="0"/>
    <n v="49"/>
    <x v="0"/>
    <x v="0"/>
    <n v="77"/>
    <n v="8122"/>
    <n v="12.9"/>
    <n v="85"/>
    <n v="4"/>
    <n v="42148"/>
    <s v="Moderate"/>
    <s v="Adult"/>
  </r>
  <r>
    <s v="P-0181"/>
    <x v="9"/>
    <x v="5"/>
    <x v="1"/>
    <n v="49"/>
    <x v="2"/>
    <x v="2"/>
    <n v="65"/>
    <n v="3731"/>
    <n v="21.33"/>
    <n v="78"/>
    <n v="3"/>
    <n v="13676"/>
    <s v="Low"/>
    <s v="Adult"/>
  </r>
  <r>
    <s v="P-0449"/>
    <x v="27"/>
    <x v="5"/>
    <x v="1"/>
    <n v="49"/>
    <x v="0"/>
    <x v="0"/>
    <n v="68"/>
    <n v="2611"/>
    <n v="24.81"/>
    <n v="123"/>
    <n v="4"/>
    <n v="12718"/>
    <s v="Low"/>
    <s v="Adult"/>
  </r>
  <r>
    <s v="P-0729"/>
    <x v="13"/>
    <x v="5"/>
    <x v="1"/>
    <n v="49"/>
    <x v="0"/>
    <x v="2"/>
    <n v="69"/>
    <n v="4052"/>
    <n v="21.88"/>
    <n v="135"/>
    <n v="3"/>
    <n v="22436"/>
    <s v="Low"/>
    <s v="Adult"/>
  </r>
  <r>
    <s v="P-0796"/>
    <x v="27"/>
    <x v="5"/>
    <x v="1"/>
    <n v="49"/>
    <x v="0"/>
    <x v="3"/>
    <n v="68"/>
    <n v="4136"/>
    <n v="16.37"/>
    <n v="95"/>
    <n v="3"/>
    <n v="13106"/>
    <s v="Low"/>
    <s v="Adult"/>
  </r>
  <r>
    <s v="P-0151"/>
    <x v="19"/>
    <x v="6"/>
    <x v="0"/>
    <n v="49"/>
    <x v="1"/>
    <x v="3"/>
    <n v="80"/>
    <n v="9357"/>
    <n v="14.16"/>
    <n v="105"/>
    <n v="4"/>
    <n v="52890"/>
    <s v="Moderate"/>
    <s v="Adult"/>
  </r>
  <r>
    <s v="P-0228"/>
    <x v="28"/>
    <x v="6"/>
    <x v="1"/>
    <n v="49"/>
    <x v="1"/>
    <x v="5"/>
    <n v="76"/>
    <n v="7983"/>
    <n v="16.39"/>
    <n v="86"/>
    <n v="4"/>
    <n v="27226"/>
    <s v="Moderate"/>
    <s v="Adult"/>
  </r>
  <r>
    <s v="P-0107"/>
    <x v="21"/>
    <x v="0"/>
    <x v="1"/>
    <n v="50"/>
    <x v="0"/>
    <x v="1"/>
    <n v="73"/>
    <n v="3332"/>
    <n v="9.06"/>
    <n v="64"/>
    <n v="3"/>
    <n v="14381"/>
    <s v="Low"/>
    <s v="Adult"/>
  </r>
  <r>
    <s v="P-0204"/>
    <x v="1"/>
    <x v="0"/>
    <x v="0"/>
    <n v="50"/>
    <x v="2"/>
    <x v="4"/>
    <n v="90"/>
    <n v="2109"/>
    <n v="8.52"/>
    <n v="30"/>
    <n v="5"/>
    <n v="8091"/>
    <s v="High"/>
    <s v="Adult"/>
  </r>
  <r>
    <s v="P-0786"/>
    <x v="24"/>
    <x v="1"/>
    <x v="0"/>
    <n v="50"/>
    <x v="0"/>
    <x v="1"/>
    <n v="84"/>
    <n v="5809"/>
    <n v="10.050000000000001"/>
    <n v="74"/>
    <n v="3"/>
    <n v="20945"/>
    <s v="High"/>
    <s v="Adult"/>
  </r>
  <r>
    <s v="P-0992"/>
    <x v="24"/>
    <x v="1"/>
    <x v="0"/>
    <n v="50"/>
    <x v="1"/>
    <x v="2"/>
    <n v="80"/>
    <n v="5952"/>
    <n v="16.14"/>
    <n v="89"/>
    <n v="4"/>
    <n v="33626"/>
    <s v="Moderate"/>
    <s v="Adult"/>
  </r>
  <r>
    <s v="P-0015"/>
    <x v="3"/>
    <x v="2"/>
    <x v="1"/>
    <n v="50"/>
    <x v="2"/>
    <x v="1"/>
    <n v="71"/>
    <n v="8008"/>
    <n v="13.06"/>
    <n v="85"/>
    <n v="3"/>
    <n v="23379"/>
    <s v="Low"/>
    <s v="Adult"/>
  </r>
  <r>
    <s v="P-0878"/>
    <x v="22"/>
    <x v="2"/>
    <x v="1"/>
    <n v="50"/>
    <x v="1"/>
    <x v="5"/>
    <n v="91"/>
    <n v="10775"/>
    <n v="10.1"/>
    <n v="82"/>
    <n v="4"/>
    <n v="43892"/>
    <s v="High"/>
    <s v="Adult"/>
  </r>
  <r>
    <s v="P-0002"/>
    <x v="5"/>
    <x v="3"/>
    <x v="0"/>
    <n v="50"/>
    <x v="1"/>
    <x v="5"/>
    <n v="72"/>
    <n v="5744"/>
    <n v="12.9"/>
    <n v="110"/>
    <n v="3"/>
    <n v="24909"/>
    <s v="Low"/>
    <s v="Adult"/>
  </r>
  <r>
    <s v="P-0078"/>
    <x v="15"/>
    <x v="3"/>
    <x v="0"/>
    <n v="50"/>
    <x v="0"/>
    <x v="0"/>
    <n v="76"/>
    <n v="5903"/>
    <n v="13.77"/>
    <n v="35"/>
    <n v="4"/>
    <n v="26766"/>
    <s v="Moderate"/>
    <s v="Adult"/>
  </r>
  <r>
    <s v="P-0146"/>
    <x v="26"/>
    <x v="4"/>
    <x v="1"/>
    <n v="50"/>
    <x v="0"/>
    <x v="5"/>
    <n v="78"/>
    <n v="12261"/>
    <n v="18.43"/>
    <n v="79"/>
    <n v="4"/>
    <n v="65057"/>
    <s v="Moderate"/>
    <s v="Adult"/>
  </r>
  <r>
    <s v="P-0250"/>
    <x v="23"/>
    <x v="4"/>
    <x v="0"/>
    <n v="50"/>
    <x v="0"/>
    <x v="0"/>
    <n v="76"/>
    <n v="8662"/>
    <n v="13.23"/>
    <n v="93"/>
    <n v="4"/>
    <n v="47677"/>
    <s v="Moderate"/>
    <s v="Adult"/>
  </r>
  <r>
    <s v="P-0404"/>
    <x v="6"/>
    <x v="4"/>
    <x v="1"/>
    <n v="50"/>
    <x v="1"/>
    <x v="1"/>
    <n v="74"/>
    <n v="11146"/>
    <n v="16.52"/>
    <n v="96"/>
    <n v="4"/>
    <n v="30479"/>
    <s v="Low"/>
    <s v="Adult"/>
  </r>
  <r>
    <s v="P-0856"/>
    <x v="8"/>
    <x v="4"/>
    <x v="0"/>
    <n v="50"/>
    <x v="0"/>
    <x v="0"/>
    <n v="68"/>
    <n v="7594"/>
    <n v="18.04"/>
    <n v="108"/>
    <n v="4"/>
    <n v="21076"/>
    <s v="Low"/>
    <s v="Adult"/>
  </r>
  <r>
    <s v="P-0083"/>
    <x v="17"/>
    <x v="5"/>
    <x v="1"/>
    <n v="50"/>
    <x v="2"/>
    <x v="5"/>
    <n v="74"/>
    <n v="4109"/>
    <n v="16.7"/>
    <n v="151"/>
    <n v="4"/>
    <n v="16587"/>
    <s v="Low"/>
    <s v="Adult"/>
  </r>
  <r>
    <s v="P-0414"/>
    <x v="10"/>
    <x v="5"/>
    <x v="1"/>
    <n v="50"/>
    <x v="1"/>
    <x v="4"/>
    <n v="64"/>
    <n v="3254"/>
    <n v="28.74"/>
    <n v="84"/>
    <n v="3"/>
    <n v="14429"/>
    <s v="Low"/>
    <s v="Adult"/>
  </r>
  <r>
    <s v="P-0058"/>
    <x v="28"/>
    <x v="6"/>
    <x v="0"/>
    <n v="50"/>
    <x v="1"/>
    <x v="4"/>
    <n v="77"/>
    <n v="3566"/>
    <n v="12.39"/>
    <n v="90"/>
    <n v="4"/>
    <n v="19707"/>
    <s v="Moderate"/>
    <s v="Adult"/>
  </r>
  <r>
    <s v="P-0132"/>
    <x v="29"/>
    <x v="6"/>
    <x v="0"/>
    <n v="50"/>
    <x v="1"/>
    <x v="5"/>
    <n v="83"/>
    <n v="7753"/>
    <n v="16.190000000000001"/>
    <n v="76"/>
    <n v="4"/>
    <n v="44673"/>
    <s v="High"/>
    <s v="Adult"/>
  </r>
  <r>
    <s v="P-0282"/>
    <x v="11"/>
    <x v="6"/>
    <x v="0"/>
    <n v="50"/>
    <x v="2"/>
    <x v="3"/>
    <n v="68"/>
    <n v="6493"/>
    <n v="17.12"/>
    <n v="120"/>
    <n v="4"/>
    <n v="36164"/>
    <s v="Low"/>
    <s v="Adult"/>
  </r>
  <r>
    <s v="P-0375"/>
    <x v="11"/>
    <x v="6"/>
    <x v="1"/>
    <n v="50"/>
    <x v="1"/>
    <x v="1"/>
    <n v="71"/>
    <n v="7520"/>
    <n v="17.559999999999999"/>
    <n v="120"/>
    <n v="4"/>
    <n v="27581"/>
    <s v="Low"/>
    <s v="Adult"/>
  </r>
  <r>
    <s v="P-0564"/>
    <x v="11"/>
    <x v="6"/>
    <x v="0"/>
    <n v="50"/>
    <x v="1"/>
    <x v="5"/>
    <n v="75"/>
    <n v="6379"/>
    <n v="20.73"/>
    <n v="63"/>
    <n v="4"/>
    <n v="21249"/>
    <s v="Low"/>
    <s v="Adult"/>
  </r>
  <r>
    <s v="P-0047"/>
    <x v="35"/>
    <x v="0"/>
    <x v="1"/>
    <n v="51"/>
    <x v="0"/>
    <x v="5"/>
    <n v="82"/>
    <n v="2548"/>
    <n v="7.38"/>
    <n v="42"/>
    <n v="5"/>
    <n v="8984"/>
    <s v="Moderate"/>
    <s v="Adult"/>
  </r>
  <r>
    <s v="P-0652"/>
    <x v="35"/>
    <x v="0"/>
    <x v="1"/>
    <n v="51"/>
    <x v="2"/>
    <x v="1"/>
    <n v="92"/>
    <n v="2393"/>
    <n v="9.7200000000000006"/>
    <n v="13"/>
    <n v="4"/>
    <n v="6747"/>
    <s v="High"/>
    <s v="Adult"/>
  </r>
  <r>
    <s v="P-0513"/>
    <x v="30"/>
    <x v="1"/>
    <x v="0"/>
    <n v="51"/>
    <x v="1"/>
    <x v="5"/>
    <n v="87"/>
    <n v="6600"/>
    <n v="9.8699999999999992"/>
    <n v="73"/>
    <n v="4"/>
    <n v="26202"/>
    <s v="High"/>
    <s v="Adult"/>
  </r>
  <r>
    <s v="P-0211"/>
    <x v="25"/>
    <x v="2"/>
    <x v="0"/>
    <n v="51"/>
    <x v="0"/>
    <x v="3"/>
    <n v="71"/>
    <n v="8385"/>
    <n v="24.41"/>
    <n v="114"/>
    <n v="3"/>
    <n v="41179"/>
    <s v="Low"/>
    <s v="Adult"/>
  </r>
  <r>
    <s v="P-0540"/>
    <x v="25"/>
    <x v="2"/>
    <x v="0"/>
    <n v="51"/>
    <x v="0"/>
    <x v="0"/>
    <n v="79"/>
    <n v="5848"/>
    <n v="14.85"/>
    <n v="73"/>
    <n v="5"/>
    <n v="26989"/>
    <s v="Moderate"/>
    <s v="Adult"/>
  </r>
  <r>
    <s v="P-0235"/>
    <x v="36"/>
    <x v="3"/>
    <x v="1"/>
    <n v="51"/>
    <x v="1"/>
    <x v="1"/>
    <n v="85"/>
    <n v="6120"/>
    <n v="8.75"/>
    <n v="84"/>
    <n v="4"/>
    <n v="26838"/>
    <s v="High"/>
    <s v="Adult"/>
  </r>
  <r>
    <s v="P-0212"/>
    <x v="23"/>
    <x v="4"/>
    <x v="1"/>
    <n v="51"/>
    <x v="1"/>
    <x v="5"/>
    <n v="70"/>
    <n v="7879"/>
    <n v="18.91"/>
    <n v="113"/>
    <n v="3"/>
    <n v="26500"/>
    <s v="Low"/>
    <s v="Adult"/>
  </r>
  <r>
    <s v="P-0428"/>
    <x v="23"/>
    <x v="4"/>
    <x v="0"/>
    <n v="51"/>
    <x v="0"/>
    <x v="3"/>
    <n v="80"/>
    <n v="7267"/>
    <n v="13.08"/>
    <n v="105"/>
    <n v="4"/>
    <n v="34005"/>
    <s v="Moderate"/>
    <s v="Adult"/>
  </r>
  <r>
    <s v="P-0483"/>
    <x v="7"/>
    <x v="4"/>
    <x v="0"/>
    <n v="51"/>
    <x v="2"/>
    <x v="4"/>
    <n v="85"/>
    <n v="9389"/>
    <n v="12.9"/>
    <n v="76"/>
    <n v="5"/>
    <n v="48232"/>
    <s v="High"/>
    <s v="Adult"/>
  </r>
  <r>
    <s v="P-0851"/>
    <x v="23"/>
    <x v="4"/>
    <x v="0"/>
    <n v="51"/>
    <x v="0"/>
    <x v="5"/>
    <n v="79"/>
    <n v="9813"/>
    <n v="15.58"/>
    <n v="68"/>
    <n v="4"/>
    <n v="36632"/>
    <s v="Moderate"/>
    <s v="Adult"/>
  </r>
  <r>
    <s v="P-0645"/>
    <x v="29"/>
    <x v="6"/>
    <x v="0"/>
    <n v="51"/>
    <x v="1"/>
    <x v="1"/>
    <n v="76"/>
    <n v="8175"/>
    <n v="10.57"/>
    <n v="74"/>
    <n v="3"/>
    <n v="47066"/>
    <s v="Moderate"/>
    <s v="Adult"/>
  </r>
  <r>
    <s v="P-0542"/>
    <x v="1"/>
    <x v="0"/>
    <x v="1"/>
    <n v="52"/>
    <x v="2"/>
    <x v="1"/>
    <n v="88"/>
    <n v="2389"/>
    <n v="1.29"/>
    <n v="57"/>
    <n v="4"/>
    <n v="11251"/>
    <s v="High"/>
    <s v="Adult"/>
  </r>
  <r>
    <s v="P-0065"/>
    <x v="24"/>
    <x v="1"/>
    <x v="2"/>
    <n v="52"/>
    <x v="1"/>
    <x v="4"/>
    <n v="73"/>
    <n v="3519"/>
    <n v="11.64"/>
    <n v="74"/>
    <n v="4"/>
    <n v="9731"/>
    <s v="Low"/>
    <s v="Adult"/>
  </r>
  <r>
    <s v="P-0246"/>
    <x v="2"/>
    <x v="1"/>
    <x v="1"/>
    <n v="52"/>
    <x v="0"/>
    <x v="3"/>
    <n v="82"/>
    <n v="7433"/>
    <n v="7.51"/>
    <n v="59"/>
    <n v="4"/>
    <n v="40358"/>
    <s v="Moderate"/>
    <s v="Adult"/>
  </r>
  <r>
    <s v="P-0314"/>
    <x v="2"/>
    <x v="1"/>
    <x v="0"/>
    <n v="52"/>
    <x v="2"/>
    <x v="0"/>
    <n v="70"/>
    <n v="6390"/>
    <n v="10.52"/>
    <n v="103"/>
    <n v="4"/>
    <n v="31051"/>
    <s v="Low"/>
    <s v="Adult"/>
  </r>
  <r>
    <s v="P-0570"/>
    <x v="30"/>
    <x v="1"/>
    <x v="0"/>
    <n v="52"/>
    <x v="1"/>
    <x v="3"/>
    <n v="76"/>
    <n v="6741"/>
    <n v="18.04"/>
    <n v="72"/>
    <n v="3"/>
    <n v="22207"/>
    <s v="Moderate"/>
    <s v="Adult"/>
  </r>
  <r>
    <s v="P-0011"/>
    <x v="33"/>
    <x v="2"/>
    <x v="1"/>
    <n v="52"/>
    <x v="0"/>
    <x v="2"/>
    <n v="58"/>
    <n v="7942"/>
    <n v="20.260000000000002"/>
    <n v="110"/>
    <n v="3"/>
    <n v="20561"/>
    <s v="Low"/>
    <s v="Adult"/>
  </r>
  <r>
    <s v="P-0113"/>
    <x v="33"/>
    <x v="2"/>
    <x v="1"/>
    <n v="52"/>
    <x v="2"/>
    <x v="4"/>
    <n v="79"/>
    <n v="8895"/>
    <n v="18.32"/>
    <n v="92"/>
    <n v="4"/>
    <n v="30010"/>
    <s v="Moderate"/>
    <s v="Adult"/>
  </r>
  <r>
    <s v="P-0609"/>
    <x v="3"/>
    <x v="2"/>
    <x v="0"/>
    <n v="52"/>
    <x v="2"/>
    <x v="3"/>
    <n v="84"/>
    <n v="5569"/>
    <n v="3.48"/>
    <n v="86"/>
    <n v="4"/>
    <n v="27511"/>
    <s v="High"/>
    <s v="Adult"/>
  </r>
  <r>
    <s v="P-0283"/>
    <x v="36"/>
    <x v="3"/>
    <x v="0"/>
    <n v="52"/>
    <x v="0"/>
    <x v="4"/>
    <n v="68"/>
    <n v="7963"/>
    <n v="14.79"/>
    <n v="89"/>
    <n v="4"/>
    <n v="27872"/>
    <s v="Low"/>
    <s v="Adult"/>
  </r>
  <r>
    <s v="P-0537"/>
    <x v="15"/>
    <x v="3"/>
    <x v="1"/>
    <n v="52"/>
    <x v="2"/>
    <x v="0"/>
    <n v="82"/>
    <n v="8050"/>
    <n v="9.9700000000000006"/>
    <n v="96"/>
    <n v="4"/>
    <n v="46771"/>
    <s v="Moderate"/>
    <s v="Adult"/>
  </r>
  <r>
    <s v="P-0827"/>
    <x v="15"/>
    <x v="3"/>
    <x v="1"/>
    <n v="52"/>
    <x v="2"/>
    <x v="4"/>
    <n v="76"/>
    <n v="6083"/>
    <n v="7.88"/>
    <n v="86"/>
    <n v="4"/>
    <n v="25564"/>
    <s v="Moderate"/>
    <s v="Adult"/>
  </r>
  <r>
    <s v="P-0656"/>
    <x v="23"/>
    <x v="4"/>
    <x v="0"/>
    <n v="52"/>
    <x v="2"/>
    <x v="2"/>
    <n v="85"/>
    <n v="6936"/>
    <n v="18.86"/>
    <n v="78"/>
    <n v="5"/>
    <n v="36310"/>
    <s v="High"/>
    <s v="Adult"/>
  </r>
  <r>
    <s v="P-0076"/>
    <x v="13"/>
    <x v="5"/>
    <x v="1"/>
    <n v="52"/>
    <x v="0"/>
    <x v="1"/>
    <n v="68"/>
    <n v="3666"/>
    <n v="19.09"/>
    <n v="108"/>
    <n v="3"/>
    <n v="17744"/>
    <s v="Low"/>
    <s v="Adult"/>
  </r>
  <r>
    <s v="P-0642"/>
    <x v="17"/>
    <x v="5"/>
    <x v="0"/>
    <n v="52"/>
    <x v="2"/>
    <x v="4"/>
    <n v="76"/>
    <n v="3782"/>
    <n v="14.91"/>
    <n v="73"/>
    <n v="4"/>
    <n v="10835"/>
    <s v="Moderate"/>
    <s v="Adult"/>
  </r>
  <r>
    <s v="P-0733"/>
    <x v="19"/>
    <x v="6"/>
    <x v="1"/>
    <n v="52"/>
    <x v="2"/>
    <x v="0"/>
    <n v="82"/>
    <n v="5322"/>
    <n v="19.55"/>
    <n v="40"/>
    <n v="4"/>
    <n v="26782"/>
    <s v="Moderate"/>
    <s v="Adult"/>
  </r>
  <r>
    <s v="P-0089"/>
    <x v="1"/>
    <x v="0"/>
    <x v="0"/>
    <n v="53"/>
    <x v="1"/>
    <x v="1"/>
    <n v="76"/>
    <n v="2113"/>
    <n v="0.02"/>
    <n v="82"/>
    <n v="4"/>
    <n v="8699"/>
    <s v="Moderate"/>
    <s v="Adult"/>
  </r>
  <r>
    <s v="P-0416"/>
    <x v="35"/>
    <x v="0"/>
    <x v="0"/>
    <n v="53"/>
    <x v="0"/>
    <x v="5"/>
    <n v="89"/>
    <n v="2690"/>
    <n v="4.24"/>
    <n v="36"/>
    <n v="5"/>
    <n v="8071"/>
    <s v="High"/>
    <s v="Adult"/>
  </r>
  <r>
    <s v="P-0533"/>
    <x v="1"/>
    <x v="0"/>
    <x v="1"/>
    <n v="53"/>
    <x v="2"/>
    <x v="4"/>
    <n v="85"/>
    <n v="2330"/>
    <n v="6.48"/>
    <n v="50"/>
    <n v="4"/>
    <n v="8591"/>
    <s v="High"/>
    <s v="Adult"/>
  </r>
  <r>
    <s v="P-0693"/>
    <x v="1"/>
    <x v="0"/>
    <x v="1"/>
    <n v="53"/>
    <x v="2"/>
    <x v="2"/>
    <n v="98"/>
    <n v="2540"/>
    <n v="4.8499999999999996"/>
    <n v="52"/>
    <n v="5"/>
    <n v="12085"/>
    <s v="High"/>
    <s v="Adult"/>
  </r>
  <r>
    <s v="P-0659"/>
    <x v="25"/>
    <x v="2"/>
    <x v="1"/>
    <n v="53"/>
    <x v="2"/>
    <x v="3"/>
    <n v="81"/>
    <n v="9409"/>
    <n v="14.01"/>
    <n v="68"/>
    <n v="4"/>
    <n v="31191"/>
    <s v="Moderate"/>
    <s v="Adult"/>
  </r>
  <r>
    <s v="P-0501"/>
    <x v="20"/>
    <x v="3"/>
    <x v="0"/>
    <n v="53"/>
    <x v="1"/>
    <x v="1"/>
    <n v="74"/>
    <n v="4191"/>
    <n v="19.260000000000002"/>
    <n v="98"/>
    <n v="4"/>
    <n v="22592"/>
    <s v="Low"/>
    <s v="Adult"/>
  </r>
  <r>
    <s v="P-0718"/>
    <x v="36"/>
    <x v="3"/>
    <x v="0"/>
    <n v="53"/>
    <x v="2"/>
    <x v="2"/>
    <n v="78"/>
    <n v="8067"/>
    <n v="17.440000000000001"/>
    <n v="74"/>
    <n v="4"/>
    <n v="24567"/>
    <s v="Moderate"/>
    <s v="Adult"/>
  </r>
  <r>
    <s v="P-0972"/>
    <x v="32"/>
    <x v="3"/>
    <x v="0"/>
    <n v="53"/>
    <x v="2"/>
    <x v="2"/>
    <n v="81"/>
    <n v="7759"/>
    <n v="8.1999999999999993"/>
    <n v="89"/>
    <n v="4"/>
    <n v="21831"/>
    <s v="Moderate"/>
    <s v="Adult"/>
  </r>
  <r>
    <s v="P-0042"/>
    <x v="8"/>
    <x v="4"/>
    <x v="0"/>
    <n v="53"/>
    <x v="2"/>
    <x v="3"/>
    <n v="79"/>
    <n v="8124"/>
    <n v="17.829999999999998"/>
    <n v="92"/>
    <n v="4"/>
    <n v="20971"/>
    <s v="Moderate"/>
    <s v="Adult"/>
  </r>
  <r>
    <s v="P-0254"/>
    <x v="7"/>
    <x v="4"/>
    <x v="0"/>
    <n v="53"/>
    <x v="2"/>
    <x v="4"/>
    <n v="76"/>
    <n v="10624"/>
    <n v="17.86"/>
    <n v="112"/>
    <n v="4"/>
    <n v="27849"/>
    <s v="Moderate"/>
    <s v="Adult"/>
  </r>
  <r>
    <s v="P-0440"/>
    <x v="8"/>
    <x v="4"/>
    <x v="0"/>
    <n v="53"/>
    <x v="2"/>
    <x v="2"/>
    <n v="80"/>
    <n v="5104"/>
    <n v="15.69"/>
    <n v="103"/>
    <n v="4"/>
    <n v="18622"/>
    <s v="Moderate"/>
    <s v="Adult"/>
  </r>
  <r>
    <s v="P-0724"/>
    <x v="7"/>
    <x v="4"/>
    <x v="1"/>
    <n v="53"/>
    <x v="1"/>
    <x v="3"/>
    <n v="72"/>
    <n v="10602"/>
    <n v="18.46"/>
    <n v="115"/>
    <n v="3"/>
    <n v="53983"/>
    <s v="Low"/>
    <s v="Adult"/>
  </r>
  <r>
    <s v="P-0791"/>
    <x v="8"/>
    <x v="4"/>
    <x v="0"/>
    <n v="53"/>
    <x v="1"/>
    <x v="0"/>
    <n v="80"/>
    <n v="13629"/>
    <n v="8"/>
    <n v="109"/>
    <n v="4"/>
    <n v="43481"/>
    <s v="Moderate"/>
    <s v="Adult"/>
  </r>
  <r>
    <s v="P-0800"/>
    <x v="13"/>
    <x v="5"/>
    <x v="0"/>
    <n v="53"/>
    <x v="1"/>
    <x v="3"/>
    <n v="69"/>
    <n v="1676"/>
    <n v="15.9"/>
    <n v="117"/>
    <n v="3"/>
    <n v="5203"/>
    <s v="Low"/>
    <s v="Adult"/>
  </r>
  <r>
    <s v="P-0883"/>
    <x v="10"/>
    <x v="5"/>
    <x v="0"/>
    <n v="53"/>
    <x v="2"/>
    <x v="0"/>
    <n v="68"/>
    <n v="3876"/>
    <n v="19.23"/>
    <n v="102"/>
    <n v="4"/>
    <n v="17561"/>
    <s v="Low"/>
    <s v="Adult"/>
  </r>
  <r>
    <s v="P-0957"/>
    <x v="17"/>
    <x v="5"/>
    <x v="0"/>
    <n v="53"/>
    <x v="1"/>
    <x v="1"/>
    <n v="83"/>
    <n v="4245"/>
    <n v="16.97"/>
    <n v="82"/>
    <n v="4"/>
    <n v="11884"/>
    <s v="High"/>
    <s v="Adult"/>
  </r>
  <r>
    <s v="P-0357"/>
    <x v="35"/>
    <x v="0"/>
    <x v="0"/>
    <n v="54"/>
    <x v="2"/>
    <x v="0"/>
    <n v="87"/>
    <n v="2537"/>
    <n v="7.97"/>
    <n v="54"/>
    <n v="4"/>
    <n v="12938"/>
    <s v="High"/>
    <s v="Adult"/>
  </r>
  <r>
    <s v="P-0491"/>
    <x v="35"/>
    <x v="0"/>
    <x v="0"/>
    <n v="54"/>
    <x v="2"/>
    <x v="0"/>
    <n v="83"/>
    <n v="1923"/>
    <n v="0"/>
    <n v="25"/>
    <n v="4"/>
    <n v="9247"/>
    <s v="High"/>
    <s v="Adult"/>
  </r>
  <r>
    <s v="P-0985"/>
    <x v="1"/>
    <x v="0"/>
    <x v="0"/>
    <n v="54"/>
    <x v="2"/>
    <x v="4"/>
    <n v="90"/>
    <n v="2381"/>
    <n v="6.87"/>
    <n v="30"/>
    <n v="4"/>
    <n v="11890"/>
    <s v="High"/>
    <s v="Adult"/>
  </r>
  <r>
    <s v="P-0814"/>
    <x v="34"/>
    <x v="1"/>
    <x v="0"/>
    <n v="54"/>
    <x v="1"/>
    <x v="4"/>
    <n v="76"/>
    <n v="5306"/>
    <n v="11.97"/>
    <n v="101"/>
    <n v="4"/>
    <n v="16092"/>
    <s v="Moderate"/>
    <s v="Adult"/>
  </r>
  <r>
    <s v="P-0016"/>
    <x v="22"/>
    <x v="2"/>
    <x v="0"/>
    <n v="54"/>
    <x v="0"/>
    <x v="3"/>
    <n v="78"/>
    <n v="8343"/>
    <n v="5.91"/>
    <n v="76"/>
    <n v="4"/>
    <n v="49234"/>
    <s v="Moderate"/>
    <s v="Adult"/>
  </r>
  <r>
    <s v="P-0637"/>
    <x v="3"/>
    <x v="2"/>
    <x v="0"/>
    <n v="54"/>
    <x v="2"/>
    <x v="4"/>
    <n v="68"/>
    <n v="5342"/>
    <n v="16.010000000000002"/>
    <n v="67"/>
    <n v="3"/>
    <n v="24186"/>
    <s v="Low"/>
    <s v="Adult"/>
  </r>
  <r>
    <s v="P-0660"/>
    <x v="3"/>
    <x v="2"/>
    <x v="1"/>
    <n v="54"/>
    <x v="2"/>
    <x v="5"/>
    <n v="77"/>
    <n v="10346"/>
    <n v="16.16"/>
    <n v="62"/>
    <n v="3"/>
    <n v="40547"/>
    <s v="Moderate"/>
    <s v="Adult"/>
  </r>
  <r>
    <s v="P-0762"/>
    <x v="3"/>
    <x v="2"/>
    <x v="0"/>
    <n v="54"/>
    <x v="0"/>
    <x v="5"/>
    <n v="85"/>
    <n v="6740"/>
    <n v="8.42"/>
    <n v="84"/>
    <n v="4"/>
    <n v="39069"/>
    <s v="High"/>
    <s v="Adult"/>
  </r>
  <r>
    <s v="P-0730"/>
    <x v="8"/>
    <x v="4"/>
    <x v="1"/>
    <n v="54"/>
    <x v="0"/>
    <x v="3"/>
    <n v="78"/>
    <n v="6958"/>
    <n v="16.39"/>
    <n v="93"/>
    <n v="4"/>
    <n v="25181"/>
    <s v="Moderate"/>
    <s v="Adult"/>
  </r>
  <r>
    <s v="P-0054"/>
    <x v="13"/>
    <x v="5"/>
    <x v="1"/>
    <n v="54"/>
    <x v="1"/>
    <x v="0"/>
    <n v="69"/>
    <n v="5093"/>
    <n v="19.62"/>
    <n v="111"/>
    <n v="4"/>
    <n v="23919"/>
    <s v="Low"/>
    <s v="Adult"/>
  </r>
  <r>
    <s v="P-0001"/>
    <x v="11"/>
    <x v="6"/>
    <x v="0"/>
    <n v="54"/>
    <x v="0"/>
    <x v="3"/>
    <n v="73"/>
    <n v="7906"/>
    <n v="22.09"/>
    <n v="82"/>
    <n v="4"/>
    <n v="21372"/>
    <s v="Low"/>
    <s v="Adult"/>
  </r>
  <r>
    <s v="P-0455"/>
    <x v="19"/>
    <x v="6"/>
    <x v="1"/>
    <n v="54"/>
    <x v="1"/>
    <x v="4"/>
    <n v="80"/>
    <n v="5373"/>
    <n v="14.87"/>
    <n v="47"/>
    <n v="4"/>
    <n v="27673"/>
    <s v="Moderate"/>
    <s v="Adult"/>
  </r>
  <r>
    <s v="P-0197"/>
    <x v="35"/>
    <x v="0"/>
    <x v="0"/>
    <n v="55"/>
    <x v="2"/>
    <x v="5"/>
    <n v="85"/>
    <n v="2211"/>
    <n v="0"/>
    <n v="60"/>
    <n v="4"/>
    <n v="9669"/>
    <s v="High"/>
    <s v="Adult"/>
  </r>
  <r>
    <s v="P-0086"/>
    <x v="30"/>
    <x v="1"/>
    <x v="1"/>
    <n v="55"/>
    <x v="2"/>
    <x v="2"/>
    <n v="74"/>
    <n v="7159"/>
    <n v="12.33"/>
    <n v="99"/>
    <n v="4"/>
    <n v="25708"/>
    <s v="Low"/>
    <s v="Adult"/>
  </r>
  <r>
    <s v="P-0162"/>
    <x v="4"/>
    <x v="2"/>
    <x v="1"/>
    <n v="55"/>
    <x v="2"/>
    <x v="2"/>
    <n v="81"/>
    <n v="7950"/>
    <n v="22.01"/>
    <n v="61"/>
    <n v="4"/>
    <n v="35752"/>
    <s v="Moderate"/>
    <s v="Adult"/>
  </r>
  <r>
    <s v="P-0244"/>
    <x v="3"/>
    <x v="2"/>
    <x v="1"/>
    <n v="55"/>
    <x v="0"/>
    <x v="4"/>
    <n v="78"/>
    <n v="7095"/>
    <n v="12.36"/>
    <n v="63"/>
    <n v="3"/>
    <n v="36332"/>
    <s v="Moderate"/>
    <s v="Adult"/>
  </r>
  <r>
    <s v="P-0251"/>
    <x v="4"/>
    <x v="2"/>
    <x v="1"/>
    <n v="55"/>
    <x v="1"/>
    <x v="4"/>
    <n v="73"/>
    <n v="9182"/>
    <n v="16.46"/>
    <n v="74"/>
    <n v="4"/>
    <n v="49609"/>
    <s v="Low"/>
    <s v="Adult"/>
  </r>
  <r>
    <s v="P-0266"/>
    <x v="3"/>
    <x v="2"/>
    <x v="0"/>
    <n v="55"/>
    <x v="0"/>
    <x v="5"/>
    <n v="82"/>
    <n v="9962"/>
    <n v="18.63"/>
    <n v="76"/>
    <n v="3"/>
    <n v="25258"/>
    <s v="Moderate"/>
    <s v="Adult"/>
  </r>
  <r>
    <s v="P-0756"/>
    <x v="3"/>
    <x v="2"/>
    <x v="1"/>
    <n v="55"/>
    <x v="1"/>
    <x v="0"/>
    <n v="77"/>
    <n v="8064"/>
    <n v="19.73"/>
    <n v="88"/>
    <n v="4"/>
    <n v="40683"/>
    <s v="Moderate"/>
    <s v="Adult"/>
  </r>
  <r>
    <s v="P-0023"/>
    <x v="36"/>
    <x v="3"/>
    <x v="0"/>
    <n v="55"/>
    <x v="2"/>
    <x v="0"/>
    <n v="72"/>
    <n v="6825"/>
    <n v="16.39"/>
    <n v="95"/>
    <n v="4"/>
    <n v="20923"/>
    <s v="Low"/>
    <s v="Adult"/>
  </r>
  <r>
    <s v="P-0418"/>
    <x v="36"/>
    <x v="3"/>
    <x v="0"/>
    <n v="55"/>
    <x v="2"/>
    <x v="4"/>
    <n v="78"/>
    <n v="5612"/>
    <n v="12.29"/>
    <n v="70"/>
    <n v="4"/>
    <n v="19200"/>
    <s v="Moderate"/>
    <s v="Adult"/>
  </r>
  <r>
    <s v="P-0183"/>
    <x v="26"/>
    <x v="4"/>
    <x v="1"/>
    <n v="55"/>
    <x v="1"/>
    <x v="2"/>
    <n v="79"/>
    <n v="9304"/>
    <n v="11.35"/>
    <n v="76"/>
    <n v="4"/>
    <n v="47883"/>
    <s v="Moderate"/>
    <s v="Adult"/>
  </r>
  <r>
    <s v="P-0419"/>
    <x v="7"/>
    <x v="4"/>
    <x v="0"/>
    <n v="55"/>
    <x v="1"/>
    <x v="3"/>
    <n v="60"/>
    <n v="7852"/>
    <n v="18.829999999999998"/>
    <n v="119"/>
    <n v="3"/>
    <n v="22207"/>
    <s v="Low"/>
    <s v="Adult"/>
  </r>
  <r>
    <s v="P-0144"/>
    <x v="10"/>
    <x v="5"/>
    <x v="0"/>
    <n v="55"/>
    <x v="0"/>
    <x v="3"/>
    <n v="66"/>
    <n v="2886"/>
    <n v="18.149999999999999"/>
    <n v="145"/>
    <n v="3"/>
    <n v="8008"/>
    <s v="Low"/>
    <s v="Adult"/>
  </r>
  <r>
    <s v="P-0045"/>
    <x v="11"/>
    <x v="6"/>
    <x v="1"/>
    <n v="55"/>
    <x v="2"/>
    <x v="5"/>
    <n v="79"/>
    <n v="6695"/>
    <n v="20.399999999999999"/>
    <n v="80"/>
    <n v="4"/>
    <n v="19153"/>
    <s v="Moderate"/>
    <s v="Adult"/>
  </r>
  <r>
    <s v="P-0956"/>
    <x v="16"/>
    <x v="6"/>
    <x v="1"/>
    <n v="55"/>
    <x v="0"/>
    <x v="5"/>
    <n v="66"/>
    <n v="7661"/>
    <n v="12.88"/>
    <n v="109"/>
    <n v="3"/>
    <n v="37101"/>
    <s v="Low"/>
    <s v="Adult"/>
  </r>
  <r>
    <s v="P-0081"/>
    <x v="1"/>
    <x v="0"/>
    <x v="0"/>
    <n v="56"/>
    <x v="0"/>
    <x v="3"/>
    <n v="89"/>
    <n v="2685"/>
    <n v="2.58"/>
    <n v="40"/>
    <n v="4"/>
    <n v="12111"/>
    <s v="High"/>
    <s v="Adult"/>
  </r>
  <r>
    <s v="P-0498"/>
    <x v="21"/>
    <x v="0"/>
    <x v="0"/>
    <n v="56"/>
    <x v="2"/>
    <x v="4"/>
    <n v="99"/>
    <n v="2449"/>
    <n v="3.03"/>
    <n v="28"/>
    <n v="5"/>
    <n v="14144"/>
    <s v="High"/>
    <s v="Adult"/>
  </r>
  <r>
    <s v="P-0522"/>
    <x v="21"/>
    <x v="0"/>
    <x v="1"/>
    <n v="56"/>
    <x v="1"/>
    <x v="3"/>
    <n v="96"/>
    <n v="2480"/>
    <n v="5.2"/>
    <n v="5"/>
    <n v="5"/>
    <n v="11381"/>
    <s v="High"/>
    <s v="Adult"/>
  </r>
  <r>
    <s v="P-0725"/>
    <x v="35"/>
    <x v="0"/>
    <x v="1"/>
    <n v="56"/>
    <x v="2"/>
    <x v="3"/>
    <n v="82"/>
    <n v="2723"/>
    <n v="3"/>
    <n v="73"/>
    <n v="4"/>
    <n v="11227"/>
    <s v="Moderate"/>
    <s v="Adult"/>
  </r>
  <r>
    <s v="P-0958"/>
    <x v="35"/>
    <x v="0"/>
    <x v="0"/>
    <n v="56"/>
    <x v="0"/>
    <x v="0"/>
    <n v="86"/>
    <n v="3152"/>
    <n v="0"/>
    <n v="31"/>
    <n v="5"/>
    <n v="9071"/>
    <s v="High"/>
    <s v="Adult"/>
  </r>
  <r>
    <s v="P-0961"/>
    <x v="21"/>
    <x v="0"/>
    <x v="1"/>
    <n v="56"/>
    <x v="0"/>
    <x v="1"/>
    <n v="80"/>
    <n v="3270"/>
    <n v="10.02"/>
    <n v="54"/>
    <n v="4"/>
    <n v="16285"/>
    <s v="Moderate"/>
    <s v="Adult"/>
  </r>
  <r>
    <s v="P-0290"/>
    <x v="31"/>
    <x v="1"/>
    <x v="1"/>
    <n v="56"/>
    <x v="0"/>
    <x v="5"/>
    <n v="74"/>
    <n v="5079"/>
    <n v="12.85"/>
    <n v="83"/>
    <n v="4"/>
    <n v="19942"/>
    <s v="Low"/>
    <s v="Adult"/>
  </r>
  <r>
    <s v="P-0389"/>
    <x v="34"/>
    <x v="1"/>
    <x v="1"/>
    <n v="56"/>
    <x v="0"/>
    <x v="3"/>
    <n v="78"/>
    <n v="5163"/>
    <n v="14.33"/>
    <n v="87"/>
    <n v="4"/>
    <n v="19563"/>
    <s v="Moderate"/>
    <s v="Adult"/>
  </r>
  <r>
    <s v="P-0575"/>
    <x v="24"/>
    <x v="1"/>
    <x v="0"/>
    <n v="56"/>
    <x v="1"/>
    <x v="3"/>
    <n v="86"/>
    <n v="4301"/>
    <n v="12.87"/>
    <n v="60"/>
    <n v="4"/>
    <n v="18017"/>
    <s v="High"/>
    <s v="Adult"/>
  </r>
  <r>
    <s v="P-0585"/>
    <x v="2"/>
    <x v="1"/>
    <x v="0"/>
    <n v="56"/>
    <x v="1"/>
    <x v="1"/>
    <n v="95"/>
    <n v="7635"/>
    <n v="18.559999999999999"/>
    <n v="54"/>
    <n v="4"/>
    <n v="28024"/>
    <s v="High"/>
    <s v="Adult"/>
  </r>
  <r>
    <s v="P-0711"/>
    <x v="31"/>
    <x v="1"/>
    <x v="1"/>
    <n v="56"/>
    <x v="1"/>
    <x v="5"/>
    <n v="76"/>
    <n v="3706"/>
    <n v="12.37"/>
    <n v="87"/>
    <n v="3"/>
    <n v="14141"/>
    <s v="Moderate"/>
    <s v="Adult"/>
  </r>
  <r>
    <s v="P-0381"/>
    <x v="22"/>
    <x v="2"/>
    <x v="0"/>
    <n v="56"/>
    <x v="1"/>
    <x v="2"/>
    <n v="78"/>
    <n v="6825"/>
    <n v="14.33"/>
    <n v="93"/>
    <n v="4"/>
    <n v="35741"/>
    <s v="Moderate"/>
    <s v="Adult"/>
  </r>
  <r>
    <s v="P-0488"/>
    <x v="25"/>
    <x v="2"/>
    <x v="1"/>
    <n v="56"/>
    <x v="2"/>
    <x v="2"/>
    <n v="77"/>
    <n v="4759"/>
    <n v="17.239999999999998"/>
    <n v="61"/>
    <n v="4"/>
    <n v="24665"/>
    <s v="Moderate"/>
    <s v="Adult"/>
  </r>
  <r>
    <s v="P-0353"/>
    <x v="36"/>
    <x v="3"/>
    <x v="0"/>
    <n v="56"/>
    <x v="2"/>
    <x v="4"/>
    <n v="80"/>
    <n v="6469"/>
    <n v="14.3"/>
    <n v="69"/>
    <n v="4"/>
    <n v="36879"/>
    <s v="Moderate"/>
    <s v="Adult"/>
  </r>
  <r>
    <s v="P-0432"/>
    <x v="7"/>
    <x v="4"/>
    <x v="0"/>
    <n v="56"/>
    <x v="0"/>
    <x v="5"/>
    <n v="67"/>
    <n v="10143"/>
    <n v="12.53"/>
    <n v="108"/>
    <n v="3"/>
    <n v="56760"/>
    <s v="Low"/>
    <s v="Adult"/>
  </r>
  <r>
    <s v="P-0503"/>
    <x v="27"/>
    <x v="5"/>
    <x v="1"/>
    <n v="56"/>
    <x v="1"/>
    <x v="3"/>
    <n v="76"/>
    <n v="2598"/>
    <n v="19.170000000000002"/>
    <n v="84"/>
    <n v="4"/>
    <n v="13439"/>
    <s v="Moderate"/>
    <s v="Adult"/>
  </r>
  <r>
    <s v="P-0557"/>
    <x v="27"/>
    <x v="5"/>
    <x v="1"/>
    <n v="56"/>
    <x v="1"/>
    <x v="1"/>
    <n v="74"/>
    <n v="3680"/>
    <n v="17.04"/>
    <n v="101"/>
    <n v="4"/>
    <n v="19110"/>
    <s v="Low"/>
    <s v="Adult"/>
  </r>
  <r>
    <s v="P-0903"/>
    <x v="10"/>
    <x v="5"/>
    <x v="1"/>
    <n v="56"/>
    <x v="1"/>
    <x v="4"/>
    <n v="69"/>
    <n v="3419"/>
    <n v="18.59"/>
    <n v="103"/>
    <n v="4"/>
    <n v="13232"/>
    <s v="Low"/>
    <s v="Adult"/>
  </r>
  <r>
    <s v="P-0398"/>
    <x v="28"/>
    <x v="6"/>
    <x v="0"/>
    <n v="56"/>
    <x v="0"/>
    <x v="3"/>
    <n v="85"/>
    <n v="7001"/>
    <n v="10.89"/>
    <n v="81"/>
    <n v="5"/>
    <n v="33396"/>
    <s v="High"/>
    <s v="Adult"/>
  </r>
  <r>
    <s v="P-0603"/>
    <x v="28"/>
    <x v="6"/>
    <x v="0"/>
    <n v="56"/>
    <x v="1"/>
    <x v="2"/>
    <n v="70"/>
    <n v="6814"/>
    <n v="16.29"/>
    <n v="73"/>
    <n v="3"/>
    <n v="24296"/>
    <s v="Low"/>
    <s v="Adult"/>
  </r>
  <r>
    <s v="P-0946"/>
    <x v="16"/>
    <x v="6"/>
    <x v="1"/>
    <n v="56"/>
    <x v="2"/>
    <x v="1"/>
    <n v="81"/>
    <n v="5016"/>
    <n v="9.33"/>
    <n v="67"/>
    <n v="4"/>
    <n v="20983"/>
    <s v="Moderate"/>
    <s v="Adult"/>
  </r>
  <r>
    <s v="P-0480"/>
    <x v="21"/>
    <x v="0"/>
    <x v="1"/>
    <n v="57"/>
    <x v="2"/>
    <x v="0"/>
    <n v="89"/>
    <n v="2549"/>
    <n v="1.63"/>
    <n v="100"/>
    <n v="4"/>
    <n v="9840"/>
    <s v="High"/>
    <s v="Adult"/>
  </r>
  <r>
    <s v="P-0521"/>
    <x v="1"/>
    <x v="0"/>
    <x v="1"/>
    <n v="57"/>
    <x v="1"/>
    <x v="3"/>
    <n v="90"/>
    <n v="2443"/>
    <n v="0"/>
    <n v="47"/>
    <n v="4"/>
    <n v="10814"/>
    <s v="High"/>
    <s v="Adult"/>
  </r>
  <r>
    <s v="P-0719"/>
    <x v="1"/>
    <x v="0"/>
    <x v="0"/>
    <n v="57"/>
    <x v="1"/>
    <x v="1"/>
    <n v="86"/>
    <n v="2114"/>
    <n v="11.44"/>
    <n v="35"/>
    <n v="5"/>
    <n v="5954"/>
    <s v="High"/>
    <s v="Adult"/>
  </r>
  <r>
    <s v="P-0233"/>
    <x v="34"/>
    <x v="1"/>
    <x v="1"/>
    <n v="57"/>
    <x v="0"/>
    <x v="5"/>
    <n v="75"/>
    <n v="6024"/>
    <n v="9.09"/>
    <n v="116"/>
    <n v="4"/>
    <n v="16155"/>
    <s v="Low"/>
    <s v="Adult"/>
  </r>
  <r>
    <s v="P-0828"/>
    <x v="30"/>
    <x v="1"/>
    <x v="1"/>
    <n v="57"/>
    <x v="2"/>
    <x v="3"/>
    <n v="78"/>
    <n v="7786"/>
    <n v="16.45"/>
    <n v="82"/>
    <n v="4"/>
    <n v="26681"/>
    <s v="Moderate"/>
    <s v="Adult"/>
  </r>
  <r>
    <s v="P-0110"/>
    <x v="7"/>
    <x v="4"/>
    <x v="0"/>
    <n v="57"/>
    <x v="0"/>
    <x v="2"/>
    <n v="71"/>
    <n v="8990"/>
    <n v="14.36"/>
    <n v="64"/>
    <n v="4"/>
    <n v="46731"/>
    <s v="Low"/>
    <s v="Adult"/>
  </r>
  <r>
    <s v="P-0397"/>
    <x v="26"/>
    <x v="4"/>
    <x v="0"/>
    <n v="57"/>
    <x v="2"/>
    <x v="5"/>
    <n v="82"/>
    <n v="7933"/>
    <n v="17.489999999999998"/>
    <n v="112"/>
    <n v="4"/>
    <n v="38644"/>
    <s v="Moderate"/>
    <s v="Adult"/>
  </r>
  <r>
    <s v="P-0582"/>
    <x v="26"/>
    <x v="4"/>
    <x v="0"/>
    <n v="57"/>
    <x v="2"/>
    <x v="1"/>
    <n v="81"/>
    <n v="9738"/>
    <n v="20.52"/>
    <n v="57"/>
    <n v="4"/>
    <n v="48859"/>
    <s v="Moderate"/>
    <s v="Adult"/>
  </r>
  <r>
    <s v="P-0640"/>
    <x v="6"/>
    <x v="4"/>
    <x v="0"/>
    <n v="57"/>
    <x v="2"/>
    <x v="1"/>
    <n v="78"/>
    <n v="8261"/>
    <n v="18.14"/>
    <n v="106"/>
    <n v="4"/>
    <n v="37345"/>
    <s v="Moderate"/>
    <s v="Adult"/>
  </r>
  <r>
    <s v="P-0806"/>
    <x v="23"/>
    <x v="4"/>
    <x v="0"/>
    <n v="57"/>
    <x v="0"/>
    <x v="0"/>
    <n v="78"/>
    <n v="11131"/>
    <n v="21.14"/>
    <n v="52"/>
    <n v="4"/>
    <n v="43399"/>
    <s v="Moderate"/>
    <s v="Adult"/>
  </r>
  <r>
    <s v="P-0249"/>
    <x v="21"/>
    <x v="0"/>
    <x v="1"/>
    <n v="58"/>
    <x v="0"/>
    <x v="0"/>
    <n v="90"/>
    <n v="2433"/>
    <n v="1.1000000000000001"/>
    <n v="82"/>
    <n v="4"/>
    <n v="10737"/>
    <s v="High"/>
    <s v="Adult"/>
  </r>
  <r>
    <s v="P-0339"/>
    <x v="35"/>
    <x v="0"/>
    <x v="0"/>
    <n v="58"/>
    <x v="0"/>
    <x v="4"/>
    <n v="77"/>
    <n v="2353"/>
    <n v="4.71"/>
    <n v="61"/>
    <n v="4"/>
    <n v="11687"/>
    <s v="Moderate"/>
    <s v="Adult"/>
  </r>
  <r>
    <s v="P-0782"/>
    <x v="1"/>
    <x v="0"/>
    <x v="0"/>
    <n v="58"/>
    <x v="1"/>
    <x v="3"/>
    <n v="88"/>
    <n v="2587"/>
    <n v="1.1399999999999999"/>
    <n v="46"/>
    <n v="5"/>
    <n v="15472"/>
    <s v="High"/>
    <s v="Adult"/>
  </r>
  <r>
    <s v="P-0252"/>
    <x v="34"/>
    <x v="1"/>
    <x v="0"/>
    <n v="58"/>
    <x v="0"/>
    <x v="5"/>
    <n v="77"/>
    <n v="6407"/>
    <n v="9.42"/>
    <n v="67"/>
    <n v="4"/>
    <n v="21441"/>
    <s v="Moderate"/>
    <s v="Adult"/>
  </r>
  <r>
    <s v="P-0519"/>
    <x v="24"/>
    <x v="1"/>
    <x v="0"/>
    <n v="58"/>
    <x v="0"/>
    <x v="3"/>
    <n v="73"/>
    <n v="4666"/>
    <n v="11.86"/>
    <n v="104"/>
    <n v="3"/>
    <n v="21452"/>
    <s v="Low"/>
    <s v="Adult"/>
  </r>
  <r>
    <s v="P-0770"/>
    <x v="34"/>
    <x v="1"/>
    <x v="0"/>
    <n v="58"/>
    <x v="1"/>
    <x v="5"/>
    <n v="88"/>
    <n v="5044"/>
    <n v="12.67"/>
    <n v="69"/>
    <n v="4"/>
    <n v="26629"/>
    <s v="High"/>
    <s v="Adult"/>
  </r>
  <r>
    <s v="P-0792"/>
    <x v="34"/>
    <x v="1"/>
    <x v="1"/>
    <n v="58"/>
    <x v="0"/>
    <x v="3"/>
    <n v="83"/>
    <n v="6823"/>
    <n v="11.4"/>
    <n v="53"/>
    <n v="4"/>
    <n v="38992"/>
    <s v="High"/>
    <s v="Adult"/>
  </r>
  <r>
    <s v="P-0966"/>
    <x v="2"/>
    <x v="1"/>
    <x v="1"/>
    <n v="58"/>
    <x v="1"/>
    <x v="5"/>
    <n v="85"/>
    <n v="2412"/>
    <n v="7.64"/>
    <n v="73"/>
    <n v="4"/>
    <n v="10710"/>
    <s v="High"/>
    <s v="Adult"/>
  </r>
  <r>
    <s v="P-0973"/>
    <x v="24"/>
    <x v="1"/>
    <x v="1"/>
    <n v="58"/>
    <x v="1"/>
    <x v="0"/>
    <n v="77"/>
    <n v="4528"/>
    <n v="20.79"/>
    <n v="94"/>
    <n v="4"/>
    <n v="20564"/>
    <s v="Moderate"/>
    <s v="Adult"/>
  </r>
  <r>
    <s v="P-0462"/>
    <x v="4"/>
    <x v="2"/>
    <x v="1"/>
    <n v="58"/>
    <x v="2"/>
    <x v="2"/>
    <n v="89"/>
    <n v="8403"/>
    <n v="9.26"/>
    <n v="32"/>
    <n v="5"/>
    <n v="25533"/>
    <s v="High"/>
    <s v="Adult"/>
  </r>
  <r>
    <s v="P-0391"/>
    <x v="32"/>
    <x v="3"/>
    <x v="0"/>
    <n v="58"/>
    <x v="2"/>
    <x v="1"/>
    <n v="77"/>
    <n v="6071"/>
    <n v="17.93"/>
    <n v="83"/>
    <n v="4"/>
    <n v="20468"/>
    <s v="Moderate"/>
    <s v="Adult"/>
  </r>
  <r>
    <s v="P-0860"/>
    <x v="15"/>
    <x v="3"/>
    <x v="1"/>
    <n v="58"/>
    <x v="1"/>
    <x v="4"/>
    <n v="78"/>
    <n v="4266"/>
    <n v="10.19"/>
    <n v="125"/>
    <n v="3"/>
    <n v="25158"/>
    <s v="Moderate"/>
    <s v="Adult"/>
  </r>
  <r>
    <s v="P-0920"/>
    <x v="20"/>
    <x v="3"/>
    <x v="0"/>
    <n v="58"/>
    <x v="2"/>
    <x v="0"/>
    <n v="78"/>
    <n v="6982"/>
    <n v="16.98"/>
    <n v="81"/>
    <n v="4"/>
    <n v="36253"/>
    <s v="Moderate"/>
    <s v="Adult"/>
  </r>
  <r>
    <s v="P-0452"/>
    <x v="6"/>
    <x v="4"/>
    <x v="1"/>
    <n v="58"/>
    <x v="1"/>
    <x v="4"/>
    <n v="87"/>
    <n v="8593"/>
    <n v="16.66"/>
    <n v="59"/>
    <n v="4"/>
    <n v="31882"/>
    <s v="High"/>
    <s v="Adult"/>
  </r>
  <r>
    <s v="P-0572"/>
    <x v="6"/>
    <x v="4"/>
    <x v="2"/>
    <n v="58"/>
    <x v="2"/>
    <x v="4"/>
    <n v="72"/>
    <n v="11724"/>
    <n v="18.59"/>
    <n v="89"/>
    <n v="4"/>
    <n v="47106"/>
    <s v="Low"/>
    <s v="Adult"/>
  </r>
  <r>
    <s v="P-0337"/>
    <x v="10"/>
    <x v="5"/>
    <x v="0"/>
    <n v="58"/>
    <x v="1"/>
    <x v="3"/>
    <n v="70"/>
    <n v="4087"/>
    <n v="15.53"/>
    <n v="118"/>
    <n v="3"/>
    <n v="15018"/>
    <s v="Low"/>
    <s v="Adult"/>
  </r>
  <r>
    <s v="P-0721"/>
    <x v="13"/>
    <x v="5"/>
    <x v="1"/>
    <n v="58"/>
    <x v="0"/>
    <x v="5"/>
    <n v="68"/>
    <n v="3225"/>
    <n v="13.93"/>
    <n v="122"/>
    <n v="3"/>
    <n v="17075"/>
    <s v="Low"/>
    <s v="Adult"/>
  </r>
  <r>
    <s v="P-0182"/>
    <x v="28"/>
    <x v="6"/>
    <x v="0"/>
    <n v="58"/>
    <x v="0"/>
    <x v="1"/>
    <n v="69"/>
    <n v="6635"/>
    <n v="22.91"/>
    <n v="123"/>
    <n v="3"/>
    <n v="38825"/>
    <s v="Low"/>
    <s v="Adult"/>
  </r>
  <r>
    <s v="P-0335"/>
    <x v="11"/>
    <x v="6"/>
    <x v="1"/>
    <n v="58"/>
    <x v="1"/>
    <x v="4"/>
    <n v="80"/>
    <n v="8472"/>
    <n v="12.01"/>
    <n v="54"/>
    <n v="4"/>
    <n v="36416"/>
    <s v="Moderate"/>
    <s v="Adult"/>
  </r>
  <r>
    <s v="P-0215"/>
    <x v="1"/>
    <x v="0"/>
    <x v="1"/>
    <n v="59"/>
    <x v="2"/>
    <x v="3"/>
    <n v="90"/>
    <n v="3363"/>
    <n v="3.4"/>
    <n v="37"/>
    <n v="5"/>
    <n v="13015"/>
    <s v="High"/>
    <s v="Adult"/>
  </r>
  <r>
    <s v="P-0289"/>
    <x v="21"/>
    <x v="0"/>
    <x v="1"/>
    <n v="59"/>
    <x v="0"/>
    <x v="0"/>
    <n v="89"/>
    <n v="2179"/>
    <n v="6.73"/>
    <n v="55"/>
    <n v="5"/>
    <n v="10469"/>
    <s v="High"/>
    <s v="Adult"/>
  </r>
  <r>
    <s v="P-0874"/>
    <x v="30"/>
    <x v="1"/>
    <x v="0"/>
    <n v="59"/>
    <x v="2"/>
    <x v="0"/>
    <n v="97"/>
    <n v="5810"/>
    <n v="9.86"/>
    <n v="61"/>
    <n v="5"/>
    <n v="29341"/>
    <s v="High"/>
    <s v="Adult"/>
  </r>
  <r>
    <s v="P-0366"/>
    <x v="36"/>
    <x v="3"/>
    <x v="0"/>
    <n v="59"/>
    <x v="1"/>
    <x v="5"/>
    <n v="74"/>
    <n v="7884"/>
    <n v="6.44"/>
    <n v="90"/>
    <n v="4"/>
    <n v="43408"/>
    <s v="Low"/>
    <s v="Adult"/>
  </r>
  <r>
    <s v="P-0900"/>
    <x v="32"/>
    <x v="3"/>
    <x v="0"/>
    <n v="59"/>
    <x v="1"/>
    <x v="3"/>
    <n v="79"/>
    <n v="7311"/>
    <n v="10.6"/>
    <n v="94"/>
    <n v="4"/>
    <n v="22472"/>
    <s v="Moderate"/>
    <s v="Adult"/>
  </r>
  <r>
    <s v="P-0201"/>
    <x v="7"/>
    <x v="4"/>
    <x v="0"/>
    <n v="59"/>
    <x v="2"/>
    <x v="1"/>
    <n v="71"/>
    <n v="11343"/>
    <n v="23.25"/>
    <n v="100"/>
    <n v="3"/>
    <n v="34319"/>
    <s v="Low"/>
    <s v="Adult"/>
  </r>
  <r>
    <s v="P-0118"/>
    <x v="9"/>
    <x v="5"/>
    <x v="1"/>
    <n v="59"/>
    <x v="1"/>
    <x v="0"/>
    <n v="71"/>
    <n v="4356"/>
    <n v="15.27"/>
    <n v="110"/>
    <n v="3"/>
    <n v="20456"/>
    <s v="Low"/>
    <s v="Adult"/>
  </r>
  <r>
    <s v="P-0741"/>
    <x v="10"/>
    <x v="5"/>
    <x v="0"/>
    <n v="59"/>
    <x v="1"/>
    <x v="4"/>
    <n v="77"/>
    <n v="4001"/>
    <n v="27.58"/>
    <n v="120"/>
    <n v="4"/>
    <n v="17805"/>
    <s v="Moderate"/>
    <s v="Adult"/>
  </r>
  <r>
    <s v="P-0809"/>
    <x v="9"/>
    <x v="5"/>
    <x v="0"/>
    <n v="59"/>
    <x v="2"/>
    <x v="4"/>
    <n v="71"/>
    <n v="3615"/>
    <n v="12.47"/>
    <n v="120"/>
    <n v="4"/>
    <n v="14471"/>
    <s v="Low"/>
    <s v="Adult"/>
  </r>
  <r>
    <s v="P-0896"/>
    <x v="27"/>
    <x v="5"/>
    <x v="1"/>
    <n v="59"/>
    <x v="1"/>
    <x v="3"/>
    <n v="70"/>
    <n v="3188"/>
    <n v="17.43"/>
    <n v="135"/>
    <n v="3"/>
    <n v="16472"/>
    <s v="Low"/>
    <s v="Adult"/>
  </r>
  <r>
    <s v="P-0159"/>
    <x v="11"/>
    <x v="6"/>
    <x v="1"/>
    <n v="59"/>
    <x v="0"/>
    <x v="4"/>
    <n v="77"/>
    <n v="8025"/>
    <n v="15.68"/>
    <n v="86"/>
    <n v="3"/>
    <n v="21230"/>
    <s v="Moderate"/>
    <s v="Adult"/>
  </r>
  <r>
    <s v="P-0445"/>
    <x v="16"/>
    <x v="6"/>
    <x v="2"/>
    <n v="59"/>
    <x v="2"/>
    <x v="2"/>
    <n v="84"/>
    <n v="8622"/>
    <n v="14.65"/>
    <n v="44"/>
    <n v="5"/>
    <n v="32824"/>
    <s v="High"/>
    <s v="Adult"/>
  </r>
  <r>
    <s v="P-0685"/>
    <x v="29"/>
    <x v="6"/>
    <x v="1"/>
    <n v="59"/>
    <x v="2"/>
    <x v="5"/>
    <n v="74"/>
    <n v="6558"/>
    <n v="12.24"/>
    <n v="128"/>
    <n v="3"/>
    <n v="26652"/>
    <s v="Low"/>
    <s v="Adult"/>
  </r>
  <r>
    <s v="P-0308"/>
    <x v="1"/>
    <x v="0"/>
    <x v="1"/>
    <n v="60"/>
    <x v="1"/>
    <x v="4"/>
    <n v="95"/>
    <n v="2461"/>
    <n v="5.0599999999999996"/>
    <n v="5"/>
    <n v="5"/>
    <n v="10623"/>
    <s v="High"/>
    <s v="Adult"/>
  </r>
  <r>
    <s v="P-0530"/>
    <x v="1"/>
    <x v="0"/>
    <x v="1"/>
    <n v="60"/>
    <x v="0"/>
    <x v="5"/>
    <n v="85"/>
    <n v="2452"/>
    <n v="6.67"/>
    <n v="66"/>
    <n v="4"/>
    <n v="12388"/>
    <s v="High"/>
    <s v="Adult"/>
  </r>
  <r>
    <s v="P-0143"/>
    <x v="24"/>
    <x v="1"/>
    <x v="0"/>
    <n v="60"/>
    <x v="2"/>
    <x v="4"/>
    <n v="79"/>
    <n v="4839"/>
    <n v="11.81"/>
    <n v="83"/>
    <n v="3"/>
    <n v="22566"/>
    <s v="Moderate"/>
    <s v="Adult"/>
  </r>
  <r>
    <s v="P-0671"/>
    <x v="3"/>
    <x v="2"/>
    <x v="0"/>
    <n v="60"/>
    <x v="1"/>
    <x v="5"/>
    <n v="89"/>
    <n v="9363"/>
    <n v="9.08"/>
    <n v="68"/>
    <n v="4"/>
    <n v="27855"/>
    <s v="High"/>
    <s v="Adult"/>
  </r>
  <r>
    <s v="P-0384"/>
    <x v="20"/>
    <x v="3"/>
    <x v="0"/>
    <n v="60"/>
    <x v="0"/>
    <x v="3"/>
    <n v="73"/>
    <n v="8924"/>
    <n v="19.440000000000001"/>
    <n v="96"/>
    <n v="3"/>
    <n v="44685"/>
    <s v="Low"/>
    <s v="Adult"/>
  </r>
  <r>
    <s v="P-0229"/>
    <x v="23"/>
    <x v="4"/>
    <x v="0"/>
    <n v="60"/>
    <x v="1"/>
    <x v="2"/>
    <n v="83"/>
    <n v="9528"/>
    <n v="11.57"/>
    <n v="69"/>
    <n v="4"/>
    <n v="44113"/>
    <s v="High"/>
    <s v="Adult"/>
  </r>
  <r>
    <s v="P-0535"/>
    <x v="13"/>
    <x v="5"/>
    <x v="1"/>
    <n v="60"/>
    <x v="0"/>
    <x v="1"/>
    <n v="74"/>
    <n v="3785"/>
    <n v="20.2"/>
    <n v="101"/>
    <n v="3"/>
    <n v="21981"/>
    <s v="Low"/>
    <s v="Adult"/>
  </r>
  <r>
    <s v="P-0801"/>
    <x v="27"/>
    <x v="5"/>
    <x v="0"/>
    <n v="60"/>
    <x v="0"/>
    <x v="3"/>
    <n v="71"/>
    <n v="2555"/>
    <n v="25.07"/>
    <n v="105"/>
    <n v="3"/>
    <n v="11892"/>
    <s v="Low"/>
    <s v="Adult"/>
  </r>
  <r>
    <s v="P-0382"/>
    <x v="29"/>
    <x v="6"/>
    <x v="1"/>
    <n v="60"/>
    <x v="1"/>
    <x v="2"/>
    <n v="80"/>
    <n v="5398"/>
    <n v="16.23"/>
    <n v="97"/>
    <n v="5"/>
    <n v="27518"/>
    <s v="Moderate"/>
    <s v="Adult"/>
  </r>
  <r>
    <s v="P-0646"/>
    <x v="28"/>
    <x v="6"/>
    <x v="1"/>
    <n v="60"/>
    <x v="2"/>
    <x v="5"/>
    <n v="74"/>
    <n v="8862"/>
    <n v="21.28"/>
    <n v="95"/>
    <n v="3"/>
    <n v="52628"/>
    <s v="Low"/>
    <s v="Adult"/>
  </r>
  <r>
    <s v="P-0758"/>
    <x v="16"/>
    <x v="6"/>
    <x v="1"/>
    <n v="60"/>
    <x v="2"/>
    <x v="1"/>
    <n v="71"/>
    <n v="6857"/>
    <n v="19.96"/>
    <n v="61"/>
    <n v="4"/>
    <n v="36461"/>
    <s v="Low"/>
    <s v="Adult"/>
  </r>
  <r>
    <s v="P-0941"/>
    <x v="34"/>
    <x v="1"/>
    <x v="2"/>
    <n v="61"/>
    <x v="0"/>
    <x v="4"/>
    <n v="70"/>
    <n v="3669"/>
    <n v="11.98"/>
    <n v="90"/>
    <n v="3"/>
    <n v="18560"/>
    <s v="Low"/>
    <s v="Adult"/>
  </r>
  <r>
    <s v="P-0852"/>
    <x v="33"/>
    <x v="2"/>
    <x v="1"/>
    <n v="61"/>
    <x v="1"/>
    <x v="2"/>
    <n v="89"/>
    <n v="9085"/>
    <n v="14.21"/>
    <n v="54"/>
    <n v="4"/>
    <n v="38271"/>
    <s v="High"/>
    <s v="Adult"/>
  </r>
  <r>
    <s v="P-0926"/>
    <x v="22"/>
    <x v="2"/>
    <x v="0"/>
    <n v="61"/>
    <x v="1"/>
    <x v="5"/>
    <n v="78"/>
    <n v="6530"/>
    <n v="16.559999999999999"/>
    <n v="98"/>
    <n v="3"/>
    <n v="21346"/>
    <s v="Moderate"/>
    <s v="Adult"/>
  </r>
  <r>
    <s v="P-0360"/>
    <x v="5"/>
    <x v="3"/>
    <x v="1"/>
    <n v="61"/>
    <x v="1"/>
    <x v="1"/>
    <n v="86"/>
    <n v="4400"/>
    <n v="6.86"/>
    <n v="69"/>
    <n v="4"/>
    <n v="11985"/>
    <s v="High"/>
    <s v="Adult"/>
  </r>
  <r>
    <s v="P-0538"/>
    <x v="5"/>
    <x v="3"/>
    <x v="1"/>
    <n v="61"/>
    <x v="2"/>
    <x v="0"/>
    <n v="83"/>
    <n v="7022"/>
    <n v="12.11"/>
    <n v="81"/>
    <n v="5"/>
    <n v="23756"/>
    <s v="High"/>
    <s v="Adult"/>
  </r>
  <r>
    <s v="P-0176"/>
    <x v="13"/>
    <x v="5"/>
    <x v="0"/>
    <n v="61"/>
    <x v="0"/>
    <x v="0"/>
    <n v="77"/>
    <n v="4773"/>
    <n v="14.69"/>
    <n v="98"/>
    <n v="4"/>
    <n v="19479"/>
    <s v="Moderate"/>
    <s v="Adult"/>
  </r>
  <r>
    <s v="P-0129"/>
    <x v="16"/>
    <x v="6"/>
    <x v="2"/>
    <n v="61"/>
    <x v="0"/>
    <x v="4"/>
    <n v="80"/>
    <n v="8493"/>
    <n v="20.68"/>
    <n v="95"/>
    <n v="4"/>
    <n v="25947"/>
    <s v="Moderate"/>
    <s v="Adult"/>
  </r>
  <r>
    <s v="P-0657"/>
    <x v="19"/>
    <x v="6"/>
    <x v="1"/>
    <n v="61"/>
    <x v="2"/>
    <x v="3"/>
    <n v="67"/>
    <n v="6354"/>
    <n v="19.03"/>
    <n v="95"/>
    <n v="4"/>
    <n v="37189"/>
    <s v="Low"/>
    <s v="Adult"/>
  </r>
  <r>
    <s v="P-0683"/>
    <x v="19"/>
    <x v="6"/>
    <x v="0"/>
    <n v="61"/>
    <x v="0"/>
    <x v="5"/>
    <n v="77"/>
    <n v="6684"/>
    <n v="21.56"/>
    <n v="87"/>
    <n v="4"/>
    <n v="28228"/>
    <s v="Moderate"/>
    <s v="Adult"/>
  </r>
  <r>
    <s v="P-0055"/>
    <x v="5"/>
    <x v="3"/>
    <x v="2"/>
    <n v="62"/>
    <x v="0"/>
    <x v="3"/>
    <n v="73"/>
    <n v="9346"/>
    <n v="11.77"/>
    <n v="93"/>
    <n v="3"/>
    <n v="38533"/>
    <s v="Low"/>
    <s v="Adult"/>
  </r>
  <r>
    <s v="P-0467"/>
    <x v="32"/>
    <x v="3"/>
    <x v="1"/>
    <n v="62"/>
    <x v="1"/>
    <x v="0"/>
    <n v="82"/>
    <n v="5967"/>
    <n v="17.850000000000001"/>
    <n v="126"/>
    <n v="4"/>
    <n v="23505"/>
    <s v="Moderate"/>
    <s v="Adult"/>
  </r>
  <r>
    <s v="P-0479"/>
    <x v="36"/>
    <x v="3"/>
    <x v="0"/>
    <n v="62"/>
    <x v="0"/>
    <x v="2"/>
    <n v="78"/>
    <n v="5308"/>
    <n v="20.420000000000002"/>
    <n v="104"/>
    <n v="4"/>
    <n v="31060"/>
    <s v="Moderate"/>
    <s v="Adult"/>
  </r>
  <r>
    <s v="P-0580"/>
    <x v="32"/>
    <x v="3"/>
    <x v="0"/>
    <n v="62"/>
    <x v="1"/>
    <x v="5"/>
    <n v="76"/>
    <n v="6626"/>
    <n v="14.42"/>
    <n v="82"/>
    <n v="4"/>
    <n v="26545"/>
    <s v="Moderate"/>
    <s v="Adult"/>
  </r>
  <r>
    <s v="P-0616"/>
    <x v="36"/>
    <x v="3"/>
    <x v="1"/>
    <n v="62"/>
    <x v="2"/>
    <x v="5"/>
    <n v="79"/>
    <n v="6101"/>
    <n v="17.940000000000001"/>
    <n v="84"/>
    <n v="4"/>
    <n v="35795"/>
    <s v="Moderate"/>
    <s v="Adult"/>
  </r>
  <r>
    <s v="P-0070"/>
    <x v="23"/>
    <x v="4"/>
    <x v="0"/>
    <n v="62"/>
    <x v="0"/>
    <x v="5"/>
    <n v="70"/>
    <n v="9051"/>
    <n v="20.87"/>
    <n v="75"/>
    <n v="4"/>
    <n v="36800"/>
    <s v="Low"/>
    <s v="Adult"/>
  </r>
  <r>
    <s v="P-0937"/>
    <x v="26"/>
    <x v="4"/>
    <x v="0"/>
    <n v="62"/>
    <x v="0"/>
    <x v="1"/>
    <n v="77"/>
    <n v="8077"/>
    <n v="19.73"/>
    <n v="117"/>
    <n v="5"/>
    <n v="30644"/>
    <s v="Moderate"/>
    <s v="Adult"/>
  </r>
  <r>
    <s v="P-0960"/>
    <x v="8"/>
    <x v="4"/>
    <x v="0"/>
    <n v="62"/>
    <x v="1"/>
    <x v="5"/>
    <n v="79"/>
    <n v="8644"/>
    <n v="21.67"/>
    <n v="60"/>
    <n v="4"/>
    <n v="42582"/>
    <s v="Moderate"/>
    <s v="Adult"/>
  </r>
  <r>
    <s v="P-0247"/>
    <x v="13"/>
    <x v="5"/>
    <x v="0"/>
    <n v="62"/>
    <x v="0"/>
    <x v="4"/>
    <n v="67"/>
    <n v="3588"/>
    <n v="25.76"/>
    <n v="83"/>
    <n v="3"/>
    <n v="9386"/>
    <s v="Low"/>
    <s v="Adult"/>
  </r>
  <r>
    <s v="P-0892"/>
    <x v="28"/>
    <x v="6"/>
    <x v="1"/>
    <n v="62"/>
    <x v="1"/>
    <x v="2"/>
    <n v="85"/>
    <n v="8050"/>
    <n v="17.559999999999999"/>
    <n v="58"/>
    <n v="4"/>
    <n v="35941"/>
    <s v="High"/>
    <s v="Adult"/>
  </r>
  <r>
    <s v="P-0367"/>
    <x v="31"/>
    <x v="1"/>
    <x v="0"/>
    <n v="63"/>
    <x v="0"/>
    <x v="4"/>
    <n v="88"/>
    <n v="6504"/>
    <n v="14.43"/>
    <n v="84"/>
    <n v="4"/>
    <n v="19910"/>
    <s v="High"/>
    <s v="Adult"/>
  </r>
  <r>
    <s v="P-0470"/>
    <x v="25"/>
    <x v="2"/>
    <x v="1"/>
    <n v="63"/>
    <x v="2"/>
    <x v="3"/>
    <n v="63"/>
    <n v="10597"/>
    <n v="17.670000000000002"/>
    <n v="113"/>
    <n v="4"/>
    <n v="36726"/>
    <s v="Low"/>
    <s v="Adult"/>
  </r>
  <r>
    <s v="P-0996"/>
    <x v="22"/>
    <x v="2"/>
    <x v="1"/>
    <n v="63"/>
    <x v="2"/>
    <x v="4"/>
    <n v="78"/>
    <n v="7996"/>
    <n v="13.95"/>
    <n v="88"/>
    <n v="4"/>
    <n v="35181"/>
    <s v="Moderate"/>
    <s v="Adult"/>
  </r>
  <r>
    <s v="P-0487"/>
    <x v="27"/>
    <x v="5"/>
    <x v="1"/>
    <n v="63"/>
    <x v="1"/>
    <x v="1"/>
    <n v="82"/>
    <n v="4612"/>
    <n v="20.3"/>
    <n v="79"/>
    <n v="4"/>
    <n v="19055"/>
    <s v="Moderate"/>
    <s v="Adult"/>
  </r>
  <r>
    <s v="P-0435"/>
    <x v="19"/>
    <x v="6"/>
    <x v="1"/>
    <n v="63"/>
    <x v="1"/>
    <x v="1"/>
    <n v="81"/>
    <n v="8769"/>
    <n v="12.61"/>
    <n v="87"/>
    <n v="4"/>
    <n v="47119"/>
    <s v="Moderate"/>
    <s v="Adult"/>
  </r>
  <r>
    <s v="P-0554"/>
    <x v="11"/>
    <x v="6"/>
    <x v="0"/>
    <n v="63"/>
    <x v="1"/>
    <x v="1"/>
    <n v="72"/>
    <n v="6977"/>
    <n v="19.66"/>
    <n v="78"/>
    <n v="3"/>
    <n v="40724"/>
    <s v="Low"/>
    <s v="Adult"/>
  </r>
  <r>
    <s v="P-0509"/>
    <x v="35"/>
    <x v="0"/>
    <x v="1"/>
    <n v="64"/>
    <x v="0"/>
    <x v="4"/>
    <n v="88"/>
    <n v="3076"/>
    <n v="10.55"/>
    <n v="5"/>
    <n v="3"/>
    <n v="12162"/>
    <s v="High"/>
    <s v="Adult"/>
  </r>
  <r>
    <s v="P-0804"/>
    <x v="34"/>
    <x v="1"/>
    <x v="0"/>
    <n v="64"/>
    <x v="1"/>
    <x v="4"/>
    <n v="80"/>
    <n v="6467"/>
    <n v="15.3"/>
    <n v="63"/>
    <n v="4"/>
    <n v="33444"/>
    <s v="Moderate"/>
    <s v="Adult"/>
  </r>
  <r>
    <s v="P-0929"/>
    <x v="24"/>
    <x v="1"/>
    <x v="0"/>
    <n v="64"/>
    <x v="1"/>
    <x v="0"/>
    <n v="71"/>
    <n v="3663"/>
    <n v="15.91"/>
    <n v="97"/>
    <n v="4"/>
    <n v="18048"/>
    <s v="Low"/>
    <s v="Adult"/>
  </r>
  <r>
    <s v="P-0931"/>
    <x v="2"/>
    <x v="1"/>
    <x v="1"/>
    <n v="64"/>
    <x v="1"/>
    <x v="5"/>
    <n v="78"/>
    <n v="7480"/>
    <n v="11.97"/>
    <n v="72"/>
    <n v="4"/>
    <n v="24723"/>
    <s v="Moderate"/>
    <s v="Adult"/>
  </r>
  <r>
    <s v="P-0565"/>
    <x v="15"/>
    <x v="3"/>
    <x v="0"/>
    <n v="64"/>
    <x v="1"/>
    <x v="3"/>
    <n v="84"/>
    <n v="8591"/>
    <n v="18.309999999999999"/>
    <n v="62"/>
    <n v="4"/>
    <n v="27614"/>
    <s v="High"/>
    <s v="Adult"/>
  </r>
  <r>
    <s v="P-0104"/>
    <x v="7"/>
    <x v="4"/>
    <x v="0"/>
    <n v="64"/>
    <x v="0"/>
    <x v="0"/>
    <n v="83"/>
    <n v="8395"/>
    <n v="22.38"/>
    <n v="94"/>
    <n v="4"/>
    <n v="28564"/>
    <s v="High"/>
    <s v="Adult"/>
  </r>
  <r>
    <s v="P-0301"/>
    <x v="6"/>
    <x v="4"/>
    <x v="0"/>
    <n v="64"/>
    <x v="2"/>
    <x v="4"/>
    <n v="68"/>
    <n v="9159"/>
    <n v="17.79"/>
    <n v="119"/>
    <n v="3"/>
    <n v="47960"/>
    <s v="Low"/>
    <s v="Adult"/>
  </r>
  <r>
    <s v="P-0400"/>
    <x v="23"/>
    <x v="4"/>
    <x v="0"/>
    <n v="64"/>
    <x v="0"/>
    <x v="0"/>
    <n v="75"/>
    <n v="9941"/>
    <n v="22.32"/>
    <n v="104"/>
    <n v="4"/>
    <n v="52785"/>
    <s v="Low"/>
    <s v="Adult"/>
  </r>
  <r>
    <s v="P-0459"/>
    <x v="8"/>
    <x v="4"/>
    <x v="0"/>
    <n v="64"/>
    <x v="2"/>
    <x v="4"/>
    <n v="82"/>
    <n v="9852"/>
    <n v="15.93"/>
    <n v="74"/>
    <n v="3"/>
    <n v="26373"/>
    <s v="Moderate"/>
    <s v="Adult"/>
  </r>
  <r>
    <s v="P-0771"/>
    <x v="8"/>
    <x v="4"/>
    <x v="0"/>
    <n v="64"/>
    <x v="1"/>
    <x v="5"/>
    <n v="82"/>
    <n v="7920"/>
    <n v="10.76"/>
    <n v="94"/>
    <n v="4"/>
    <n v="22260"/>
    <s v="Moderate"/>
    <s v="Adult"/>
  </r>
  <r>
    <s v="P-0049"/>
    <x v="27"/>
    <x v="5"/>
    <x v="0"/>
    <n v="64"/>
    <x v="0"/>
    <x v="3"/>
    <n v="75"/>
    <n v="2922"/>
    <n v="16.71"/>
    <n v="107"/>
    <n v="4"/>
    <n v="13627"/>
    <s v="Low"/>
    <s v="Adult"/>
  </r>
  <r>
    <s v="P-0904"/>
    <x v="27"/>
    <x v="5"/>
    <x v="1"/>
    <n v="64"/>
    <x v="1"/>
    <x v="5"/>
    <n v="63"/>
    <n v="2490"/>
    <n v="21.31"/>
    <n v="135"/>
    <n v="3"/>
    <n v="12491"/>
    <s v="Low"/>
    <s v="Adult"/>
  </r>
  <r>
    <s v="P-0121"/>
    <x v="28"/>
    <x v="6"/>
    <x v="1"/>
    <n v="64"/>
    <x v="2"/>
    <x v="3"/>
    <n v="70"/>
    <n v="6930"/>
    <n v="18.7"/>
    <n v="80"/>
    <n v="4"/>
    <n v="41365"/>
    <s v="Low"/>
    <s v="Adult"/>
  </r>
  <r>
    <s v="P-0553"/>
    <x v="21"/>
    <x v="0"/>
    <x v="1"/>
    <n v="65"/>
    <x v="2"/>
    <x v="1"/>
    <n v="81"/>
    <n v="2108"/>
    <n v="1.96"/>
    <n v="35"/>
    <n v="4"/>
    <n v="8349"/>
    <s v="Moderate"/>
    <s v="Adult"/>
  </r>
  <r>
    <s v="P-0147"/>
    <x v="2"/>
    <x v="1"/>
    <x v="1"/>
    <n v="65"/>
    <x v="0"/>
    <x v="2"/>
    <n v="91"/>
    <n v="7580"/>
    <n v="12.79"/>
    <n v="64"/>
    <n v="4"/>
    <n v="32915"/>
    <s v="High"/>
    <s v="Adult"/>
  </r>
  <r>
    <s v="P-0545"/>
    <x v="34"/>
    <x v="1"/>
    <x v="2"/>
    <n v="65"/>
    <x v="0"/>
    <x v="2"/>
    <n v="75"/>
    <n v="9891"/>
    <n v="21.23"/>
    <n v="71"/>
    <n v="4"/>
    <n v="47684"/>
    <s v="Low"/>
    <s v="Adult"/>
  </r>
  <r>
    <s v="P-0169"/>
    <x v="25"/>
    <x v="2"/>
    <x v="1"/>
    <n v="65"/>
    <x v="0"/>
    <x v="1"/>
    <n v="74"/>
    <n v="10214"/>
    <n v="16.260000000000002"/>
    <n v="128"/>
    <n v="4"/>
    <n v="59694"/>
    <s v="Low"/>
    <s v="Adult"/>
  </r>
  <r>
    <s v="P-0989"/>
    <x v="25"/>
    <x v="2"/>
    <x v="0"/>
    <n v="65"/>
    <x v="1"/>
    <x v="5"/>
    <n v="79"/>
    <n v="10791"/>
    <n v="17.440000000000001"/>
    <n v="78"/>
    <n v="4"/>
    <n v="42011"/>
    <s v="Moderate"/>
    <s v="Adult"/>
  </r>
  <r>
    <s v="P-0372"/>
    <x v="32"/>
    <x v="3"/>
    <x v="0"/>
    <n v="65"/>
    <x v="0"/>
    <x v="3"/>
    <n v="74"/>
    <n v="7213"/>
    <n v="23.88"/>
    <n v="85"/>
    <n v="3"/>
    <n v="20991"/>
    <s v="Low"/>
    <s v="Adult"/>
  </r>
  <r>
    <s v="P-0453"/>
    <x v="6"/>
    <x v="4"/>
    <x v="0"/>
    <n v="65"/>
    <x v="0"/>
    <x v="3"/>
    <n v="69"/>
    <n v="8766"/>
    <n v="19.32"/>
    <n v="106"/>
    <n v="4"/>
    <n v="52299"/>
    <s v="Low"/>
    <s v="Adult"/>
  </r>
  <r>
    <s v="P-0056"/>
    <x v="19"/>
    <x v="6"/>
    <x v="1"/>
    <n v="65"/>
    <x v="0"/>
    <x v="0"/>
    <n v="83"/>
    <n v="4322"/>
    <n v="17.45"/>
    <n v="48"/>
    <n v="5"/>
    <n v="13264"/>
    <s v="High"/>
    <s v="Adult"/>
  </r>
  <r>
    <s v="P-0164"/>
    <x v="16"/>
    <x v="6"/>
    <x v="0"/>
    <n v="65"/>
    <x v="2"/>
    <x v="1"/>
    <n v="77"/>
    <n v="7476"/>
    <n v="21.74"/>
    <n v="79"/>
    <n v="4"/>
    <n v="29264"/>
    <s v="Moderate"/>
    <s v="Adult"/>
  </r>
  <r>
    <s v="P-0737"/>
    <x v="29"/>
    <x v="6"/>
    <x v="0"/>
    <n v="65"/>
    <x v="2"/>
    <x v="4"/>
    <n v="84"/>
    <n v="5972"/>
    <n v="15.43"/>
    <n v="94"/>
    <n v="4"/>
    <n v="15083"/>
    <s v="High"/>
    <s v="Adult"/>
  </r>
  <r>
    <s v="P-0666"/>
    <x v="1"/>
    <x v="0"/>
    <x v="1"/>
    <n v="66"/>
    <x v="1"/>
    <x v="5"/>
    <n v="82"/>
    <n v="1954"/>
    <n v="8.18"/>
    <n v="68"/>
    <n v="4"/>
    <n v="10224"/>
    <s v="Moderate"/>
    <s v="Adult"/>
  </r>
  <r>
    <s v="P-0886"/>
    <x v="21"/>
    <x v="0"/>
    <x v="0"/>
    <n v="66"/>
    <x v="0"/>
    <x v="2"/>
    <n v="88"/>
    <n v="1911"/>
    <n v="5.91"/>
    <n v="41"/>
    <n v="5"/>
    <n v="9129"/>
    <s v="High"/>
    <s v="Adult"/>
  </r>
  <r>
    <s v="P-0150"/>
    <x v="2"/>
    <x v="1"/>
    <x v="1"/>
    <n v="66"/>
    <x v="0"/>
    <x v="2"/>
    <n v="69"/>
    <n v="7119"/>
    <n v="15.49"/>
    <n v="72"/>
    <n v="3"/>
    <n v="27042"/>
    <s v="Low"/>
    <s v="Adult"/>
  </r>
  <r>
    <s v="P-0338"/>
    <x v="34"/>
    <x v="1"/>
    <x v="1"/>
    <n v="66"/>
    <x v="2"/>
    <x v="3"/>
    <n v="65"/>
    <n v="6760"/>
    <n v="12.35"/>
    <n v="93"/>
    <n v="3"/>
    <n v="20757"/>
    <s v="Low"/>
    <s v="Adult"/>
  </r>
  <r>
    <s v="P-0063"/>
    <x v="4"/>
    <x v="2"/>
    <x v="1"/>
    <n v="66"/>
    <x v="2"/>
    <x v="5"/>
    <n v="85"/>
    <n v="6106"/>
    <n v="5.84"/>
    <n v="44"/>
    <n v="5"/>
    <n v="26249"/>
    <s v="High"/>
    <s v="Adult"/>
  </r>
  <r>
    <s v="P-0794"/>
    <x v="32"/>
    <x v="3"/>
    <x v="0"/>
    <n v="66"/>
    <x v="0"/>
    <x v="5"/>
    <n v="77"/>
    <n v="7093"/>
    <n v="14"/>
    <n v="60"/>
    <n v="4"/>
    <n v="40299"/>
    <s v="Moderate"/>
    <s v="Adult"/>
  </r>
  <r>
    <s v="P-0472"/>
    <x v="17"/>
    <x v="5"/>
    <x v="1"/>
    <n v="66"/>
    <x v="0"/>
    <x v="4"/>
    <n v="75"/>
    <n v="3299"/>
    <n v="9.5399999999999991"/>
    <n v="116"/>
    <n v="4"/>
    <n v="13620"/>
    <s v="Low"/>
    <s v="Adult"/>
  </r>
  <r>
    <s v="P-0681"/>
    <x v="27"/>
    <x v="5"/>
    <x v="0"/>
    <n v="66"/>
    <x v="0"/>
    <x v="3"/>
    <n v="74"/>
    <n v="2418"/>
    <n v="15.84"/>
    <n v="118"/>
    <n v="4"/>
    <n v="9837"/>
    <s v="Low"/>
    <s v="Adult"/>
  </r>
  <r>
    <s v="P-0790"/>
    <x v="10"/>
    <x v="5"/>
    <x v="0"/>
    <n v="66"/>
    <x v="1"/>
    <x v="5"/>
    <n v="69"/>
    <n v="3421"/>
    <n v="23.77"/>
    <n v="95"/>
    <n v="3"/>
    <n v="19717"/>
    <s v="Low"/>
    <s v="Adult"/>
  </r>
  <r>
    <s v="P-0163"/>
    <x v="1"/>
    <x v="0"/>
    <x v="0"/>
    <n v="67"/>
    <x v="0"/>
    <x v="4"/>
    <n v="94"/>
    <n v="2819"/>
    <n v="0.43"/>
    <n v="68"/>
    <n v="4"/>
    <n v="8099"/>
    <s v="High"/>
    <s v="Adult"/>
  </r>
  <r>
    <s v="P-0155"/>
    <x v="32"/>
    <x v="3"/>
    <x v="1"/>
    <n v="67"/>
    <x v="0"/>
    <x v="4"/>
    <n v="76"/>
    <n v="6028"/>
    <n v="10.52"/>
    <n v="55"/>
    <n v="4"/>
    <n v="31388"/>
    <s v="Moderate"/>
    <s v="Adult"/>
  </r>
  <r>
    <s v="P-0433"/>
    <x v="36"/>
    <x v="3"/>
    <x v="0"/>
    <n v="67"/>
    <x v="2"/>
    <x v="0"/>
    <n v="78"/>
    <n v="5428"/>
    <n v="12.57"/>
    <n v="67"/>
    <n v="3"/>
    <n v="21738"/>
    <s v="Moderate"/>
    <s v="Adult"/>
  </r>
  <r>
    <s v="P-0136"/>
    <x v="8"/>
    <x v="4"/>
    <x v="1"/>
    <n v="67"/>
    <x v="1"/>
    <x v="4"/>
    <n v="73"/>
    <n v="8599"/>
    <n v="12.41"/>
    <n v="121"/>
    <n v="4"/>
    <n v="40714"/>
    <s v="Low"/>
    <s v="Adult"/>
  </r>
  <r>
    <s v="P-0288"/>
    <x v="23"/>
    <x v="4"/>
    <x v="1"/>
    <n v="67"/>
    <x v="0"/>
    <x v="3"/>
    <n v="75"/>
    <n v="7390"/>
    <n v="14.26"/>
    <n v="84"/>
    <n v="4"/>
    <n v="18845"/>
    <s v="Low"/>
    <s v="Adult"/>
  </r>
  <r>
    <s v="P-0161"/>
    <x v="16"/>
    <x v="6"/>
    <x v="1"/>
    <n v="67"/>
    <x v="2"/>
    <x v="4"/>
    <n v="78"/>
    <n v="7857"/>
    <n v="11.79"/>
    <n v="64"/>
    <n v="5"/>
    <n v="43515"/>
    <s v="Moderate"/>
    <s v="Adult"/>
  </r>
  <r>
    <s v="P-0286"/>
    <x v="21"/>
    <x v="0"/>
    <x v="1"/>
    <n v="68"/>
    <x v="1"/>
    <x v="0"/>
    <n v="97"/>
    <n v="2432"/>
    <n v="9.01"/>
    <n v="40"/>
    <n v="5"/>
    <n v="13965"/>
    <s v="High"/>
    <s v="Adult"/>
  </r>
  <r>
    <s v="P-0932"/>
    <x v="1"/>
    <x v="0"/>
    <x v="0"/>
    <n v="68"/>
    <x v="1"/>
    <x v="3"/>
    <n v="88"/>
    <n v="2569"/>
    <n v="0"/>
    <n v="38"/>
    <n v="5"/>
    <n v="12196"/>
    <s v="High"/>
    <s v="Adult"/>
  </r>
  <r>
    <s v="P-0010"/>
    <x v="24"/>
    <x v="1"/>
    <x v="0"/>
    <n v="68"/>
    <x v="2"/>
    <x v="4"/>
    <n v="76"/>
    <n v="7001"/>
    <n v="13.19"/>
    <n v="57"/>
    <n v="4"/>
    <n v="34979"/>
    <s v="Moderate"/>
    <s v="Adult"/>
  </r>
  <r>
    <s v="P-0350"/>
    <x v="31"/>
    <x v="1"/>
    <x v="0"/>
    <n v="68"/>
    <x v="0"/>
    <x v="1"/>
    <n v="79"/>
    <n v="4110"/>
    <n v="15.7"/>
    <n v="95"/>
    <n v="3"/>
    <n v="22733"/>
    <s v="Moderate"/>
    <s v="Adult"/>
  </r>
  <r>
    <s v="P-0478"/>
    <x v="25"/>
    <x v="2"/>
    <x v="1"/>
    <n v="68"/>
    <x v="0"/>
    <x v="4"/>
    <n v="76"/>
    <n v="4847"/>
    <n v="16.829999999999998"/>
    <n v="55"/>
    <n v="4"/>
    <n v="18937"/>
    <s v="Moderate"/>
    <s v="Adult"/>
  </r>
  <r>
    <s v="P-0486"/>
    <x v="33"/>
    <x v="2"/>
    <x v="1"/>
    <n v="68"/>
    <x v="1"/>
    <x v="4"/>
    <n v="85"/>
    <n v="9051"/>
    <n v="8.92"/>
    <n v="125"/>
    <n v="4"/>
    <n v="30620"/>
    <s v="High"/>
    <s v="Adult"/>
  </r>
  <r>
    <s v="P-0655"/>
    <x v="4"/>
    <x v="2"/>
    <x v="2"/>
    <n v="68"/>
    <x v="2"/>
    <x v="5"/>
    <n v="68"/>
    <n v="9348"/>
    <n v="18.649999999999999"/>
    <n v="116"/>
    <n v="3"/>
    <n v="27496"/>
    <s v="Low"/>
    <s v="Adult"/>
  </r>
  <r>
    <s v="P-0855"/>
    <x v="33"/>
    <x v="2"/>
    <x v="0"/>
    <n v="68"/>
    <x v="2"/>
    <x v="3"/>
    <n v="92"/>
    <n v="4313"/>
    <n v="12.56"/>
    <n v="82"/>
    <n v="5"/>
    <n v="13636"/>
    <s v="High"/>
    <s v="Adult"/>
  </r>
  <r>
    <s v="P-0277"/>
    <x v="26"/>
    <x v="4"/>
    <x v="1"/>
    <n v="68"/>
    <x v="1"/>
    <x v="5"/>
    <n v="65"/>
    <n v="8806"/>
    <n v="18.79"/>
    <n v="102"/>
    <n v="3"/>
    <n v="38701"/>
    <s v="Low"/>
    <s v="Adult"/>
  </r>
  <r>
    <s v="P-0563"/>
    <x v="23"/>
    <x v="4"/>
    <x v="1"/>
    <n v="68"/>
    <x v="0"/>
    <x v="1"/>
    <n v="80"/>
    <n v="8635"/>
    <n v="14.89"/>
    <n v="104"/>
    <n v="3"/>
    <n v="32345"/>
    <s v="Moderate"/>
    <s v="Adult"/>
  </r>
  <r>
    <s v="P-0122"/>
    <x v="13"/>
    <x v="5"/>
    <x v="1"/>
    <n v="68"/>
    <x v="0"/>
    <x v="0"/>
    <n v="66"/>
    <n v="2401"/>
    <n v="18.3"/>
    <n v="142"/>
    <n v="3"/>
    <n v="7569"/>
    <s v="Low"/>
    <s v="Adult"/>
  </r>
  <r>
    <s v="P-0811"/>
    <x v="27"/>
    <x v="5"/>
    <x v="0"/>
    <n v="68"/>
    <x v="2"/>
    <x v="0"/>
    <n v="69"/>
    <n v="3853"/>
    <n v="20.51"/>
    <n v="79"/>
    <n v="3"/>
    <n v="16827"/>
    <s v="Low"/>
    <s v="Adult"/>
  </r>
  <r>
    <s v="P-0165"/>
    <x v="16"/>
    <x v="6"/>
    <x v="1"/>
    <n v="68"/>
    <x v="1"/>
    <x v="5"/>
    <n v="77"/>
    <n v="7836"/>
    <n v="18.8"/>
    <n v="60"/>
    <n v="4"/>
    <n v="42019"/>
    <s v="Moderate"/>
    <s v="Adult"/>
  </r>
  <r>
    <s v="P-0838"/>
    <x v="28"/>
    <x v="6"/>
    <x v="0"/>
    <n v="68"/>
    <x v="0"/>
    <x v="0"/>
    <n v="68"/>
    <n v="7399"/>
    <n v="16.559999999999999"/>
    <n v="125"/>
    <n v="3"/>
    <n v="26325"/>
    <s v="Low"/>
    <s v="Adult"/>
  </r>
  <r>
    <s v="P-0897"/>
    <x v="1"/>
    <x v="0"/>
    <x v="1"/>
    <n v="69"/>
    <x v="1"/>
    <x v="1"/>
    <n v="86"/>
    <n v="2452"/>
    <n v="3.67"/>
    <n v="47"/>
    <n v="4"/>
    <n v="6751"/>
    <s v="High"/>
    <s v="Adult"/>
  </r>
  <r>
    <s v="P-0674"/>
    <x v="34"/>
    <x v="1"/>
    <x v="1"/>
    <n v="69"/>
    <x v="0"/>
    <x v="5"/>
    <n v="77"/>
    <n v="8131"/>
    <n v="10.16"/>
    <n v="74"/>
    <n v="4"/>
    <n v="30607"/>
    <s v="Moderate"/>
    <s v="Adult"/>
  </r>
  <r>
    <s v="P-0332"/>
    <x v="36"/>
    <x v="3"/>
    <x v="1"/>
    <n v="69"/>
    <x v="0"/>
    <x v="5"/>
    <n v="67"/>
    <n v="6172"/>
    <n v="19.53"/>
    <n v="106"/>
    <n v="3"/>
    <n v="30824"/>
    <s v="Low"/>
    <s v="Adult"/>
  </r>
  <r>
    <s v="P-0048"/>
    <x v="6"/>
    <x v="4"/>
    <x v="1"/>
    <n v="69"/>
    <x v="1"/>
    <x v="4"/>
    <n v="73"/>
    <n v="10387"/>
    <n v="19.670000000000002"/>
    <n v="71"/>
    <n v="4"/>
    <n v="45945"/>
    <s v="Low"/>
    <s v="Adult"/>
  </r>
  <r>
    <s v="P-0140"/>
    <x v="8"/>
    <x v="4"/>
    <x v="0"/>
    <n v="69"/>
    <x v="1"/>
    <x v="4"/>
    <n v="75"/>
    <n v="7144"/>
    <n v="16.8"/>
    <n v="104"/>
    <n v="3"/>
    <n v="28619"/>
    <s v="Low"/>
    <s v="Adult"/>
  </r>
  <r>
    <s v="P-0178"/>
    <x v="7"/>
    <x v="4"/>
    <x v="1"/>
    <n v="69"/>
    <x v="2"/>
    <x v="2"/>
    <n v="77"/>
    <n v="6233"/>
    <n v="18.07"/>
    <n v="127"/>
    <n v="3"/>
    <n v="26419"/>
    <s v="Moderate"/>
    <s v="Adult"/>
  </r>
  <r>
    <s v="P-0518"/>
    <x v="23"/>
    <x v="4"/>
    <x v="1"/>
    <n v="69"/>
    <x v="0"/>
    <x v="1"/>
    <n v="78"/>
    <n v="6081"/>
    <n v="18.73"/>
    <n v="82"/>
    <n v="5"/>
    <n v="32149"/>
    <s v="Moderate"/>
    <s v="Adult"/>
  </r>
  <r>
    <s v="P-0245"/>
    <x v="13"/>
    <x v="5"/>
    <x v="0"/>
    <n v="69"/>
    <x v="0"/>
    <x v="3"/>
    <n v="71"/>
    <n v="4198"/>
    <n v="16.27"/>
    <n v="140"/>
    <n v="4"/>
    <n v="19812"/>
    <s v="Low"/>
    <s v="Adult"/>
  </r>
  <r>
    <s v="P-0460"/>
    <x v="10"/>
    <x v="5"/>
    <x v="1"/>
    <n v="69"/>
    <x v="2"/>
    <x v="1"/>
    <n v="75"/>
    <n v="3086"/>
    <n v="20.62"/>
    <n v="104"/>
    <n v="4"/>
    <n v="17764"/>
    <s v="Low"/>
    <s v="Adult"/>
  </r>
  <r>
    <s v="P-0502"/>
    <x v="10"/>
    <x v="5"/>
    <x v="1"/>
    <n v="69"/>
    <x v="0"/>
    <x v="1"/>
    <n v="68"/>
    <n v="2434"/>
    <n v="24.99"/>
    <n v="121"/>
    <n v="4"/>
    <n v="11239"/>
    <s v="Low"/>
    <s v="Adult"/>
  </r>
  <r>
    <s v="P-0377"/>
    <x v="16"/>
    <x v="6"/>
    <x v="2"/>
    <n v="69"/>
    <x v="1"/>
    <x v="5"/>
    <n v="82"/>
    <n v="6940"/>
    <n v="16.23"/>
    <n v="75"/>
    <n v="3"/>
    <n v="40864"/>
    <s v="Moderate"/>
    <s v="Adult"/>
  </r>
  <r>
    <s v="P-0417"/>
    <x v="16"/>
    <x v="6"/>
    <x v="1"/>
    <n v="69"/>
    <x v="2"/>
    <x v="0"/>
    <n v="84"/>
    <n v="5994"/>
    <n v="15.08"/>
    <n v="74"/>
    <n v="4"/>
    <n v="31682"/>
    <s v="High"/>
    <s v="Adult"/>
  </r>
  <r>
    <s v="P-0514"/>
    <x v="28"/>
    <x v="6"/>
    <x v="1"/>
    <n v="69"/>
    <x v="1"/>
    <x v="0"/>
    <n v="76"/>
    <n v="7475"/>
    <n v="17.13"/>
    <n v="90"/>
    <n v="4"/>
    <n v="22349"/>
    <s v="Moderate"/>
    <s v="Adult"/>
  </r>
  <r>
    <s v="P-0604"/>
    <x v="19"/>
    <x v="6"/>
    <x v="1"/>
    <n v="69"/>
    <x v="2"/>
    <x v="3"/>
    <n v="75"/>
    <n v="8476"/>
    <n v="15.25"/>
    <n v="75"/>
    <n v="3"/>
    <n v="43623"/>
    <s v="Low"/>
    <s v="Adult"/>
  </r>
  <r>
    <s v="P-0088"/>
    <x v="21"/>
    <x v="0"/>
    <x v="1"/>
    <n v="70"/>
    <x v="0"/>
    <x v="1"/>
    <n v="94"/>
    <n v="2286"/>
    <n v="2.79"/>
    <n v="36"/>
    <n v="5"/>
    <n v="10844"/>
    <s v="High"/>
    <s v="Adult"/>
  </r>
  <r>
    <s v="P-0871"/>
    <x v="2"/>
    <x v="1"/>
    <x v="0"/>
    <n v="70"/>
    <x v="1"/>
    <x v="2"/>
    <n v="84"/>
    <n v="5718"/>
    <n v="8.43"/>
    <n v="83"/>
    <n v="3"/>
    <n v="31528"/>
    <s v="High"/>
    <s v="Adult"/>
  </r>
  <r>
    <s v="P-0837"/>
    <x v="22"/>
    <x v="2"/>
    <x v="0"/>
    <n v="70"/>
    <x v="1"/>
    <x v="1"/>
    <n v="80"/>
    <n v="5970"/>
    <n v="13.33"/>
    <n v="70"/>
    <n v="3"/>
    <n v="18006"/>
    <s v="Moderate"/>
    <s v="Adult"/>
  </r>
  <r>
    <s v="P-0515"/>
    <x v="27"/>
    <x v="5"/>
    <x v="0"/>
    <n v="70"/>
    <x v="0"/>
    <x v="0"/>
    <n v="78"/>
    <n v="3851"/>
    <n v="8.0299999999999994"/>
    <n v="65"/>
    <n v="5"/>
    <n v="11420"/>
    <s v="Moderate"/>
    <s v="Adult"/>
  </r>
  <r>
    <s v="P-0541"/>
    <x v="16"/>
    <x v="6"/>
    <x v="1"/>
    <n v="70"/>
    <x v="2"/>
    <x v="2"/>
    <n v="81"/>
    <n v="7746"/>
    <n v="19.36"/>
    <n v="81"/>
    <n v="4"/>
    <n v="29205"/>
    <s v="Moderate"/>
    <s v="Adult"/>
  </r>
  <r>
    <s v="P-0622"/>
    <x v="11"/>
    <x v="6"/>
    <x v="1"/>
    <n v="70"/>
    <x v="0"/>
    <x v="4"/>
    <n v="76"/>
    <n v="6445"/>
    <n v="11.48"/>
    <n v="72"/>
    <n v="3"/>
    <n v="33747"/>
    <s v="Moderate"/>
    <s v="Adult"/>
  </r>
  <r>
    <s v="P-0601"/>
    <x v="21"/>
    <x v="0"/>
    <x v="0"/>
    <n v="71"/>
    <x v="1"/>
    <x v="2"/>
    <n v="93"/>
    <n v="2929"/>
    <n v="5.32"/>
    <n v="40"/>
    <n v="4"/>
    <n v="8693"/>
    <s v="High"/>
    <s v="Adult"/>
  </r>
  <r>
    <s v="P-0982"/>
    <x v="2"/>
    <x v="1"/>
    <x v="1"/>
    <n v="71"/>
    <x v="1"/>
    <x v="4"/>
    <n v="77"/>
    <n v="6172"/>
    <n v="11.66"/>
    <n v="100"/>
    <n v="4"/>
    <n v="31972"/>
    <s v="Moderate"/>
    <s v="Adult"/>
  </r>
  <r>
    <s v="P-0128"/>
    <x v="25"/>
    <x v="2"/>
    <x v="0"/>
    <n v="71"/>
    <x v="2"/>
    <x v="3"/>
    <n v="81"/>
    <n v="5376"/>
    <n v="15.85"/>
    <n v="57"/>
    <n v="4"/>
    <n v="25829"/>
    <s v="Moderate"/>
    <s v="Adult"/>
  </r>
  <r>
    <s v="P-0243"/>
    <x v="33"/>
    <x v="2"/>
    <x v="0"/>
    <n v="71"/>
    <x v="1"/>
    <x v="3"/>
    <n v="86"/>
    <n v="4605"/>
    <n v="11.57"/>
    <n v="77"/>
    <n v="4"/>
    <n v="16915"/>
    <s v="High"/>
    <s v="Adult"/>
  </r>
  <r>
    <s v="P-0184"/>
    <x v="26"/>
    <x v="4"/>
    <x v="0"/>
    <n v="71"/>
    <x v="0"/>
    <x v="2"/>
    <n v="81"/>
    <n v="8038"/>
    <n v="11.37"/>
    <n v="70"/>
    <n v="4"/>
    <n v="43783"/>
    <s v="Moderate"/>
    <s v="Adult"/>
  </r>
  <r>
    <s v="P-0526"/>
    <x v="8"/>
    <x v="4"/>
    <x v="1"/>
    <n v="71"/>
    <x v="2"/>
    <x v="0"/>
    <n v="79"/>
    <n v="8806"/>
    <n v="21"/>
    <n v="118"/>
    <n v="4"/>
    <n v="42944"/>
    <s v="Moderate"/>
    <s v="Adult"/>
  </r>
  <r>
    <s v="P-0562"/>
    <x v="23"/>
    <x v="4"/>
    <x v="1"/>
    <n v="71"/>
    <x v="2"/>
    <x v="1"/>
    <n v="77"/>
    <n v="11154"/>
    <n v="11.1"/>
    <n v="83"/>
    <n v="4"/>
    <n v="64506"/>
    <s v="Moderate"/>
    <s v="Adult"/>
  </r>
  <r>
    <s v="P-0032"/>
    <x v="28"/>
    <x v="6"/>
    <x v="0"/>
    <n v="71"/>
    <x v="1"/>
    <x v="3"/>
    <n v="68"/>
    <n v="7325"/>
    <n v="16.7"/>
    <n v="104"/>
    <n v="3"/>
    <n v="20721"/>
    <s v="Low"/>
    <s v="Adult"/>
  </r>
  <r>
    <s v="P-0516"/>
    <x v="1"/>
    <x v="0"/>
    <x v="0"/>
    <n v="72"/>
    <x v="0"/>
    <x v="4"/>
    <n v="97"/>
    <n v="1186"/>
    <n v="2.91"/>
    <n v="21"/>
    <n v="4"/>
    <n v="5354"/>
    <s v="High"/>
    <s v="Adult"/>
  </r>
  <r>
    <s v="P-0014"/>
    <x v="30"/>
    <x v="1"/>
    <x v="0"/>
    <n v="72"/>
    <x v="0"/>
    <x v="4"/>
    <n v="77"/>
    <n v="5628"/>
    <n v="14.69"/>
    <n v="78"/>
    <n v="4"/>
    <n v="22483"/>
    <s v="Moderate"/>
    <s v="Adult"/>
  </r>
  <r>
    <s v="P-0669"/>
    <x v="31"/>
    <x v="1"/>
    <x v="0"/>
    <n v="72"/>
    <x v="2"/>
    <x v="1"/>
    <n v="79"/>
    <n v="7047"/>
    <n v="8.14"/>
    <n v="91"/>
    <n v="4"/>
    <n v="33076"/>
    <s v="Moderate"/>
    <s v="Adult"/>
  </r>
  <r>
    <s v="P-0793"/>
    <x v="22"/>
    <x v="2"/>
    <x v="1"/>
    <n v="72"/>
    <x v="1"/>
    <x v="0"/>
    <n v="83"/>
    <n v="5870"/>
    <n v="5.29"/>
    <n v="49"/>
    <n v="4"/>
    <n v="19333"/>
    <s v="High"/>
    <s v="Adult"/>
  </r>
  <r>
    <s v="P-0022"/>
    <x v="7"/>
    <x v="4"/>
    <x v="0"/>
    <n v="72"/>
    <x v="0"/>
    <x v="3"/>
    <n v="62"/>
    <n v="8415"/>
    <n v="16.18"/>
    <n v="145"/>
    <n v="4"/>
    <n v="31322"/>
    <s v="Low"/>
    <s v="Adult"/>
  </r>
  <r>
    <s v="P-0676"/>
    <x v="17"/>
    <x v="5"/>
    <x v="0"/>
    <n v="72"/>
    <x v="2"/>
    <x v="3"/>
    <n v="81"/>
    <n v="4148"/>
    <n v="18.91"/>
    <n v="103"/>
    <n v="3"/>
    <n v="19516"/>
    <s v="Moderate"/>
    <s v="Adult"/>
  </r>
  <r>
    <s v="P-0596"/>
    <x v="16"/>
    <x v="6"/>
    <x v="2"/>
    <n v="72"/>
    <x v="2"/>
    <x v="5"/>
    <n v="82"/>
    <n v="7329"/>
    <n v="13.84"/>
    <n v="52"/>
    <n v="4"/>
    <n v="21557"/>
    <s v="Moderate"/>
    <s v="Adult"/>
  </r>
  <r>
    <s v="P-0990"/>
    <x v="2"/>
    <x v="1"/>
    <x v="1"/>
    <n v="73"/>
    <x v="0"/>
    <x v="4"/>
    <n v="84"/>
    <n v="4341"/>
    <n v="5.76"/>
    <n v="76"/>
    <n v="4"/>
    <n v="17130"/>
    <s v="High"/>
    <s v="Adult"/>
  </r>
  <r>
    <s v="P-0117"/>
    <x v="25"/>
    <x v="2"/>
    <x v="1"/>
    <n v="73"/>
    <x v="2"/>
    <x v="0"/>
    <n v="82"/>
    <n v="9650"/>
    <n v="8.06"/>
    <n v="83"/>
    <n v="4"/>
    <n v="31993"/>
    <s v="Moderate"/>
    <s v="Adult"/>
  </r>
  <r>
    <s v="P-0019"/>
    <x v="8"/>
    <x v="4"/>
    <x v="1"/>
    <n v="73"/>
    <x v="0"/>
    <x v="1"/>
    <n v="69"/>
    <n v="10056"/>
    <n v="25.76"/>
    <n v="66"/>
    <n v="3"/>
    <n v="26575"/>
    <s v="Low"/>
    <s v="Adult"/>
  </r>
  <r>
    <s v="P-0927"/>
    <x v="11"/>
    <x v="6"/>
    <x v="0"/>
    <n v="73"/>
    <x v="1"/>
    <x v="5"/>
    <n v="77"/>
    <n v="6661"/>
    <n v="21.87"/>
    <n v="78"/>
    <n v="4"/>
    <n v="31917"/>
    <s v="Moderate"/>
    <s v="Adult"/>
  </r>
  <r>
    <s v="P-0623"/>
    <x v="1"/>
    <x v="0"/>
    <x v="2"/>
    <n v="74"/>
    <x v="2"/>
    <x v="3"/>
    <n v="82"/>
    <n v="1579"/>
    <n v="8.57"/>
    <n v="43"/>
    <n v="4"/>
    <n v="5187"/>
    <s v="Moderate"/>
    <s v="Adult"/>
  </r>
  <r>
    <s v="P-0206"/>
    <x v="2"/>
    <x v="1"/>
    <x v="0"/>
    <n v="74"/>
    <x v="2"/>
    <x v="5"/>
    <n v="70"/>
    <n v="6894"/>
    <n v="14.37"/>
    <n v="110"/>
    <n v="4"/>
    <n v="25397"/>
    <s v="Low"/>
    <s v="Adult"/>
  </r>
  <r>
    <s v="P-0597"/>
    <x v="2"/>
    <x v="1"/>
    <x v="0"/>
    <n v="74"/>
    <x v="0"/>
    <x v="3"/>
    <n v="83"/>
    <n v="7154"/>
    <n v="11.05"/>
    <n v="83"/>
    <n v="4"/>
    <n v="33496"/>
    <s v="High"/>
    <s v="Adult"/>
  </r>
  <r>
    <s v="P-0321"/>
    <x v="4"/>
    <x v="2"/>
    <x v="1"/>
    <n v="74"/>
    <x v="2"/>
    <x v="3"/>
    <n v="71"/>
    <n v="7499"/>
    <n v="14"/>
    <n v="87"/>
    <n v="4"/>
    <n v="27190"/>
    <s v="Low"/>
    <s v="Adult"/>
  </r>
  <r>
    <s v="P-0415"/>
    <x v="33"/>
    <x v="2"/>
    <x v="0"/>
    <n v="74"/>
    <x v="0"/>
    <x v="4"/>
    <n v="80"/>
    <n v="8346"/>
    <n v="9.61"/>
    <n v="56"/>
    <n v="4"/>
    <n v="27253"/>
    <s v="Moderate"/>
    <s v="Adult"/>
  </r>
  <r>
    <s v="P-0292"/>
    <x v="15"/>
    <x v="3"/>
    <x v="1"/>
    <n v="74"/>
    <x v="2"/>
    <x v="3"/>
    <n v="75"/>
    <n v="6267"/>
    <n v="15.33"/>
    <n v="90"/>
    <n v="3"/>
    <n v="22144"/>
    <s v="Low"/>
    <s v="Adult"/>
  </r>
  <r>
    <s v="P-0689"/>
    <x v="8"/>
    <x v="4"/>
    <x v="1"/>
    <n v="74"/>
    <x v="1"/>
    <x v="4"/>
    <n v="71"/>
    <n v="7133"/>
    <n v="19.66"/>
    <n v="81"/>
    <n v="3"/>
    <n v="28096"/>
    <s v="Low"/>
    <s v="Adult"/>
  </r>
  <r>
    <s v="P-0073"/>
    <x v="21"/>
    <x v="0"/>
    <x v="1"/>
    <n v="75"/>
    <x v="0"/>
    <x v="1"/>
    <n v="82"/>
    <n v="1981"/>
    <n v="4.24"/>
    <n v="55"/>
    <n v="4"/>
    <n v="9430"/>
    <s v="Moderate"/>
    <s v="Adult"/>
  </r>
  <r>
    <s v="P-0306"/>
    <x v="1"/>
    <x v="0"/>
    <x v="0"/>
    <n v="75"/>
    <x v="0"/>
    <x v="1"/>
    <n v="85"/>
    <n v="2596"/>
    <n v="4.41"/>
    <n v="29"/>
    <n v="4"/>
    <n v="7017"/>
    <s v="High"/>
    <s v="Adult"/>
  </r>
  <r>
    <s v="P-0193"/>
    <x v="30"/>
    <x v="1"/>
    <x v="1"/>
    <n v="75"/>
    <x v="2"/>
    <x v="4"/>
    <n v="74"/>
    <n v="5743"/>
    <n v="17.96"/>
    <n v="99"/>
    <n v="4"/>
    <n v="34129"/>
    <s v="Low"/>
    <s v="Adult"/>
  </r>
  <r>
    <s v="P-0578"/>
    <x v="20"/>
    <x v="3"/>
    <x v="1"/>
    <n v="75"/>
    <x v="0"/>
    <x v="0"/>
    <n v="70"/>
    <n v="4081"/>
    <n v="18.46"/>
    <n v="103"/>
    <n v="4"/>
    <n v="23020"/>
    <s v="Low"/>
    <s v="Adult"/>
  </r>
  <r>
    <s v="P-0157"/>
    <x v="10"/>
    <x v="5"/>
    <x v="1"/>
    <n v="75"/>
    <x v="2"/>
    <x v="0"/>
    <n v="69"/>
    <n v="3255"/>
    <n v="16.600000000000001"/>
    <n v="127"/>
    <n v="4"/>
    <n v="17754"/>
    <s v="Low"/>
    <s v="Adult"/>
  </r>
  <r>
    <s v="P-0272"/>
    <x v="1"/>
    <x v="0"/>
    <x v="1"/>
    <n v="76"/>
    <x v="1"/>
    <x v="5"/>
    <n v="81"/>
    <n v="2006"/>
    <n v="10.93"/>
    <n v="60"/>
    <n v="4"/>
    <n v="6016"/>
    <s v="Moderate"/>
    <s v="Adult"/>
  </r>
  <r>
    <s v="P-0061"/>
    <x v="34"/>
    <x v="1"/>
    <x v="1"/>
    <n v="76"/>
    <x v="0"/>
    <x v="5"/>
    <n v="90"/>
    <n v="7415"/>
    <n v="12.27"/>
    <n v="77"/>
    <n v="5"/>
    <n v="41288"/>
    <s v="High"/>
    <s v="Adult"/>
  </r>
  <r>
    <s v="P-0605"/>
    <x v="23"/>
    <x v="4"/>
    <x v="1"/>
    <n v="76"/>
    <x v="2"/>
    <x v="2"/>
    <n v="78"/>
    <n v="11933"/>
    <n v="15.51"/>
    <n v="64"/>
    <n v="3"/>
    <n v="36849"/>
    <s v="Moderate"/>
    <s v="Adult"/>
  </r>
  <r>
    <s v="P-0464"/>
    <x v="13"/>
    <x v="5"/>
    <x v="1"/>
    <n v="76"/>
    <x v="0"/>
    <x v="1"/>
    <n v="79"/>
    <n v="3867"/>
    <n v="13.45"/>
    <n v="92"/>
    <n v="4"/>
    <n v="21790"/>
    <s v="Moderate"/>
    <s v="Adult"/>
  </r>
  <r>
    <s v="P-0450"/>
    <x v="30"/>
    <x v="1"/>
    <x v="0"/>
    <n v="77"/>
    <x v="2"/>
    <x v="2"/>
    <n v="81"/>
    <n v="5641"/>
    <n v="13.1"/>
    <n v="64"/>
    <n v="5"/>
    <n v="30779"/>
    <s v="Moderate"/>
    <s v="Adult"/>
  </r>
  <r>
    <s v="P-0777"/>
    <x v="30"/>
    <x v="1"/>
    <x v="0"/>
    <n v="77"/>
    <x v="2"/>
    <x v="2"/>
    <n v="73"/>
    <n v="4539"/>
    <n v="17.45"/>
    <n v="83"/>
    <n v="4"/>
    <n v="20422"/>
    <s v="Low"/>
    <s v="Adult"/>
  </r>
  <r>
    <s v="P-0474"/>
    <x v="33"/>
    <x v="2"/>
    <x v="1"/>
    <n v="77"/>
    <x v="0"/>
    <x v="4"/>
    <n v="74"/>
    <n v="6763"/>
    <n v="14"/>
    <n v="119"/>
    <n v="3"/>
    <n v="24978"/>
    <s v="Low"/>
    <s v="Adult"/>
  </r>
  <r>
    <s v="P-0216"/>
    <x v="0"/>
    <x v="0"/>
    <x v="1"/>
    <n v="78"/>
    <x v="2"/>
    <x v="4"/>
    <n v="91"/>
    <n v="3083"/>
    <n v="2.71"/>
    <n v="29"/>
    <n v="4"/>
    <n v="12897"/>
    <s v="High"/>
    <s v="Adult"/>
  </r>
  <r>
    <s v="P-0881"/>
    <x v="20"/>
    <x v="3"/>
    <x v="0"/>
    <n v="78"/>
    <x v="0"/>
    <x v="2"/>
    <n v="69"/>
    <n v="6811"/>
    <n v="16.95"/>
    <n v="102"/>
    <n v="4"/>
    <n v="17058"/>
    <s v="Low"/>
    <s v="Adult"/>
  </r>
  <r>
    <s v="P-0680"/>
    <x v="28"/>
    <x v="6"/>
    <x v="1"/>
    <n v="78"/>
    <x v="0"/>
    <x v="5"/>
    <n v="72"/>
    <n v="7940"/>
    <n v="13.71"/>
    <n v="76"/>
    <n v="4"/>
    <n v="26428"/>
    <s v="Low"/>
    <s v="Adult"/>
  </r>
  <r>
    <s v="P-0816"/>
    <x v="19"/>
    <x v="6"/>
    <x v="0"/>
    <n v="78"/>
    <x v="0"/>
    <x v="2"/>
    <n v="89"/>
    <n v="8576"/>
    <n v="18.600000000000001"/>
    <n v="38"/>
    <n v="4"/>
    <n v="25960"/>
    <s v="High"/>
    <s v="Adult"/>
  </r>
  <r>
    <s v="P-0991"/>
    <x v="19"/>
    <x v="6"/>
    <x v="1"/>
    <n v="78"/>
    <x v="0"/>
    <x v="4"/>
    <n v="83"/>
    <n v="7206"/>
    <n v="13.28"/>
    <n v="67"/>
    <n v="4"/>
    <n v="22315"/>
    <s v="High"/>
    <s v="Adult"/>
  </r>
  <r>
    <s v="P-0020"/>
    <x v="24"/>
    <x v="1"/>
    <x v="1"/>
    <n v="79"/>
    <x v="1"/>
    <x v="0"/>
    <n v="81"/>
    <n v="6010"/>
    <n v="10.54"/>
    <n v="92"/>
    <n v="4"/>
    <n v="18692"/>
    <s v="Moderate"/>
    <s v="Adult"/>
  </r>
  <r>
    <s v="P-0412"/>
    <x v="34"/>
    <x v="1"/>
    <x v="0"/>
    <n v="79"/>
    <x v="2"/>
    <x v="2"/>
    <n v="81"/>
    <n v="2010"/>
    <n v="6.12"/>
    <n v="73"/>
    <n v="4"/>
    <n v="11073"/>
    <s v="Moderate"/>
    <s v="Adult"/>
  </r>
  <r>
    <s v="P-0037"/>
    <x v="3"/>
    <x v="2"/>
    <x v="1"/>
    <n v="80"/>
    <x v="0"/>
    <x v="4"/>
    <n v="86"/>
    <n v="5982"/>
    <n v="17.670000000000002"/>
    <n v="88"/>
    <n v="5"/>
    <n v="23740"/>
    <s v="High"/>
    <s v="Adult"/>
  </r>
  <r>
    <s v="P-0380"/>
    <x v="32"/>
    <x v="3"/>
    <x v="1"/>
    <n v="80"/>
    <x v="2"/>
    <x v="1"/>
    <n v="74"/>
    <n v="8176"/>
    <n v="18.87"/>
    <n v="84"/>
    <n v="5"/>
    <n v="20592"/>
    <s v="Low"/>
    <s v="Adult"/>
  </r>
  <r>
    <s v="P-0769"/>
    <x v="3"/>
    <x v="2"/>
    <x v="0"/>
    <n v="81"/>
    <x v="1"/>
    <x v="3"/>
    <n v="79"/>
    <n v="6310"/>
    <n v="12.97"/>
    <n v="90"/>
    <n v="5"/>
    <n v="29895"/>
    <s v="Moderate"/>
    <s v="Adult"/>
  </r>
  <r>
    <s v="P-0858"/>
    <x v="36"/>
    <x v="3"/>
    <x v="1"/>
    <n v="81"/>
    <x v="1"/>
    <x v="5"/>
    <n v="85"/>
    <n v="5655"/>
    <n v="13.88"/>
    <n v="101"/>
    <n v="4"/>
    <n v="14626"/>
    <s v="High"/>
    <s v="Adult"/>
  </r>
  <r>
    <s v="P-0270"/>
    <x v="17"/>
    <x v="5"/>
    <x v="1"/>
    <n v="81"/>
    <x v="2"/>
    <x v="2"/>
    <n v="75"/>
    <n v="2839"/>
    <n v="13.62"/>
    <n v="95"/>
    <n v="4"/>
    <n v="15030"/>
    <s v="Low"/>
    <s v="Adult"/>
  </r>
  <r>
    <s v="P-0905"/>
    <x v="31"/>
    <x v="1"/>
    <x v="0"/>
    <n v="82"/>
    <x v="2"/>
    <x v="0"/>
    <n v="87"/>
    <n v="5037"/>
    <n v="7.41"/>
    <n v="75"/>
    <n v="4"/>
    <n v="28411"/>
    <s v="High"/>
    <s v="Adult"/>
  </r>
  <r>
    <s v="P-0907"/>
    <x v="20"/>
    <x v="3"/>
    <x v="1"/>
    <n v="82"/>
    <x v="1"/>
    <x v="0"/>
    <n v="84"/>
    <n v="5495"/>
    <n v="11.52"/>
    <n v="72"/>
    <n v="4"/>
    <n v="18679"/>
    <s v="High"/>
    <s v="Adult"/>
  </r>
  <r>
    <s v="P-0436"/>
    <x v="17"/>
    <x v="5"/>
    <x v="1"/>
    <n v="83"/>
    <x v="0"/>
    <x v="5"/>
    <n v="71"/>
    <n v="3348"/>
    <n v="21.44"/>
    <n v="126"/>
    <n v="4"/>
    <n v="9593"/>
    <s v="Low"/>
    <s v="Adult"/>
  </r>
  <r>
    <s v="P-0263"/>
    <x v="29"/>
    <x v="6"/>
    <x v="0"/>
    <n v="83"/>
    <x v="1"/>
    <x v="5"/>
    <n v="71"/>
    <n v="6008"/>
    <n v="9.9499999999999993"/>
    <n v="83"/>
    <n v="3"/>
    <n v="34105"/>
    <s v="Low"/>
    <s v="Adult"/>
  </r>
  <r>
    <s v="P-0492"/>
    <x v="6"/>
    <x v="4"/>
    <x v="0"/>
    <n v="84"/>
    <x v="2"/>
    <x v="2"/>
    <n v="88"/>
    <n v="9310"/>
    <n v="19.04"/>
    <n v="79"/>
    <n v="4"/>
    <n v="42230"/>
    <s v="High"/>
    <s v="Adult"/>
  </r>
  <r>
    <s v="P-0319"/>
    <x v="36"/>
    <x v="3"/>
    <x v="1"/>
    <n v="85"/>
    <x v="2"/>
    <x v="1"/>
    <n v="83"/>
    <n v="6746"/>
    <n v="12.35"/>
    <n v="62"/>
    <n v="4"/>
    <n v="34745"/>
    <s v="High"/>
    <s v="Adult"/>
  </r>
  <r>
    <s v="P-0924"/>
    <x v="6"/>
    <x v="4"/>
    <x v="1"/>
    <n v="85"/>
    <x v="1"/>
    <x v="4"/>
    <n v="69"/>
    <n v="8498"/>
    <n v="18.059999999999999"/>
    <n v="102"/>
    <n v="3"/>
    <n v="35178"/>
    <s v="Low"/>
    <s v="Adult"/>
  </r>
  <r>
    <s v="P-0930"/>
    <x v="32"/>
    <x v="3"/>
    <x v="1"/>
    <n v="86"/>
    <x v="1"/>
    <x v="1"/>
    <n v="80"/>
    <n v="7397"/>
    <n v="10.65"/>
    <n v="74"/>
    <n v="5"/>
    <n v="34485"/>
    <s v="Moderate"/>
    <s v="Adult"/>
  </r>
  <r>
    <s v="P-0728"/>
    <x v="21"/>
    <x v="0"/>
    <x v="0"/>
    <n v="89"/>
    <x v="2"/>
    <x v="3"/>
    <n v="88"/>
    <n v="1870"/>
    <n v="8.15"/>
    <n v="68"/>
    <n v="4"/>
    <n v="5950"/>
    <s v="High"/>
    <s v="Adult"/>
  </r>
  <r>
    <s v="P-0891"/>
    <x v="33"/>
    <x v="2"/>
    <x v="0"/>
    <n v="89"/>
    <x v="2"/>
    <x v="0"/>
    <n v="80"/>
    <n v="8175"/>
    <n v="12.33"/>
    <n v="72"/>
    <n v="5"/>
    <n v="30666"/>
    <s v="Moderate"/>
    <s v="Adult"/>
  </r>
  <r>
    <s v="P-0497"/>
    <x v="1"/>
    <x v="0"/>
    <x v="1"/>
    <n v="90"/>
    <x v="2"/>
    <x v="3"/>
    <n v="88"/>
    <n v="2745"/>
    <n v="7.28"/>
    <n v="36"/>
    <n v="4"/>
    <n v="8057"/>
    <s v="High"/>
    <s v="Adult"/>
  </r>
  <r>
    <s v="P-0185"/>
    <x v="32"/>
    <x v="3"/>
    <x v="1"/>
    <n v="90"/>
    <x v="1"/>
    <x v="0"/>
    <n v="77"/>
    <n v="6749"/>
    <n v="13.76"/>
    <n v="97"/>
    <n v="4"/>
    <n v="35345"/>
    <s v="Moderate"/>
    <s v="Adult"/>
  </r>
  <r>
    <s v="P-0760"/>
    <x v="5"/>
    <x v="3"/>
    <x v="1"/>
    <n v="90"/>
    <x v="1"/>
    <x v="0"/>
    <n v="67"/>
    <n v="5354"/>
    <n v="20.62"/>
    <n v="103"/>
    <n v="3"/>
    <n v="24196"/>
    <s v="Low"/>
    <s v="Adult"/>
  </r>
  <r>
    <s v="P-0840"/>
    <x v="27"/>
    <x v="5"/>
    <x v="0"/>
    <n v="90"/>
    <x v="0"/>
    <x v="4"/>
    <n v="78"/>
    <n v="3761"/>
    <n v="21.41"/>
    <n v="98"/>
    <n v="4"/>
    <n v="21323"/>
    <s v="Moderate"/>
    <s v="Adul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67F871-9268-4262-A602-DF5BE741781E}" name="PivotTable7" cacheId="1"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7">
  <location ref="C50:C51" firstHeaderRow="1" firstDataRow="1" firstDataCol="0"/>
  <pivotFields count="15">
    <pivotField showAll="0"/>
    <pivotField showAll="0"/>
    <pivotField showAll="0"/>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dataField="1" numFmtId="164" showAll="0"/>
    <pivotField numFmtId="165" showAll="0"/>
    <pivotField numFmtId="166" showAll="0"/>
    <pivotField numFmtId="164" showAll="0"/>
    <pivotField numFmtId="164" showAll="0"/>
    <pivotField numFmtId="165" showAll="0"/>
    <pivotField showAll="0"/>
    <pivotField showAll="0"/>
  </pivotFields>
  <rowItems count="1">
    <i/>
  </rowItems>
  <colItems count="1">
    <i/>
  </colItems>
  <dataFields count="1">
    <dataField name="Average of Patient Satisfaction Score" fld="7" subtotal="average" baseField="0" baseItem="0" numFmtId="164"/>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00FB59-D552-430D-B176-A080789BDCBE}" name="PivotTable4"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7">
  <location ref="A36:B45" firstHeaderRow="1" firstDataRow="1" firstDataCol="1"/>
  <pivotFields count="15">
    <pivotField showAll="0"/>
    <pivotField showAll="0"/>
    <pivotField axis="axisRow" showAll="0">
      <items count="9">
        <item x="6"/>
        <item x="5"/>
        <item x="4"/>
        <item x="3"/>
        <item x="2"/>
        <item x="1"/>
        <item x="7"/>
        <item x="0"/>
        <item t="default"/>
      </items>
    </pivotField>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numFmtId="164" showAll="0"/>
    <pivotField numFmtId="165" showAll="0"/>
    <pivotField numFmtId="166" showAll="0"/>
    <pivotField numFmtId="164" showAll="0"/>
    <pivotField numFmtId="164" showAll="0"/>
    <pivotField dataField="1" numFmtId="165" showAll="0"/>
    <pivotField showAll="0"/>
    <pivotField showAll="0"/>
  </pivotFields>
  <rowFields count="1">
    <field x="2"/>
  </rowFields>
  <rowItems count="9">
    <i>
      <x/>
    </i>
    <i>
      <x v="1"/>
    </i>
    <i>
      <x v="2"/>
    </i>
    <i>
      <x v="3"/>
    </i>
    <i>
      <x v="4"/>
    </i>
    <i>
      <x v="5"/>
    </i>
    <i>
      <x v="6"/>
    </i>
    <i>
      <x v="7"/>
    </i>
    <i t="grand">
      <x/>
    </i>
  </rowItems>
  <colItems count="1">
    <i/>
  </colItems>
  <dataFields count="1">
    <dataField name="Sum of Revenue Generated" fld="12" baseField="0" baseItem="0" numFmtId="165"/>
  </dataFields>
  <chartFormats count="9">
    <chartFormat chart="16" format="32" series="1">
      <pivotArea type="data" outline="0" fieldPosition="0">
        <references count="1">
          <reference field="4294967294" count="1" selected="0">
            <x v="0"/>
          </reference>
        </references>
      </pivotArea>
    </chartFormat>
    <chartFormat chart="16" format="33">
      <pivotArea type="data" outline="0" fieldPosition="0">
        <references count="2">
          <reference field="4294967294" count="1" selected="0">
            <x v="0"/>
          </reference>
          <reference field="2" count="1" selected="0">
            <x v="0"/>
          </reference>
        </references>
      </pivotArea>
    </chartFormat>
    <chartFormat chart="16" format="34">
      <pivotArea type="data" outline="0" fieldPosition="0">
        <references count="2">
          <reference field="4294967294" count="1" selected="0">
            <x v="0"/>
          </reference>
          <reference field="2" count="1" selected="0">
            <x v="1"/>
          </reference>
        </references>
      </pivotArea>
    </chartFormat>
    <chartFormat chart="16" format="35">
      <pivotArea type="data" outline="0" fieldPosition="0">
        <references count="2">
          <reference field="4294967294" count="1" selected="0">
            <x v="0"/>
          </reference>
          <reference field="2" count="1" selected="0">
            <x v="2"/>
          </reference>
        </references>
      </pivotArea>
    </chartFormat>
    <chartFormat chart="16" format="36">
      <pivotArea type="data" outline="0" fieldPosition="0">
        <references count="2">
          <reference field="4294967294" count="1" selected="0">
            <x v="0"/>
          </reference>
          <reference field="2" count="1" selected="0">
            <x v="3"/>
          </reference>
        </references>
      </pivotArea>
    </chartFormat>
    <chartFormat chart="16" format="37">
      <pivotArea type="data" outline="0" fieldPosition="0">
        <references count="2">
          <reference field="4294967294" count="1" selected="0">
            <x v="0"/>
          </reference>
          <reference field="2" count="1" selected="0">
            <x v="4"/>
          </reference>
        </references>
      </pivotArea>
    </chartFormat>
    <chartFormat chart="16" format="38">
      <pivotArea type="data" outline="0" fieldPosition="0">
        <references count="2">
          <reference field="4294967294" count="1" selected="0">
            <x v="0"/>
          </reference>
          <reference field="2" count="1" selected="0">
            <x v="5"/>
          </reference>
        </references>
      </pivotArea>
    </chartFormat>
    <chartFormat chart="16" format="39">
      <pivotArea type="data" outline="0" fieldPosition="0">
        <references count="2">
          <reference field="4294967294" count="1" selected="0">
            <x v="0"/>
          </reference>
          <reference field="2" count="1" selected="0">
            <x v="6"/>
          </reference>
        </references>
      </pivotArea>
    </chartFormat>
    <chartFormat chart="16" format="40">
      <pivotArea type="data" outline="0" fieldPosition="0">
        <references count="2">
          <reference field="4294967294" count="1" selected="0">
            <x v="0"/>
          </reference>
          <reference field="2" count="1" selected="0">
            <x v="7"/>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8107EF-FE2D-4031-A663-7F3687762DC6}" name="PivotTable8" cacheId="1"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8">
  <location ref="F19:G26" firstHeaderRow="1" firstDataRow="1" firstDataCol="1"/>
  <pivotFields count="15">
    <pivotField showAll="0"/>
    <pivotField showAll="0"/>
    <pivotField showAll="0"/>
    <pivotField showAll="0">
      <items count="4">
        <item x="0"/>
        <item x="1"/>
        <item x="2"/>
        <item t="default"/>
      </items>
    </pivotField>
    <pivotField numFmtId="164" showAll="0"/>
    <pivotField showAll="0">
      <items count="4">
        <item x="1"/>
        <item x="2"/>
        <item x="0"/>
        <item t="default"/>
      </items>
    </pivotField>
    <pivotField axis="axisRow" showAll="0">
      <items count="7">
        <item x="2"/>
        <item x="5"/>
        <item x="3"/>
        <item x="1"/>
        <item x="0"/>
        <item x="4"/>
        <item t="default"/>
      </items>
    </pivotField>
    <pivotField numFmtId="164" showAll="0"/>
    <pivotField dataField="1" numFmtId="165" showAll="0"/>
    <pivotField numFmtId="166" showAll="0"/>
    <pivotField numFmtId="164" showAll="0"/>
    <pivotField numFmtId="164" showAll="0"/>
    <pivotField numFmtId="165" showAll="0"/>
    <pivotField showAll="0"/>
    <pivotField showAll="0"/>
  </pivotFields>
  <rowFields count="1">
    <field x="6"/>
  </rowFields>
  <rowItems count="7">
    <i>
      <x/>
    </i>
    <i>
      <x v="1"/>
    </i>
    <i>
      <x v="2"/>
    </i>
    <i>
      <x v="3"/>
    </i>
    <i>
      <x v="4"/>
    </i>
    <i>
      <x v="5"/>
    </i>
    <i t="grand">
      <x/>
    </i>
  </rowItems>
  <colItems count="1">
    <i/>
  </colItems>
  <dataFields count="1">
    <dataField name="Average of Treatment Cost" fld="8" subtotal="average" baseField="0" baseItem="0" numFmtId="165"/>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65A31D-78AD-495B-BF6A-C70818C9B0BF}" name="PivotTable5" cacheId="1"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7">
  <location ref="A53:A54" firstHeaderRow="1" firstDataRow="1" firstDataCol="0"/>
  <pivotFields count="15">
    <pivotField showAll="0"/>
    <pivotField showAll="0"/>
    <pivotField showAll="0"/>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numFmtId="164" showAll="0"/>
    <pivotField numFmtId="165" showAll="0"/>
    <pivotField numFmtId="166" showAll="0"/>
    <pivotField numFmtId="164" showAll="0"/>
    <pivotField numFmtId="164" showAll="0"/>
    <pivotField dataField="1" numFmtId="165" showAll="0"/>
    <pivotField showAll="0"/>
    <pivotField showAll="0"/>
  </pivotFields>
  <rowItems count="1">
    <i/>
  </rowItems>
  <colItems count="1">
    <i/>
  </colItems>
  <dataFields count="1">
    <dataField name="Sum of Revenue Generated" fld="12" baseField="0" baseItem="0" numFmtId="165"/>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8B56C4-FB70-44BD-8CC0-E33E42BEAA17}" name="PivotTable10"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C56:C57" firstHeaderRow="1" firstDataRow="1" firstDataCol="0"/>
  <pivotFields count="15">
    <pivotField showAll="0"/>
    <pivotField showAll="0"/>
    <pivotField showAll="0"/>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numFmtId="164" showAll="0"/>
    <pivotField dataField="1" numFmtId="165" showAll="0"/>
    <pivotField numFmtId="166" showAll="0"/>
    <pivotField numFmtId="164" showAll="0"/>
    <pivotField numFmtId="164" showAll="0"/>
    <pivotField numFmtId="165" showAll="0"/>
    <pivotField showAll="0"/>
    <pivotField showAll="0"/>
  </pivotFields>
  <rowItems count="1">
    <i/>
  </rowItems>
  <colItems count="1">
    <i/>
  </colItems>
  <dataFields count="1">
    <dataField name="Average of Treatment Cost" fld="8" subtotal="average" baseField="0" baseItem="0" numFmtId="165"/>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779980-5771-4605-A868-94BEDBBC1808}" name="PivotTable3" cacheId="1"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9">
  <location ref="F8:H14" firstHeaderRow="0" firstDataRow="1" firstDataCol="1" rowPageCount="1" colPageCount="1"/>
  <pivotFields count="15">
    <pivotField showAll="0"/>
    <pivotField axis="axisRow" showAll="0">
      <items count="38">
        <item x="15"/>
        <item x="3"/>
        <item x="30"/>
        <item x="31"/>
        <item x="21"/>
        <item x="7"/>
        <item x="2"/>
        <item x="25"/>
        <item x="20"/>
        <item x="11"/>
        <item x="22"/>
        <item x="13"/>
        <item x="18"/>
        <item x="0"/>
        <item x="26"/>
        <item x="28"/>
        <item x="12"/>
        <item x="36"/>
        <item x="27"/>
        <item x="5"/>
        <item x="16"/>
        <item x="19"/>
        <item x="34"/>
        <item x="17"/>
        <item x="14"/>
        <item x="33"/>
        <item x="1"/>
        <item x="10"/>
        <item x="6"/>
        <item x="9"/>
        <item x="4"/>
        <item x="24"/>
        <item x="23"/>
        <item x="29"/>
        <item x="35"/>
        <item x="8"/>
        <item x="32"/>
        <item t="default"/>
      </items>
    </pivotField>
    <pivotField axis="axisPage" showAll="0">
      <items count="9">
        <item x="6"/>
        <item x="5"/>
        <item x="4"/>
        <item x="3"/>
        <item x="2"/>
        <item x="1"/>
        <item x="7"/>
        <item x="0"/>
        <item t="default"/>
      </items>
    </pivotField>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dataField="1" numFmtId="164" showAll="0"/>
    <pivotField numFmtId="165" showAll="0"/>
    <pivotField numFmtId="166" showAll="0"/>
    <pivotField dataField="1" numFmtId="164" showAll="0"/>
    <pivotField numFmtId="164" showAll="0"/>
    <pivotField numFmtId="165" showAll="0"/>
    <pivotField showAll="0"/>
    <pivotField showAll="0"/>
  </pivotFields>
  <rowFields count="1">
    <field x="1"/>
  </rowFields>
  <rowItems count="6">
    <i>
      <x/>
    </i>
    <i>
      <x v="8"/>
    </i>
    <i>
      <x v="17"/>
    </i>
    <i>
      <x v="19"/>
    </i>
    <i>
      <x v="36"/>
    </i>
    <i t="grand">
      <x/>
    </i>
  </rowItems>
  <colFields count="1">
    <field x="-2"/>
  </colFields>
  <colItems count="2">
    <i>
      <x/>
    </i>
    <i i="1">
      <x v="1"/>
    </i>
  </colItems>
  <pageFields count="1">
    <pageField fld="2" item="3" hier="-1"/>
  </pageFields>
  <dataFields count="2">
    <dataField name="Average of Wait Time (mins)" fld="10" subtotal="average" baseField="0" baseItem="0" numFmtId="164"/>
    <dataField name="Average of Patient Satisfaction Score" fld="7" subtotal="average" baseField="0" baseItem="0" numFmtId="164"/>
  </dataField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1A187E-1F30-4E32-97AE-281535DE8D9D}" name="PivotTable15"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location ref="A50:A51" firstHeaderRow="1" firstDataRow="1" firstDataCol="0"/>
  <pivotFields count="15">
    <pivotField dataField="1" showAll="0"/>
    <pivotField showAll="0"/>
    <pivotField showAll="0"/>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numFmtId="164" showAll="0"/>
    <pivotField numFmtId="165" showAll="0"/>
    <pivotField numFmtId="166" showAll="0"/>
    <pivotField numFmtId="164" showAll="0"/>
    <pivotField numFmtId="164" showAll="0"/>
    <pivotField numFmtId="165" showAll="0"/>
    <pivotField showAll="0"/>
    <pivotField showAll="0"/>
  </pivotFields>
  <rowItems count="1">
    <i/>
  </rowItems>
  <colItems count="1">
    <i/>
  </colItems>
  <dataFields count="1">
    <dataField name="Count of Patient ID" fld="0"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DF5F33-876E-4365-A08B-BF980AE5910E}" name="PivotTable13"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8">
  <location ref="F38:H47" firstHeaderRow="0" firstDataRow="1" firstDataCol="1"/>
  <pivotFields count="15">
    <pivotField showAll="0"/>
    <pivotField showAll="0"/>
    <pivotField axis="axisRow" showAll="0">
      <items count="9">
        <item x="6"/>
        <item x="5"/>
        <item x="4"/>
        <item x="3"/>
        <item x="2"/>
        <item x="1"/>
        <item x="7"/>
        <item x="0"/>
        <item t="default"/>
      </items>
    </pivotField>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dataField="1" numFmtId="164" showAll="0"/>
    <pivotField dataField="1" numFmtId="165" showAll="0"/>
    <pivotField numFmtId="166" showAll="0"/>
    <pivotField numFmtId="164" showAll="0"/>
    <pivotField numFmtId="164" showAll="0"/>
    <pivotField numFmtId="165"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Average of Treatment Cost" fld="8" subtotal="average" baseField="2" baseItem="0" numFmtId="170"/>
    <dataField name="Average of Patient Satisfaction Score" fld="7" subtotal="average" baseField="0" baseItem="0" numFmtId="164"/>
  </dataFields>
  <chartFormats count="8">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B1C96E-29C9-4D07-8FDC-3B0E04509E9D}" name="PivotTable6" cacheId="1"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7">
  <location ref="A56:A57" firstHeaderRow="1" firstDataRow="1" firstDataCol="0"/>
  <pivotFields count="15">
    <pivotField showAll="0"/>
    <pivotField showAll="0"/>
    <pivotField showAll="0"/>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numFmtId="164" showAll="0"/>
    <pivotField numFmtId="165" showAll="0"/>
    <pivotField numFmtId="166" showAll="0"/>
    <pivotField dataField="1" numFmtId="164" showAll="0"/>
    <pivotField numFmtId="164" showAll="0"/>
    <pivotField numFmtId="165" showAll="0"/>
    <pivotField showAll="0"/>
    <pivotField showAll="0"/>
  </pivotFields>
  <rowItems count="1">
    <i/>
  </rowItems>
  <colItems count="1">
    <i/>
  </colItems>
  <dataFields count="1">
    <dataField name="Average of Wait Time (mins)" fld="10" subtotal="average" baseField="0" baseItem="0" numFmtId="164"/>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453518-CA11-4CB5-8FC2-00B32C86FA66}" name="PivotTable1"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3">
  <location ref="A8:C17" firstHeaderRow="0" firstDataRow="1" firstDataCol="1"/>
  <pivotFields count="15">
    <pivotField showAll="0"/>
    <pivotField showAll="0"/>
    <pivotField axis="axisRow" showAll="0">
      <items count="9">
        <item x="6"/>
        <item x="5"/>
        <item x="4"/>
        <item x="3"/>
        <item x="2"/>
        <item x="1"/>
        <item x="7"/>
        <item x="0"/>
        <item t="default"/>
      </items>
    </pivotField>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numFmtId="164" showAll="0"/>
    <pivotField numFmtId="165" showAll="0"/>
    <pivotField dataField="1" numFmtId="166" showAll="0"/>
    <pivotField dataField="1" numFmtId="164" showAll="0"/>
    <pivotField numFmtId="164" showAll="0"/>
    <pivotField numFmtId="165"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Average of Readmission Rate (%)" fld="9" subtotal="average" baseField="0" baseItem="0" numFmtId="166"/>
    <dataField name="Average of Wait Time (mins)" fld="10" subtotal="average" baseField="0" baseItem="0" numFmtId="164"/>
  </dataFields>
  <chartFormats count="24">
    <chartFormat chart="9" format="70" series="1">
      <pivotArea type="data" outline="0" fieldPosition="0">
        <references count="1">
          <reference field="4294967294" count="1" selected="0">
            <x v="0"/>
          </reference>
        </references>
      </pivotArea>
    </chartFormat>
    <chartFormat chart="9" format="71">
      <pivotArea type="data" outline="0" fieldPosition="0">
        <references count="2">
          <reference field="4294967294" count="1" selected="0">
            <x v="0"/>
          </reference>
          <reference field="2" count="1" selected="0">
            <x v="1"/>
          </reference>
        </references>
      </pivotArea>
    </chartFormat>
    <chartFormat chart="9" format="72">
      <pivotArea type="data" outline="0" fieldPosition="0">
        <references count="2">
          <reference field="4294967294" count="1" selected="0">
            <x v="0"/>
          </reference>
          <reference field="2" count="1" selected="0">
            <x v="2"/>
          </reference>
        </references>
      </pivotArea>
    </chartFormat>
    <chartFormat chart="9" format="73">
      <pivotArea type="data" outline="0" fieldPosition="0">
        <references count="2">
          <reference field="4294967294" count="1" selected="0">
            <x v="0"/>
          </reference>
          <reference field="2" count="1" selected="0">
            <x v="6"/>
          </reference>
        </references>
      </pivotArea>
    </chartFormat>
    <chartFormat chart="9" format="74">
      <pivotArea type="data" outline="0" fieldPosition="0">
        <references count="2">
          <reference field="4294967294" count="1" selected="0">
            <x v="0"/>
          </reference>
          <reference field="2" count="1" selected="0">
            <x v="7"/>
          </reference>
        </references>
      </pivotArea>
    </chartFormat>
    <chartFormat chart="9" format="75" series="1">
      <pivotArea type="data" outline="0" fieldPosition="0">
        <references count="1">
          <reference field="4294967294" count="1" selected="0">
            <x v="1"/>
          </reference>
        </references>
      </pivotArea>
    </chartFormat>
    <chartFormat chart="9" format="76">
      <pivotArea type="data" outline="0" fieldPosition="0">
        <references count="2">
          <reference field="4294967294" count="1" selected="0">
            <x v="1"/>
          </reference>
          <reference field="2" count="1" selected="0">
            <x v="1"/>
          </reference>
        </references>
      </pivotArea>
    </chartFormat>
    <chartFormat chart="9" format="77">
      <pivotArea type="data" outline="0" fieldPosition="0">
        <references count="2">
          <reference field="4294967294" count="1" selected="0">
            <x v="1"/>
          </reference>
          <reference field="2" count="1" selected="0">
            <x v="2"/>
          </reference>
        </references>
      </pivotArea>
    </chartFormat>
    <chartFormat chart="9" format="78">
      <pivotArea type="data" outline="0" fieldPosition="0">
        <references count="2">
          <reference field="4294967294" count="1" selected="0">
            <x v="1"/>
          </reference>
          <reference field="2" count="1" selected="0">
            <x v="6"/>
          </reference>
        </references>
      </pivotArea>
    </chartFormat>
    <chartFormat chart="9" format="79">
      <pivotArea type="data" outline="0" fieldPosition="0">
        <references count="2">
          <reference field="4294967294" count="1" selected="0">
            <x v="1"/>
          </reference>
          <reference field="2" count="1" selected="0">
            <x v="7"/>
          </reference>
        </references>
      </pivotArea>
    </chartFormat>
    <chartFormat chart="22" format="108" series="1">
      <pivotArea type="data" outline="0" fieldPosition="0">
        <references count="1">
          <reference field="4294967294" count="1" selected="0">
            <x v="0"/>
          </reference>
        </references>
      </pivotArea>
    </chartFormat>
    <chartFormat chart="22" format="109">
      <pivotArea type="data" outline="0" fieldPosition="0">
        <references count="2">
          <reference field="4294967294" count="1" selected="0">
            <x v="0"/>
          </reference>
          <reference field="2" count="1" selected="0">
            <x v="0"/>
          </reference>
        </references>
      </pivotArea>
    </chartFormat>
    <chartFormat chart="22" format="110">
      <pivotArea type="data" outline="0" fieldPosition="0">
        <references count="2">
          <reference field="4294967294" count="1" selected="0">
            <x v="0"/>
          </reference>
          <reference field="2" count="1" selected="0">
            <x v="1"/>
          </reference>
        </references>
      </pivotArea>
    </chartFormat>
    <chartFormat chart="22" format="111">
      <pivotArea type="data" outline="0" fieldPosition="0">
        <references count="2">
          <reference field="4294967294" count="1" selected="0">
            <x v="0"/>
          </reference>
          <reference field="2" count="1" selected="0">
            <x v="2"/>
          </reference>
        </references>
      </pivotArea>
    </chartFormat>
    <chartFormat chart="22" format="112">
      <pivotArea type="data" outline="0" fieldPosition="0">
        <references count="2">
          <reference field="4294967294" count="1" selected="0">
            <x v="0"/>
          </reference>
          <reference field="2" count="1" selected="0">
            <x v="3"/>
          </reference>
        </references>
      </pivotArea>
    </chartFormat>
    <chartFormat chart="22" format="113">
      <pivotArea type="data" outline="0" fieldPosition="0">
        <references count="2">
          <reference field="4294967294" count="1" selected="0">
            <x v="0"/>
          </reference>
          <reference field="2" count="1" selected="0">
            <x v="4"/>
          </reference>
        </references>
      </pivotArea>
    </chartFormat>
    <chartFormat chart="22" format="114">
      <pivotArea type="data" outline="0" fieldPosition="0">
        <references count="2">
          <reference field="4294967294" count="1" selected="0">
            <x v="0"/>
          </reference>
          <reference field="2" count="1" selected="0">
            <x v="5"/>
          </reference>
        </references>
      </pivotArea>
    </chartFormat>
    <chartFormat chart="22" format="115">
      <pivotArea type="data" outline="0" fieldPosition="0">
        <references count="2">
          <reference field="4294967294" count="1" selected="0">
            <x v="0"/>
          </reference>
          <reference field="2" count="1" selected="0">
            <x v="6"/>
          </reference>
        </references>
      </pivotArea>
    </chartFormat>
    <chartFormat chart="22" format="116">
      <pivotArea type="data" outline="0" fieldPosition="0">
        <references count="2">
          <reference field="4294967294" count="1" selected="0">
            <x v="0"/>
          </reference>
          <reference field="2" count="1" selected="0">
            <x v="7"/>
          </reference>
        </references>
      </pivotArea>
    </chartFormat>
    <chartFormat chart="22" format="117" series="1">
      <pivotArea type="data" outline="0" fieldPosition="0">
        <references count="1">
          <reference field="4294967294" count="1" selected="0">
            <x v="1"/>
          </reference>
        </references>
      </pivotArea>
    </chartFormat>
    <chartFormat chart="22" format="118">
      <pivotArea type="data" outline="0" fieldPosition="0">
        <references count="2">
          <reference field="4294967294" count="1" selected="0">
            <x v="1"/>
          </reference>
          <reference field="2" count="1" selected="0">
            <x v="1"/>
          </reference>
        </references>
      </pivotArea>
    </chartFormat>
    <chartFormat chart="22" format="119">
      <pivotArea type="data" outline="0" fieldPosition="0">
        <references count="2">
          <reference field="4294967294" count="1" selected="0">
            <x v="1"/>
          </reference>
          <reference field="2" count="1" selected="0">
            <x v="2"/>
          </reference>
        </references>
      </pivotArea>
    </chartFormat>
    <chartFormat chart="22" format="120">
      <pivotArea type="data" outline="0" fieldPosition="0">
        <references count="2">
          <reference field="4294967294" count="1" selected="0">
            <x v="1"/>
          </reference>
          <reference field="2" count="1" selected="0">
            <x v="6"/>
          </reference>
        </references>
      </pivotArea>
    </chartFormat>
    <chartFormat chart="22" format="121">
      <pivotArea type="data" outline="0" fieldPosition="0">
        <references count="2">
          <reference field="4294967294" count="1" selected="0">
            <x v="1"/>
          </reference>
          <reference field="2" count="1" selected="0">
            <x v="7"/>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689CD2-D9BD-49EB-AF22-FBBDE0EDF566}" name="PivotTable9" cacheId="1"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7">
  <location ref="C53:C54" firstHeaderRow="1" firstDataRow="1" firstDataCol="0"/>
  <pivotFields count="15">
    <pivotField showAll="0"/>
    <pivotField showAll="0"/>
    <pivotField showAll="0"/>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numFmtId="164" showAll="0"/>
    <pivotField numFmtId="165" showAll="0"/>
    <pivotField dataField="1" numFmtId="166" showAll="0"/>
    <pivotField numFmtId="164" showAll="0"/>
    <pivotField numFmtId="164" showAll="0"/>
    <pivotField numFmtId="165" showAll="0"/>
    <pivotField showAll="0"/>
    <pivotField showAll="0"/>
  </pivotFields>
  <rowItems count="1">
    <i/>
  </rowItems>
  <colItems count="1">
    <i/>
  </colItems>
  <dataFields count="1">
    <dataField name="Average of Readmission Rate (%)" fld="9" subtotal="average" baseField="0" baseItem="0" numFmtId="166"/>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50F8AB-D38F-47A7-9713-E0E58BBEA9EA}" name="PivotTable2" cacheId="1" applyNumberFormats="0" applyBorderFormats="0" applyFontFormats="0" applyPatternFormats="0" applyAlignmentFormats="0" applyWidthHeightFormats="1" dataCaption="Values" updatedVersion="8" minRefreshableVersion="3" itemPrintTitles="1" createdVersion="5" indent="0" outline="1" outlineData="1" multipleFieldFilters="0" chartFormat="14">
  <location ref="A22:B31" firstHeaderRow="1" firstDataRow="1" firstDataCol="1"/>
  <pivotFields count="15">
    <pivotField showAll="0"/>
    <pivotField showAll="0"/>
    <pivotField axis="axisRow" showAll="0">
      <items count="9">
        <item x="6"/>
        <item x="5"/>
        <item x="4"/>
        <item x="3"/>
        <item x="2"/>
        <item x="1"/>
        <item x="7"/>
        <item x="0"/>
        <item t="default"/>
      </items>
    </pivotField>
    <pivotField showAll="0">
      <items count="4">
        <item x="0"/>
        <item x="1"/>
        <item x="2"/>
        <item t="default"/>
      </items>
    </pivotField>
    <pivotField numFmtId="164" showAll="0"/>
    <pivotField showAll="0">
      <items count="4">
        <item x="1"/>
        <item x="2"/>
        <item x="0"/>
        <item t="default"/>
      </items>
    </pivotField>
    <pivotField showAll="0">
      <items count="7">
        <item x="2"/>
        <item x="5"/>
        <item x="3"/>
        <item x="1"/>
        <item x="0"/>
        <item x="4"/>
        <item t="default"/>
      </items>
    </pivotField>
    <pivotField dataField="1" numFmtId="164" showAll="0"/>
    <pivotField numFmtId="165" showAll="0"/>
    <pivotField numFmtId="166" showAll="0"/>
    <pivotField numFmtId="164" showAll="0"/>
    <pivotField numFmtId="164" showAll="0"/>
    <pivotField numFmtId="165" showAll="0"/>
    <pivotField showAll="0"/>
    <pivotField showAll="0"/>
  </pivotFields>
  <rowFields count="1">
    <field x="2"/>
  </rowFields>
  <rowItems count="9">
    <i>
      <x/>
    </i>
    <i>
      <x v="1"/>
    </i>
    <i>
      <x v="2"/>
    </i>
    <i>
      <x v="3"/>
    </i>
    <i>
      <x v="4"/>
    </i>
    <i>
      <x v="5"/>
    </i>
    <i>
      <x v="6"/>
    </i>
    <i>
      <x v="7"/>
    </i>
    <i t="grand">
      <x/>
    </i>
  </rowItems>
  <colItems count="1">
    <i/>
  </colItems>
  <dataFields count="1">
    <dataField name="Average of Patient Satisfaction Score" fld="7" subtotal="average" baseField="0" baseItem="0" numFmtId="164"/>
  </dataFields>
  <chartFormats count="15">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6"/>
          </reference>
        </references>
      </pivotArea>
    </chartFormat>
    <chartFormat chart="5" format="16">
      <pivotArea type="data" outline="0" fieldPosition="0">
        <references count="2">
          <reference field="4294967294" count="1" selected="0">
            <x v="0"/>
          </reference>
          <reference field="2" count="1" selected="0">
            <x v="7"/>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2" count="1" selected="0">
            <x v="1"/>
          </reference>
        </references>
      </pivotArea>
    </chartFormat>
    <chartFormat chart="8" format="20">
      <pivotArea type="data" outline="0" fieldPosition="0">
        <references count="2">
          <reference field="4294967294" count="1" selected="0">
            <x v="0"/>
          </reference>
          <reference field="2" count="1" selected="0">
            <x v="2"/>
          </reference>
        </references>
      </pivotArea>
    </chartFormat>
    <chartFormat chart="8" format="21">
      <pivotArea type="data" outline="0" fieldPosition="0">
        <references count="2">
          <reference field="4294967294" count="1" selected="0">
            <x v="0"/>
          </reference>
          <reference field="2" count="1" selected="0">
            <x v="6"/>
          </reference>
        </references>
      </pivotArea>
    </chartFormat>
    <chartFormat chart="8" format="22">
      <pivotArea type="data" outline="0" fieldPosition="0">
        <references count="2">
          <reference field="4294967294" count="1" selected="0">
            <x v="0"/>
          </reference>
          <reference field="2" count="1" selected="0">
            <x v="7"/>
          </reference>
        </references>
      </pivotArea>
    </chartFormat>
    <chartFormat chart="13" format="45" series="1">
      <pivotArea type="data" outline="0" fieldPosition="0">
        <references count="1">
          <reference field="4294967294" count="1" selected="0">
            <x v="0"/>
          </reference>
        </references>
      </pivotArea>
    </chartFormat>
    <chartFormat chart="13" format="46">
      <pivotArea type="data" outline="0" fieldPosition="0">
        <references count="2">
          <reference field="4294967294" count="1" selected="0">
            <x v="0"/>
          </reference>
          <reference field="2" count="1" selected="0">
            <x v="1"/>
          </reference>
        </references>
      </pivotArea>
    </chartFormat>
    <chartFormat chart="13" format="47">
      <pivotArea type="data" outline="0" fieldPosition="0">
        <references count="2">
          <reference field="4294967294" count="1" selected="0">
            <x v="0"/>
          </reference>
          <reference field="2" count="1" selected="0">
            <x v="2"/>
          </reference>
        </references>
      </pivotArea>
    </chartFormat>
    <chartFormat chart="13" format="48">
      <pivotArea type="data" outline="0" fieldPosition="0">
        <references count="2">
          <reference field="4294967294" count="1" selected="0">
            <x v="0"/>
          </reference>
          <reference field="2" count="1" selected="0">
            <x v="6"/>
          </reference>
        </references>
      </pivotArea>
    </chartFormat>
    <chartFormat chart="13" format="49">
      <pivotArea type="data" outline="0" fieldPosition="0">
        <references count="2">
          <reference field="4294967294" count="1" selected="0">
            <x v="0"/>
          </reference>
          <reference field="2" count="1" selected="0">
            <x v="7"/>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5E7183-54E1-47C5-BA9A-25E9E1BAE23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31:H34" firstHeaderRow="0" firstDataRow="1" firstDataCol="1"/>
  <pivotFields count="15">
    <pivotField showAll="0"/>
    <pivotField showAll="0"/>
    <pivotField showAll="0"/>
    <pivotField showAll="0">
      <items count="4">
        <item x="0"/>
        <item x="1"/>
        <item x="2"/>
        <item t="default"/>
      </items>
    </pivotField>
    <pivotField numFmtId="164" showAll="0"/>
    <pivotField showAll="0"/>
    <pivotField showAll="0"/>
    <pivotField numFmtId="164" showAll="0"/>
    <pivotField numFmtId="165" showAll="0"/>
    <pivotField dataField="1" numFmtId="166" showAll="0"/>
    <pivotField dataField="1" numFmtId="164" showAll="0"/>
    <pivotField numFmtId="164" showAll="0"/>
    <pivotField numFmtId="165" showAll="0"/>
    <pivotField showAll="0"/>
    <pivotField axis="axisRow" showAll="0">
      <items count="3">
        <item x="0"/>
        <item x="1"/>
        <item t="default"/>
      </items>
    </pivotField>
  </pivotFields>
  <rowFields count="1">
    <field x="14"/>
  </rowFields>
  <rowItems count="3">
    <i>
      <x/>
    </i>
    <i>
      <x v="1"/>
    </i>
    <i t="grand">
      <x/>
    </i>
  </rowItems>
  <colFields count="1">
    <field x="-2"/>
  </colFields>
  <colItems count="2">
    <i>
      <x/>
    </i>
    <i i="1">
      <x v="1"/>
    </i>
  </colItems>
  <dataFields count="2">
    <dataField name="Average of Readmission Rate (%)" fld="9" subtotal="average" baseField="0" baseItem="0" numFmtId="166"/>
    <dataField name="Average of Wait Time (mins)" fld="10" subtotal="average"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14" count="1" selected="0">
            <x v="0"/>
          </reference>
        </references>
      </pivotArea>
    </chartFormat>
    <chartFormat chart="15" format="22">
      <pivotArea type="data" outline="0" fieldPosition="0">
        <references count="2">
          <reference field="4294967294" count="1" selected="0">
            <x v="0"/>
          </reference>
          <reference field="14" count="1" selected="0">
            <x v="1"/>
          </reference>
        </references>
      </pivotArea>
    </chartFormat>
    <chartFormat chart="15" format="23" series="1">
      <pivotArea type="data" outline="0" fieldPosition="0">
        <references count="1">
          <reference field="4294967294" count="1" selected="0">
            <x v="1"/>
          </reference>
        </references>
      </pivotArea>
    </chartFormat>
    <chartFormat chart="15" format="24">
      <pivotArea type="data" outline="0" fieldPosition="0">
        <references count="2">
          <reference field="4294967294" count="1" selected="0">
            <x v="1"/>
          </reference>
          <reference field="14" count="1" selected="0">
            <x v="0"/>
          </reference>
        </references>
      </pivotArea>
    </chartFormat>
    <chartFormat chart="15" format="25">
      <pivotArea type="data" outline="0" fieldPosition="0">
        <references count="2">
          <reference field="4294967294" count="1" selected="0">
            <x v="1"/>
          </reference>
          <reference field="1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FA2000B8-6DA0-4D4D-81B3-4AE32C09182E}" sourceName="Treatment Type">
  <pivotTables>
    <pivotTable tabId="17" name="PivotTable4"/>
    <pivotTable tabId="17" name="PivotTable1"/>
    <pivotTable tabId="17" name="PivotTable2"/>
    <pivotTable tabId="17" name="PivotTable3"/>
    <pivotTable tabId="17" name="PivotTable8"/>
    <pivotTable tabId="17" name="PivotTable13"/>
    <pivotTable tabId="17" name="PivotTable15"/>
    <pivotTable tabId="17" name="PivotTable5"/>
    <pivotTable tabId="17" name="PivotTable6"/>
    <pivotTable tabId="17" name="PivotTable7"/>
    <pivotTable tabId="17" name="PivotTable9"/>
    <pivotTable tabId="17" name="PivotTable10"/>
  </pivotTables>
  <data>
    <tabular pivotCacheId="1281406304">
      <items count="6">
        <i x="2" s="1"/>
        <i x="5" s="1"/>
        <i x="3"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061F35C0-997A-49A9-A8A9-0991249033C6}" sourceName="Insurance Type">
  <pivotTables>
    <pivotTable tabId="17" name="PivotTable1"/>
    <pivotTable tabId="17" name="PivotTable13"/>
    <pivotTable tabId="17" name="PivotTable2"/>
    <pivotTable tabId="17" name="PivotTable3"/>
    <pivotTable tabId="17" name="PivotTable4"/>
    <pivotTable tabId="17" name="PivotTable8"/>
    <pivotTable tabId="17" name="PivotTable15"/>
    <pivotTable tabId="17" name="PivotTable5"/>
    <pivotTable tabId="17" name="PivotTable6"/>
    <pivotTable tabId="17" name="PivotTable7"/>
    <pivotTable tabId="17" name="PivotTable9"/>
    <pivotTable tabId="17" name="PivotTable10"/>
  </pivotTables>
  <data>
    <tabular pivotCacheId="128140630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E65244CE-9CA1-415B-88CF-728645C0AC5F}" sourceName="Patient Gender">
  <pivotTables>
    <pivotTable tabId="17" name="PivotTable1"/>
    <pivotTable tabId="17" name="PivotTable13"/>
    <pivotTable tabId="17" name="PivotTable2"/>
    <pivotTable tabId="17" name="PivotTable3"/>
    <pivotTable tabId="17" name="PivotTable4"/>
    <pivotTable tabId="17" name="PivotTable8"/>
    <pivotTable tabId="17" name="PivotTable15"/>
    <pivotTable tabId="17" name="PivotTable5"/>
    <pivotTable tabId="17" name="PivotTable6"/>
    <pivotTable tabId="17" name="PivotTable7"/>
    <pivotTable tabId="17" name="PivotTable9"/>
    <pivotTable tabId="17" name="PivotTable10"/>
  </pivotTables>
  <data>
    <tabular pivotCacheId="128140630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atment Type 3" xr10:uid="{844EC650-C94F-4971-83E3-3F5D23AC4114}" cache="Slicer_Treatment_Type" caption="Treatment Type" columnCount="6" rowHeight="234950"/>
  <slicer name="Insurance Type 1" xr10:uid="{AB1F384A-D368-45D8-A046-AE7CF07B45D0}" cache="Slicer_Insurance_Type" caption="Insurance Type" columnCount="3" rowHeight="234950"/>
  <slicer name="Patient Gender 3" xr10:uid="{2F9C31FB-036E-4DDF-A92C-450944BC1510}" cache="Slicer_Patient_Gender" caption="Patient Gender"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002" totalsRowCount="1">
  <autoFilter ref="A1:M1001" xr:uid="{00000000-0009-0000-0100-000001000000}"/>
  <tableColumns count="13">
    <tableColumn id="1" xr3:uid="{00000000-0010-0000-0000-000001000000}" name="Patient ID" totalsRowLabel="Total"/>
    <tableColumn id="2" xr3:uid="{00000000-0010-0000-0000-000002000000}" name="Doctor Name"/>
    <tableColumn id="3" xr3:uid="{00000000-0010-0000-0000-000003000000}" name="Department"/>
    <tableColumn id="4" xr3:uid="{00000000-0010-0000-0000-000004000000}" name="Patient_Gender"/>
    <tableColumn id="5" xr3:uid="{00000000-0010-0000-0000-000005000000}" name="Patient_Age" dataDxfId="14"/>
    <tableColumn id="6" xr3:uid="{00000000-0010-0000-0000-000006000000}" name="Insurance_Type"/>
    <tableColumn id="7" xr3:uid="{00000000-0010-0000-0000-000007000000}" name="Treatment_Type"/>
    <tableColumn id="8" xr3:uid="{00000000-0010-0000-0000-000008000000}" name="Patient_Satisfaction_Score" dataDxfId="13"/>
    <tableColumn id="9" xr3:uid="{00000000-0010-0000-0000-000009000000}" name="Average_Treatment_Cost" dataDxfId="12"/>
    <tableColumn id="10" xr3:uid="{00000000-0010-0000-0000-00000A000000}" name="Readmission_Rate (%)" dataDxfId="11"/>
    <tableColumn id="11" xr3:uid="{00000000-0010-0000-0000-00000B000000}" name="Average_Wait_Time (mins)" dataDxfId="10"/>
    <tableColumn id="12" xr3:uid="{00000000-0010-0000-0000-00000C000000}" name="Staff_Rating" dataDxfId="9"/>
    <tableColumn id="13" xr3:uid="{00000000-0010-0000-0000-00000D000000}" name="Revenue_Generated" totalsRowFunction="sum" dataDxfId="8"/>
  </tableColumns>
  <tableStyleInfo name="TableStylePreset1_Accen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E1E131-C5C4-4C05-88BD-864D0ABD1A21}" name="Table1_36" displayName="Table1_36" ref="A1:O1002" totalsRowCount="1">
  <autoFilter ref="A1:O1001" xr:uid="{D1E1E131-C5C4-4C05-88BD-864D0ABD1A21}"/>
  <sortState xmlns:xlrd2="http://schemas.microsoft.com/office/spreadsheetml/2017/richdata2" ref="A2:O1001">
    <sortCondition ref="A1:A1001"/>
  </sortState>
  <tableColumns count="15">
    <tableColumn id="1" xr3:uid="{2B645641-F2BC-46FA-BEC4-9E82E31D5661}" name="Patient ID" totalsRowLabel="Total"/>
    <tableColumn id="2" xr3:uid="{A00838AC-E9A4-43CE-8A9F-77B7D1F1DD0B}" name="Doctor Name"/>
    <tableColumn id="3" xr3:uid="{2B854E1F-E2ED-4B1B-B626-56CDE551C124}" name="Department"/>
    <tableColumn id="4" xr3:uid="{DE93EFE0-BB72-4A01-A391-7D8C6A776CC1}" name="Patient Gender"/>
    <tableColumn id="5" xr3:uid="{FDA60B3A-64B9-4CFD-8410-121C31DF3829}" name="Patient Age"/>
    <tableColumn id="6" xr3:uid="{171B067A-4F15-439A-AEC0-6A27BF6680CE}" name="Insurance Type"/>
    <tableColumn id="7" xr3:uid="{5915891A-78DC-435F-ACCD-C094F9F88136}" name="Treatment Type" totalsRowLabel="TOTAL"/>
    <tableColumn id="8" xr3:uid="{6744FC34-4EEE-48C5-B491-31EF6254B999}" name="Patient Satisfaction Score"/>
    <tableColumn id="9" xr3:uid="{BA3B68A6-FDE0-4C09-8C69-277FBA19EE73}" name="Treatment Cost" totalsRowFunction="custom" totalsRowDxfId="3">
      <totalsRowFormula>SUM(I2:I1001)</totalsRowFormula>
    </tableColumn>
    <tableColumn id="10" xr3:uid="{4DC812EB-FE73-4D03-A363-EF0B95057C25}" name="Readmission Rate (%)"/>
    <tableColumn id="11" xr3:uid="{55316F2C-164B-4A99-AEF7-6F4387B3CF26}" name="Wait Time (mins)"/>
    <tableColumn id="12" xr3:uid="{4E54C827-D2A8-46FD-A306-5C8CF474D9BE}" name="Staff Rating"/>
    <tableColumn id="13" xr3:uid="{7FD3FF49-CBFB-4F22-9809-1CCB41CE6A7D}" name="Revenue Generated" totalsRowFunction="sum" totalsRowDxfId="2"/>
    <tableColumn id="15" xr3:uid="{B6631D4D-5286-4E20-A88D-8CEDF9B6B529}" name="Satisfaction score grouping" dataDxfId="1">
      <calculatedColumnFormula array="1">_xlfn.IFS(Table1_36[[#This Row],[Patient Satisfaction Score]]&gt;=83,"High",H2&lt;=75,"Low",TRUE,"Moderate")</calculatedColumnFormula>
    </tableColumn>
    <tableColumn id="14" xr3:uid="{47D796A2-6CE0-4DBB-8DFD-7D351498A9FA}" name="Age Grouping" dataDxfId="0">
      <calculatedColumnFormula>IF(E2&lt;19,"Pediatric","Adult")</calculatedColumnFormula>
    </tableColumn>
  </tableColumns>
  <tableStyleInfo name="TableStylePreset1_Accen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3" displayName="Table1_3" ref="A1:O1002" totalsRowCount="1">
  <autoFilter ref="A1:O1001" xr:uid="{00000000-0009-0000-0100-000002000000}"/>
  <sortState xmlns:xlrd2="http://schemas.microsoft.com/office/spreadsheetml/2017/richdata2" ref="A2:O1001">
    <sortCondition ref="E1:E1001"/>
  </sortState>
  <tableColumns count="15">
    <tableColumn id="1" xr3:uid="{00000000-0010-0000-0100-000001000000}" name="Patient ID" totalsRowLabel="Total"/>
    <tableColumn id="2" xr3:uid="{00000000-0010-0000-0100-000002000000}" name="Doctor Name"/>
    <tableColumn id="3" xr3:uid="{00000000-0010-0000-0100-000003000000}" name="Department"/>
    <tableColumn id="4" xr3:uid="{00000000-0010-0000-0100-000004000000}" name="Patient Gender"/>
    <tableColumn id="5" xr3:uid="{00000000-0010-0000-0100-000005000000}" name="Patient Age"/>
    <tableColumn id="6" xr3:uid="{00000000-0010-0000-0100-000006000000}" name="Insurance Type"/>
    <tableColumn id="7" xr3:uid="{00000000-0010-0000-0100-000007000000}" name="Treatment Type" totalsRowLabel="TOTAL"/>
    <tableColumn id="8" xr3:uid="{00000000-0010-0000-0100-000008000000}" name="Patient Satisfaction Score"/>
    <tableColumn id="9" xr3:uid="{00000000-0010-0000-0100-000009000000}" name="Treatment Cost" totalsRowFunction="custom" totalsRowDxfId="7">
      <totalsRowFormula>SUM(I2:I1001)</totalsRowFormula>
    </tableColumn>
    <tableColumn id="10" xr3:uid="{00000000-0010-0000-0100-00000A000000}" name="Readmission Rate (%)"/>
    <tableColumn id="11" xr3:uid="{00000000-0010-0000-0100-00000B000000}" name="Wait Time (mins)"/>
    <tableColumn id="12" xr3:uid="{00000000-0010-0000-0100-00000C000000}" name="Staff Rating"/>
    <tableColumn id="13" xr3:uid="{00000000-0010-0000-0100-00000D000000}" name="Revenue Generated" totalsRowFunction="sum" totalsRowDxfId="6" totalsRowCellStyle="Comma"/>
    <tableColumn id="15" xr3:uid="{00000000-0010-0000-0100-00000F000000}" name="Satisfaction score grouping" dataDxfId="5">
      <calculatedColumnFormula array="1">_xlfn.IFS(Table1_3[[#This Row],[Patient Satisfaction Score]]&gt;=83,"High",H2&lt;=75,"Low",TRUE,"Moderate")</calculatedColumnFormula>
    </tableColumn>
    <tableColumn id="14" xr3:uid="{B4A71960-D3B9-4B17-962A-A182099F33A5}" name="Age Grouping" dataDxfId="4">
      <calculatedColumnFormula>IF(E2&lt;19,"Pediatric","Adult")</calculatedColumnFormula>
    </tableColumn>
  </tableColumns>
  <tableStyleInfo name="TableStylePreset1_Accent6" showFirstColumn="0" showLastColumn="0" showRowStripes="1" showColumnStripes="0"/>
</table>
</file>

<file path=xl/theme/theme1.xml><?xml version="1.0" encoding="utf-8"?>
<a:theme xmlns:a="http://schemas.openxmlformats.org/drawingml/2006/main" name="Offic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workbookViewId="0">
      <selection activeCell="L25" sqref="L25"/>
    </sheetView>
  </sheetViews>
  <sheetFormatPr defaultColWidth="10" defaultRowHeight="14.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v>54</v>
      </c>
      <c r="F2" t="s">
        <v>17</v>
      </c>
      <c r="G2" t="s">
        <v>18</v>
      </c>
      <c r="H2">
        <v>73</v>
      </c>
      <c r="I2">
        <v>7906</v>
      </c>
      <c r="J2">
        <v>22.09</v>
      </c>
      <c r="K2">
        <v>82</v>
      </c>
      <c r="L2">
        <v>4</v>
      </c>
      <c r="M2">
        <v>21372</v>
      </c>
    </row>
    <row r="3" spans="1:13">
      <c r="A3" t="s">
        <v>19</v>
      </c>
      <c r="B3" t="s">
        <v>20</v>
      </c>
      <c r="C3" t="s">
        <v>21</v>
      </c>
      <c r="D3" t="s">
        <v>16</v>
      </c>
      <c r="E3">
        <v>50</v>
      </c>
      <c r="F3" t="s">
        <v>22</v>
      </c>
      <c r="G3" t="s">
        <v>23</v>
      </c>
      <c r="H3">
        <v>72</v>
      </c>
      <c r="I3">
        <v>5744</v>
      </c>
      <c r="J3">
        <v>12.9</v>
      </c>
      <c r="K3">
        <v>110</v>
      </c>
      <c r="L3">
        <v>3</v>
      </c>
      <c r="M3">
        <v>24909</v>
      </c>
    </row>
    <row r="4" spans="1:13">
      <c r="A4" t="s">
        <v>24</v>
      </c>
      <c r="B4" t="s">
        <v>25</v>
      </c>
      <c r="C4" t="s">
        <v>26</v>
      </c>
      <c r="D4" t="s">
        <v>27</v>
      </c>
      <c r="E4">
        <v>10</v>
      </c>
      <c r="F4" t="s">
        <v>17</v>
      </c>
      <c r="G4" t="s">
        <v>18</v>
      </c>
      <c r="H4">
        <v>83</v>
      </c>
      <c r="I4">
        <v>1993</v>
      </c>
      <c r="J4">
        <v>6.26</v>
      </c>
      <c r="K4">
        <v>33</v>
      </c>
      <c r="L4">
        <v>4</v>
      </c>
      <c r="M4">
        <v>8163</v>
      </c>
    </row>
    <row r="5" spans="1:13">
      <c r="A5" t="s">
        <v>28</v>
      </c>
      <c r="B5" t="s">
        <v>29</v>
      </c>
      <c r="C5" t="s">
        <v>30</v>
      </c>
      <c r="D5" t="s">
        <v>27</v>
      </c>
      <c r="E5">
        <v>32</v>
      </c>
      <c r="F5" t="s">
        <v>22</v>
      </c>
      <c r="G5" t="s">
        <v>31</v>
      </c>
      <c r="H5">
        <v>71</v>
      </c>
      <c r="I5">
        <v>5291</v>
      </c>
      <c r="J5">
        <v>19.579999999999998</v>
      </c>
      <c r="K5">
        <v>121</v>
      </c>
      <c r="L5">
        <v>3</v>
      </c>
      <c r="M5">
        <v>16385</v>
      </c>
    </row>
    <row r="6" spans="1:13">
      <c r="A6" t="s">
        <v>32</v>
      </c>
      <c r="B6" t="s">
        <v>33</v>
      </c>
      <c r="C6" t="s">
        <v>26</v>
      </c>
      <c r="D6" t="s">
        <v>27</v>
      </c>
      <c r="E6">
        <v>32</v>
      </c>
      <c r="F6" t="s">
        <v>34</v>
      </c>
      <c r="G6" t="s">
        <v>23</v>
      </c>
      <c r="H6">
        <v>84</v>
      </c>
      <c r="I6">
        <v>2199</v>
      </c>
      <c r="J6">
        <v>12.41</v>
      </c>
      <c r="K6">
        <v>39</v>
      </c>
      <c r="L6">
        <v>4</v>
      </c>
      <c r="M6">
        <v>5762</v>
      </c>
    </row>
    <row r="7" spans="1:13">
      <c r="A7" t="s">
        <v>35</v>
      </c>
      <c r="B7" t="s">
        <v>36</v>
      </c>
      <c r="C7" t="s">
        <v>21</v>
      </c>
      <c r="D7" t="s">
        <v>27</v>
      </c>
      <c r="E7">
        <v>40</v>
      </c>
      <c r="F7" t="s">
        <v>17</v>
      </c>
      <c r="G7" t="s">
        <v>18</v>
      </c>
      <c r="H7">
        <v>87</v>
      </c>
      <c r="I7">
        <v>4855</v>
      </c>
      <c r="J7">
        <v>19.37</v>
      </c>
      <c r="K7">
        <v>97</v>
      </c>
      <c r="L7">
        <v>5</v>
      </c>
      <c r="M7">
        <v>15278</v>
      </c>
    </row>
    <row r="8" spans="1:13">
      <c r="A8" t="s">
        <v>37</v>
      </c>
      <c r="B8" t="s">
        <v>38</v>
      </c>
      <c r="C8" t="s">
        <v>39</v>
      </c>
      <c r="D8" t="s">
        <v>27</v>
      </c>
      <c r="E8">
        <v>10</v>
      </c>
      <c r="F8" t="s">
        <v>17</v>
      </c>
      <c r="G8" t="s">
        <v>40</v>
      </c>
      <c r="H8">
        <v>76</v>
      </c>
      <c r="I8">
        <v>2930</v>
      </c>
      <c r="J8">
        <v>6.8</v>
      </c>
      <c r="K8">
        <v>63</v>
      </c>
      <c r="L8">
        <v>4</v>
      </c>
      <c r="M8">
        <v>15823</v>
      </c>
    </row>
    <row r="9" spans="1:13">
      <c r="A9" t="s">
        <v>41</v>
      </c>
      <c r="B9" t="s">
        <v>42</v>
      </c>
      <c r="C9" t="s">
        <v>39</v>
      </c>
      <c r="D9" t="s">
        <v>27</v>
      </c>
      <c r="E9">
        <v>18</v>
      </c>
      <c r="F9" t="s">
        <v>17</v>
      </c>
      <c r="G9" t="s">
        <v>31</v>
      </c>
      <c r="H9">
        <v>88</v>
      </c>
      <c r="I9">
        <v>2321</v>
      </c>
      <c r="J9">
        <v>8.5399999999999991</v>
      </c>
      <c r="K9">
        <v>42</v>
      </c>
      <c r="L9">
        <v>5</v>
      </c>
      <c r="M9">
        <v>11724</v>
      </c>
    </row>
    <row r="10" spans="1:13">
      <c r="A10" t="s">
        <v>43</v>
      </c>
      <c r="B10" t="s">
        <v>44</v>
      </c>
      <c r="C10" t="s">
        <v>45</v>
      </c>
      <c r="D10" t="s">
        <v>27</v>
      </c>
      <c r="E10">
        <v>28</v>
      </c>
      <c r="F10" t="s">
        <v>34</v>
      </c>
      <c r="G10" t="s">
        <v>23</v>
      </c>
      <c r="H10">
        <v>71</v>
      </c>
      <c r="I10">
        <v>9596</v>
      </c>
      <c r="J10">
        <v>20.9</v>
      </c>
      <c r="K10">
        <v>88</v>
      </c>
      <c r="L10">
        <v>3</v>
      </c>
      <c r="M10">
        <v>34434</v>
      </c>
    </row>
    <row r="11" spans="1:13">
      <c r="A11" t="s">
        <v>46</v>
      </c>
      <c r="B11" t="s">
        <v>47</v>
      </c>
      <c r="C11" t="s">
        <v>48</v>
      </c>
      <c r="D11" t="s">
        <v>16</v>
      </c>
      <c r="E11">
        <v>68</v>
      </c>
      <c r="F11" t="s">
        <v>34</v>
      </c>
      <c r="G11" t="s">
        <v>49</v>
      </c>
      <c r="H11">
        <v>76</v>
      </c>
      <c r="I11">
        <v>7001</v>
      </c>
      <c r="J11">
        <v>13.19</v>
      </c>
      <c r="K11">
        <v>57</v>
      </c>
      <c r="L11">
        <v>4</v>
      </c>
      <c r="M11">
        <v>34979</v>
      </c>
    </row>
    <row r="12" spans="1:13">
      <c r="A12" t="s">
        <v>50</v>
      </c>
      <c r="B12" t="s">
        <v>51</v>
      </c>
      <c r="C12" t="s">
        <v>52</v>
      </c>
      <c r="D12" t="s">
        <v>27</v>
      </c>
      <c r="E12">
        <v>52</v>
      </c>
      <c r="F12" t="s">
        <v>17</v>
      </c>
      <c r="G12" t="s">
        <v>40</v>
      </c>
      <c r="H12">
        <v>58</v>
      </c>
      <c r="I12">
        <v>7942</v>
      </c>
      <c r="J12">
        <v>20.260000000000002</v>
      </c>
      <c r="K12">
        <v>110</v>
      </c>
      <c r="L12">
        <v>3</v>
      </c>
      <c r="M12">
        <v>20561</v>
      </c>
    </row>
    <row r="13" spans="1:13">
      <c r="A13" t="s">
        <v>53</v>
      </c>
      <c r="B13" t="s">
        <v>54</v>
      </c>
      <c r="C13" t="s">
        <v>15</v>
      </c>
      <c r="D13" t="s">
        <v>16</v>
      </c>
      <c r="E13">
        <v>16</v>
      </c>
      <c r="F13" t="s">
        <v>34</v>
      </c>
      <c r="G13" t="s">
        <v>40</v>
      </c>
      <c r="H13">
        <v>71</v>
      </c>
      <c r="I13">
        <v>8264</v>
      </c>
      <c r="J13">
        <v>16.079999999999998</v>
      </c>
      <c r="K13">
        <v>105</v>
      </c>
      <c r="L13">
        <v>3</v>
      </c>
      <c r="M13">
        <v>42513</v>
      </c>
    </row>
    <row r="14" spans="1:13">
      <c r="A14" t="s">
        <v>55</v>
      </c>
      <c r="B14" t="s">
        <v>56</v>
      </c>
      <c r="C14" t="s">
        <v>45</v>
      </c>
      <c r="D14" t="s">
        <v>27</v>
      </c>
      <c r="E14">
        <v>28</v>
      </c>
      <c r="F14" t="s">
        <v>34</v>
      </c>
      <c r="G14" t="s">
        <v>18</v>
      </c>
      <c r="H14">
        <v>73</v>
      </c>
      <c r="I14">
        <v>10647</v>
      </c>
      <c r="J14">
        <v>18.32</v>
      </c>
      <c r="K14">
        <v>84</v>
      </c>
      <c r="L14">
        <v>4</v>
      </c>
      <c r="M14">
        <v>59878</v>
      </c>
    </row>
    <row r="15" spans="1:13">
      <c r="A15" t="s">
        <v>57</v>
      </c>
      <c r="B15" t="s">
        <v>58</v>
      </c>
      <c r="C15" t="s">
        <v>48</v>
      </c>
      <c r="D15" t="s">
        <v>16</v>
      </c>
      <c r="E15">
        <v>72</v>
      </c>
      <c r="F15" t="s">
        <v>17</v>
      </c>
      <c r="G15" t="s">
        <v>49</v>
      </c>
      <c r="H15">
        <v>77</v>
      </c>
      <c r="I15">
        <v>5628</v>
      </c>
      <c r="J15">
        <v>14.69</v>
      </c>
      <c r="K15">
        <v>78</v>
      </c>
      <c r="L15">
        <v>4</v>
      </c>
      <c r="M15">
        <v>22483</v>
      </c>
    </row>
    <row r="16" spans="1:13">
      <c r="A16" t="s">
        <v>59</v>
      </c>
      <c r="B16" t="s">
        <v>60</v>
      </c>
      <c r="C16" t="s">
        <v>52</v>
      </c>
      <c r="D16" t="s">
        <v>27</v>
      </c>
      <c r="E16">
        <v>50</v>
      </c>
      <c r="F16" t="s">
        <v>34</v>
      </c>
      <c r="G16" t="s">
        <v>31</v>
      </c>
      <c r="H16">
        <v>71</v>
      </c>
      <c r="I16">
        <v>8008</v>
      </c>
      <c r="J16">
        <v>13.06</v>
      </c>
      <c r="K16">
        <v>85</v>
      </c>
      <c r="L16">
        <v>3</v>
      </c>
      <c r="M16">
        <v>23379</v>
      </c>
    </row>
    <row r="17" spans="1:13">
      <c r="A17" t="s">
        <v>61</v>
      </c>
      <c r="B17" t="s">
        <v>62</v>
      </c>
      <c r="C17" t="s">
        <v>52</v>
      </c>
      <c r="D17" t="s">
        <v>16</v>
      </c>
      <c r="E17">
        <v>54</v>
      </c>
      <c r="F17" t="s">
        <v>17</v>
      </c>
      <c r="G17" t="s">
        <v>18</v>
      </c>
      <c r="H17">
        <v>78</v>
      </c>
      <c r="I17">
        <v>8343</v>
      </c>
      <c r="J17">
        <v>5.91</v>
      </c>
      <c r="K17">
        <v>76</v>
      </c>
      <c r="L17">
        <v>4</v>
      </c>
      <c r="M17">
        <v>49234</v>
      </c>
    </row>
    <row r="18" spans="1:13">
      <c r="A18" t="s">
        <v>63</v>
      </c>
      <c r="B18" t="s">
        <v>64</v>
      </c>
      <c r="C18" t="s">
        <v>30</v>
      </c>
      <c r="D18" t="s">
        <v>27</v>
      </c>
      <c r="E18">
        <v>6</v>
      </c>
      <c r="F18" t="s">
        <v>17</v>
      </c>
      <c r="G18" t="s">
        <v>18</v>
      </c>
      <c r="H18">
        <v>66</v>
      </c>
      <c r="I18">
        <v>3542</v>
      </c>
      <c r="J18">
        <v>27.85</v>
      </c>
      <c r="K18">
        <v>109</v>
      </c>
      <c r="L18">
        <v>3</v>
      </c>
      <c r="M18">
        <v>10651</v>
      </c>
    </row>
    <row r="19" spans="1:13">
      <c r="A19" t="s">
        <v>65</v>
      </c>
      <c r="B19" t="s">
        <v>66</v>
      </c>
      <c r="C19" t="s">
        <v>39</v>
      </c>
      <c r="D19" t="s">
        <v>16</v>
      </c>
      <c r="E19">
        <v>12</v>
      </c>
      <c r="F19" t="s">
        <v>34</v>
      </c>
      <c r="G19" t="s">
        <v>31</v>
      </c>
      <c r="H19">
        <v>82</v>
      </c>
      <c r="I19">
        <v>3460</v>
      </c>
      <c r="J19">
        <v>3.4</v>
      </c>
      <c r="K19">
        <v>59</v>
      </c>
      <c r="L19">
        <v>4</v>
      </c>
      <c r="M19">
        <v>17468</v>
      </c>
    </row>
    <row r="20" spans="1:13">
      <c r="A20" t="s">
        <v>67</v>
      </c>
      <c r="B20" t="s">
        <v>68</v>
      </c>
      <c r="C20" t="s">
        <v>45</v>
      </c>
      <c r="D20" t="s">
        <v>27</v>
      </c>
      <c r="E20">
        <v>73</v>
      </c>
      <c r="F20" t="s">
        <v>17</v>
      </c>
      <c r="G20" t="s">
        <v>31</v>
      </c>
      <c r="H20">
        <v>69</v>
      </c>
      <c r="I20">
        <v>10056</v>
      </c>
      <c r="J20">
        <v>25.76</v>
      </c>
      <c r="K20">
        <v>66</v>
      </c>
      <c r="L20">
        <v>3</v>
      </c>
      <c r="M20">
        <v>26575</v>
      </c>
    </row>
    <row r="21" spans="1:13">
      <c r="A21" t="s">
        <v>69</v>
      </c>
      <c r="B21" t="s">
        <v>47</v>
      </c>
      <c r="C21" t="s">
        <v>48</v>
      </c>
      <c r="D21" t="s">
        <v>27</v>
      </c>
      <c r="E21">
        <v>79</v>
      </c>
      <c r="F21" t="s">
        <v>22</v>
      </c>
      <c r="G21" t="s">
        <v>70</v>
      </c>
      <c r="H21">
        <v>81</v>
      </c>
      <c r="I21">
        <v>6010</v>
      </c>
      <c r="J21">
        <v>10.54</v>
      </c>
      <c r="K21">
        <v>92</v>
      </c>
      <c r="L21">
        <v>4</v>
      </c>
      <c r="M21">
        <v>18692</v>
      </c>
    </row>
    <row r="22" spans="1:13">
      <c r="A22" t="s">
        <v>71</v>
      </c>
      <c r="B22" t="s">
        <v>66</v>
      </c>
      <c r="C22" t="s">
        <v>39</v>
      </c>
      <c r="D22" t="s">
        <v>72</v>
      </c>
      <c r="E22">
        <v>18</v>
      </c>
      <c r="F22" t="s">
        <v>17</v>
      </c>
      <c r="G22" t="s">
        <v>49</v>
      </c>
      <c r="H22">
        <v>84</v>
      </c>
      <c r="I22">
        <v>2530</v>
      </c>
      <c r="J22">
        <v>6.71</v>
      </c>
      <c r="K22">
        <v>90</v>
      </c>
      <c r="L22">
        <v>4</v>
      </c>
      <c r="M22">
        <v>13561</v>
      </c>
    </row>
    <row r="23" spans="1:13">
      <c r="A23" t="s">
        <v>73</v>
      </c>
      <c r="B23" t="s">
        <v>74</v>
      </c>
      <c r="C23" t="s">
        <v>45</v>
      </c>
      <c r="D23" t="s">
        <v>16</v>
      </c>
      <c r="E23">
        <v>72</v>
      </c>
      <c r="F23" t="s">
        <v>17</v>
      </c>
      <c r="G23" t="s">
        <v>18</v>
      </c>
      <c r="H23">
        <v>62</v>
      </c>
      <c r="I23">
        <v>8415</v>
      </c>
      <c r="J23">
        <v>16.18</v>
      </c>
      <c r="K23">
        <v>145</v>
      </c>
      <c r="L23">
        <v>4</v>
      </c>
      <c r="M23">
        <v>31322</v>
      </c>
    </row>
    <row r="24" spans="1:13">
      <c r="A24" t="s">
        <v>75</v>
      </c>
      <c r="B24" t="s">
        <v>36</v>
      </c>
      <c r="C24" t="s">
        <v>21</v>
      </c>
      <c r="D24" t="s">
        <v>16</v>
      </c>
      <c r="E24">
        <v>55</v>
      </c>
      <c r="F24" t="s">
        <v>34</v>
      </c>
      <c r="G24" t="s">
        <v>70</v>
      </c>
      <c r="H24">
        <v>72</v>
      </c>
      <c r="I24">
        <v>6825</v>
      </c>
      <c r="J24">
        <v>16.39</v>
      </c>
      <c r="K24">
        <v>95</v>
      </c>
      <c r="L24">
        <v>4</v>
      </c>
      <c r="M24">
        <v>20923</v>
      </c>
    </row>
    <row r="25" spans="1:13">
      <c r="A25" t="s">
        <v>76</v>
      </c>
      <c r="B25" t="s">
        <v>44</v>
      </c>
      <c r="C25" t="s">
        <v>45</v>
      </c>
      <c r="D25" t="s">
        <v>27</v>
      </c>
      <c r="E25">
        <v>49</v>
      </c>
      <c r="F25" t="s">
        <v>22</v>
      </c>
      <c r="G25" t="s">
        <v>23</v>
      </c>
      <c r="H25">
        <v>80</v>
      </c>
      <c r="I25">
        <v>9314</v>
      </c>
      <c r="J25">
        <v>12.13</v>
      </c>
      <c r="K25">
        <v>111</v>
      </c>
      <c r="L25">
        <v>5</v>
      </c>
      <c r="M25">
        <v>30595</v>
      </c>
    </row>
    <row r="26" spans="1:13">
      <c r="A26" t="s">
        <v>77</v>
      </c>
      <c r="B26" t="s">
        <v>78</v>
      </c>
      <c r="C26" t="s">
        <v>15</v>
      </c>
      <c r="D26" t="s">
        <v>16</v>
      </c>
      <c r="E26">
        <v>25</v>
      </c>
      <c r="F26" t="s">
        <v>22</v>
      </c>
      <c r="G26" t="s">
        <v>40</v>
      </c>
      <c r="H26">
        <v>81</v>
      </c>
      <c r="I26">
        <v>8622</v>
      </c>
      <c r="J26">
        <v>12.72</v>
      </c>
      <c r="K26">
        <v>100</v>
      </c>
      <c r="L26">
        <v>4</v>
      </c>
      <c r="M26">
        <v>41399</v>
      </c>
    </row>
    <row r="27" spans="1:13">
      <c r="A27" t="s">
        <v>79</v>
      </c>
      <c r="B27" t="s">
        <v>80</v>
      </c>
      <c r="C27" t="s">
        <v>15</v>
      </c>
      <c r="D27" t="s">
        <v>27</v>
      </c>
      <c r="E27">
        <v>27</v>
      </c>
      <c r="F27" t="s">
        <v>34</v>
      </c>
      <c r="G27" t="s">
        <v>23</v>
      </c>
      <c r="H27">
        <v>82</v>
      </c>
      <c r="I27">
        <v>5082</v>
      </c>
      <c r="J27">
        <v>12.91</v>
      </c>
      <c r="K27">
        <v>87</v>
      </c>
      <c r="L27">
        <v>4</v>
      </c>
      <c r="M27">
        <v>23931</v>
      </c>
    </row>
    <row r="28" spans="1:13">
      <c r="A28" t="s">
        <v>81</v>
      </c>
      <c r="B28" t="s">
        <v>47</v>
      </c>
      <c r="C28" t="s">
        <v>48</v>
      </c>
      <c r="D28" t="s">
        <v>16</v>
      </c>
      <c r="E28">
        <v>45</v>
      </c>
      <c r="F28" t="s">
        <v>22</v>
      </c>
      <c r="G28" t="s">
        <v>23</v>
      </c>
      <c r="H28">
        <v>74</v>
      </c>
      <c r="I28">
        <v>5682</v>
      </c>
      <c r="J28">
        <v>22.88</v>
      </c>
      <c r="K28">
        <v>104</v>
      </c>
      <c r="L28">
        <v>3</v>
      </c>
      <c r="M28">
        <v>19788</v>
      </c>
    </row>
    <row r="29" spans="1:13">
      <c r="A29" t="s">
        <v>82</v>
      </c>
      <c r="B29" t="s">
        <v>47</v>
      </c>
      <c r="C29" t="s">
        <v>48</v>
      </c>
      <c r="D29" t="s">
        <v>16</v>
      </c>
      <c r="E29">
        <v>45</v>
      </c>
      <c r="F29" t="s">
        <v>17</v>
      </c>
      <c r="G29" t="s">
        <v>40</v>
      </c>
      <c r="H29">
        <v>76</v>
      </c>
      <c r="I29">
        <v>5851</v>
      </c>
      <c r="J29">
        <v>14.96</v>
      </c>
      <c r="K29">
        <v>72</v>
      </c>
      <c r="L29">
        <v>4</v>
      </c>
      <c r="M29">
        <v>22513</v>
      </c>
    </row>
    <row r="30" spans="1:13">
      <c r="A30" t="s">
        <v>83</v>
      </c>
      <c r="B30" t="s">
        <v>84</v>
      </c>
      <c r="C30" t="s">
        <v>21</v>
      </c>
      <c r="D30" t="s">
        <v>16</v>
      </c>
      <c r="E30">
        <v>36</v>
      </c>
      <c r="F30" t="s">
        <v>22</v>
      </c>
      <c r="G30" t="s">
        <v>23</v>
      </c>
      <c r="H30">
        <v>77</v>
      </c>
      <c r="I30">
        <v>6778</v>
      </c>
      <c r="J30">
        <v>10.02</v>
      </c>
      <c r="K30">
        <v>107</v>
      </c>
      <c r="L30">
        <v>4</v>
      </c>
      <c r="M30">
        <v>30468</v>
      </c>
    </row>
    <row r="31" spans="1:13">
      <c r="A31" t="s">
        <v>85</v>
      </c>
      <c r="B31" t="s">
        <v>54</v>
      </c>
      <c r="C31" t="s">
        <v>39</v>
      </c>
      <c r="D31" t="s">
        <v>27</v>
      </c>
      <c r="E31">
        <v>13</v>
      </c>
      <c r="F31" t="s">
        <v>34</v>
      </c>
      <c r="G31" t="s">
        <v>40</v>
      </c>
      <c r="H31">
        <v>90</v>
      </c>
      <c r="I31">
        <v>3634</v>
      </c>
      <c r="J31">
        <v>8.2100000000000009</v>
      </c>
      <c r="K31">
        <v>43</v>
      </c>
      <c r="L31">
        <v>5</v>
      </c>
      <c r="M31">
        <v>18019</v>
      </c>
    </row>
    <row r="32" spans="1:13">
      <c r="A32" t="s">
        <v>86</v>
      </c>
      <c r="B32" t="s">
        <v>51</v>
      </c>
      <c r="C32" t="s">
        <v>52</v>
      </c>
      <c r="D32" t="s">
        <v>27</v>
      </c>
      <c r="E32">
        <v>17</v>
      </c>
      <c r="F32" t="s">
        <v>22</v>
      </c>
      <c r="G32" t="s">
        <v>23</v>
      </c>
      <c r="H32">
        <v>82</v>
      </c>
      <c r="I32">
        <v>8824</v>
      </c>
      <c r="J32">
        <v>16.059999999999999</v>
      </c>
      <c r="K32">
        <v>61</v>
      </c>
      <c r="L32">
        <v>5</v>
      </c>
      <c r="M32">
        <v>46714</v>
      </c>
    </row>
    <row r="33" spans="1:13">
      <c r="A33" t="s">
        <v>87</v>
      </c>
      <c r="B33" t="s">
        <v>88</v>
      </c>
      <c r="C33" t="s">
        <v>15</v>
      </c>
      <c r="D33" t="s">
        <v>16</v>
      </c>
      <c r="E33">
        <v>71</v>
      </c>
      <c r="F33" t="s">
        <v>22</v>
      </c>
      <c r="G33" t="s">
        <v>18</v>
      </c>
      <c r="H33">
        <v>68</v>
      </c>
      <c r="I33">
        <v>7325</v>
      </c>
      <c r="J33">
        <v>16.7</v>
      </c>
      <c r="K33">
        <v>104</v>
      </c>
      <c r="L33">
        <v>3</v>
      </c>
      <c r="M33">
        <v>20721</v>
      </c>
    </row>
    <row r="34" spans="1:13">
      <c r="A34" t="s">
        <v>89</v>
      </c>
      <c r="B34" t="s">
        <v>36</v>
      </c>
      <c r="C34" t="s">
        <v>21</v>
      </c>
      <c r="D34" t="s">
        <v>16</v>
      </c>
      <c r="E34">
        <v>35</v>
      </c>
      <c r="F34" t="s">
        <v>17</v>
      </c>
      <c r="G34" t="s">
        <v>40</v>
      </c>
      <c r="H34">
        <v>83</v>
      </c>
      <c r="I34">
        <v>9509</v>
      </c>
      <c r="J34">
        <v>7.53</v>
      </c>
      <c r="K34">
        <v>91</v>
      </c>
      <c r="L34">
        <v>4</v>
      </c>
      <c r="M34">
        <v>24787</v>
      </c>
    </row>
    <row r="35" spans="1:13">
      <c r="A35" t="s">
        <v>90</v>
      </c>
      <c r="B35" t="s">
        <v>33</v>
      </c>
      <c r="C35" t="s">
        <v>26</v>
      </c>
      <c r="D35" t="s">
        <v>16</v>
      </c>
      <c r="E35">
        <v>27</v>
      </c>
      <c r="F35" t="s">
        <v>22</v>
      </c>
      <c r="G35" t="s">
        <v>31</v>
      </c>
      <c r="H35">
        <v>90</v>
      </c>
      <c r="I35">
        <v>3280</v>
      </c>
      <c r="J35">
        <v>5.51</v>
      </c>
      <c r="K35">
        <v>38</v>
      </c>
      <c r="L35">
        <v>4</v>
      </c>
      <c r="M35">
        <v>9179</v>
      </c>
    </row>
    <row r="36" spans="1:13">
      <c r="A36" t="s">
        <v>91</v>
      </c>
      <c r="B36" t="s">
        <v>62</v>
      </c>
      <c r="C36" t="s">
        <v>52</v>
      </c>
      <c r="D36" t="s">
        <v>27</v>
      </c>
      <c r="E36">
        <v>45</v>
      </c>
      <c r="F36" t="s">
        <v>22</v>
      </c>
      <c r="G36" t="s">
        <v>31</v>
      </c>
      <c r="H36">
        <v>68</v>
      </c>
      <c r="I36">
        <v>11430</v>
      </c>
      <c r="J36">
        <v>16.54</v>
      </c>
      <c r="K36">
        <v>66</v>
      </c>
      <c r="L36">
        <v>3</v>
      </c>
      <c r="M36">
        <v>60386</v>
      </c>
    </row>
    <row r="37" spans="1:13">
      <c r="A37" t="s">
        <v>92</v>
      </c>
      <c r="B37" t="s">
        <v>54</v>
      </c>
      <c r="C37" t="s">
        <v>39</v>
      </c>
      <c r="D37" t="s">
        <v>16</v>
      </c>
      <c r="E37">
        <v>12</v>
      </c>
      <c r="F37" t="s">
        <v>34</v>
      </c>
      <c r="G37" t="s">
        <v>23</v>
      </c>
      <c r="H37">
        <v>83</v>
      </c>
      <c r="I37">
        <v>2536</v>
      </c>
      <c r="J37">
        <v>14.65</v>
      </c>
      <c r="K37">
        <v>26</v>
      </c>
      <c r="L37">
        <v>4</v>
      </c>
      <c r="M37">
        <v>8561</v>
      </c>
    </row>
    <row r="38" spans="1:13">
      <c r="A38" t="s">
        <v>93</v>
      </c>
      <c r="B38" t="s">
        <v>60</v>
      </c>
      <c r="C38" t="s">
        <v>52</v>
      </c>
      <c r="D38" t="s">
        <v>27</v>
      </c>
      <c r="E38">
        <v>80</v>
      </c>
      <c r="F38" t="s">
        <v>17</v>
      </c>
      <c r="G38" t="s">
        <v>49</v>
      </c>
      <c r="H38">
        <v>86</v>
      </c>
      <c r="I38">
        <v>5982</v>
      </c>
      <c r="J38">
        <v>17.670000000000002</v>
      </c>
      <c r="K38">
        <v>88</v>
      </c>
      <c r="L38">
        <v>5</v>
      </c>
      <c r="M38">
        <v>23740</v>
      </c>
    </row>
    <row r="39" spans="1:13">
      <c r="A39" t="s">
        <v>94</v>
      </c>
      <c r="B39" t="s">
        <v>95</v>
      </c>
      <c r="C39" t="s">
        <v>52</v>
      </c>
      <c r="D39" t="s">
        <v>27</v>
      </c>
      <c r="E39">
        <v>30</v>
      </c>
      <c r="F39" t="s">
        <v>17</v>
      </c>
      <c r="G39" t="s">
        <v>31</v>
      </c>
      <c r="H39">
        <v>77</v>
      </c>
      <c r="I39">
        <v>7620</v>
      </c>
      <c r="J39">
        <v>21.49</v>
      </c>
      <c r="K39">
        <v>54</v>
      </c>
      <c r="L39">
        <v>3</v>
      </c>
      <c r="M39">
        <v>31677</v>
      </c>
    </row>
    <row r="40" spans="1:13">
      <c r="A40" t="s">
        <v>96</v>
      </c>
      <c r="B40" t="s">
        <v>97</v>
      </c>
      <c r="C40" t="s">
        <v>30</v>
      </c>
      <c r="D40" t="s">
        <v>27</v>
      </c>
      <c r="E40">
        <v>39</v>
      </c>
      <c r="F40" t="s">
        <v>17</v>
      </c>
      <c r="G40" t="s">
        <v>40</v>
      </c>
      <c r="H40">
        <v>76</v>
      </c>
      <c r="I40">
        <v>4642</v>
      </c>
      <c r="J40">
        <v>12.28</v>
      </c>
      <c r="K40">
        <v>85</v>
      </c>
      <c r="L40">
        <v>4</v>
      </c>
      <c r="M40">
        <v>17691</v>
      </c>
    </row>
    <row r="41" spans="1:13">
      <c r="A41" t="s">
        <v>98</v>
      </c>
      <c r="B41" t="s">
        <v>78</v>
      </c>
      <c r="C41" t="s">
        <v>15</v>
      </c>
      <c r="D41" t="s">
        <v>27</v>
      </c>
      <c r="E41">
        <v>46</v>
      </c>
      <c r="F41" t="s">
        <v>22</v>
      </c>
      <c r="G41" t="s">
        <v>70</v>
      </c>
      <c r="H41">
        <v>68</v>
      </c>
      <c r="I41">
        <v>7566</v>
      </c>
      <c r="J41">
        <v>19.64</v>
      </c>
      <c r="K41">
        <v>131</v>
      </c>
      <c r="L41">
        <v>3</v>
      </c>
      <c r="M41">
        <v>34426</v>
      </c>
    </row>
    <row r="42" spans="1:13">
      <c r="A42" t="s">
        <v>99</v>
      </c>
      <c r="B42" t="s">
        <v>95</v>
      </c>
      <c r="C42" t="s">
        <v>52</v>
      </c>
      <c r="D42" t="s">
        <v>27</v>
      </c>
      <c r="E42">
        <v>47</v>
      </c>
      <c r="F42" t="s">
        <v>22</v>
      </c>
      <c r="G42" t="s">
        <v>49</v>
      </c>
      <c r="H42">
        <v>90</v>
      </c>
      <c r="I42">
        <v>10537</v>
      </c>
      <c r="J42">
        <v>9.0500000000000007</v>
      </c>
      <c r="K42">
        <v>93</v>
      </c>
      <c r="L42">
        <v>4</v>
      </c>
      <c r="M42">
        <v>61063</v>
      </c>
    </row>
    <row r="43" spans="1:13">
      <c r="A43" t="s">
        <v>100</v>
      </c>
      <c r="B43" t="s">
        <v>68</v>
      </c>
      <c r="C43" t="s">
        <v>45</v>
      </c>
      <c r="D43" t="s">
        <v>16</v>
      </c>
      <c r="E43">
        <v>53</v>
      </c>
      <c r="F43" t="s">
        <v>34</v>
      </c>
      <c r="G43" t="s">
        <v>18</v>
      </c>
      <c r="H43">
        <v>79</v>
      </c>
      <c r="I43">
        <v>8124</v>
      </c>
      <c r="J43">
        <v>17.829999999999998</v>
      </c>
      <c r="K43">
        <v>92</v>
      </c>
      <c r="L43">
        <v>4</v>
      </c>
      <c r="M43">
        <v>20971</v>
      </c>
    </row>
    <row r="44" spans="1:13">
      <c r="A44" t="s">
        <v>101</v>
      </c>
      <c r="B44" t="s">
        <v>14</v>
      </c>
      <c r="C44" t="s">
        <v>15</v>
      </c>
      <c r="D44" t="s">
        <v>16</v>
      </c>
      <c r="E44">
        <v>33</v>
      </c>
      <c r="F44" t="s">
        <v>34</v>
      </c>
      <c r="G44" t="s">
        <v>70</v>
      </c>
      <c r="H44">
        <v>80</v>
      </c>
      <c r="I44">
        <v>7499</v>
      </c>
      <c r="J44">
        <v>13.23</v>
      </c>
      <c r="K44">
        <v>101</v>
      </c>
      <c r="L44">
        <v>4</v>
      </c>
      <c r="M44">
        <v>38040</v>
      </c>
    </row>
    <row r="45" spans="1:13">
      <c r="A45" t="s">
        <v>102</v>
      </c>
      <c r="B45" t="s">
        <v>103</v>
      </c>
      <c r="C45" t="s">
        <v>26</v>
      </c>
      <c r="D45" t="s">
        <v>16</v>
      </c>
      <c r="E45">
        <v>32</v>
      </c>
      <c r="F45" t="s">
        <v>17</v>
      </c>
      <c r="G45" t="s">
        <v>31</v>
      </c>
      <c r="H45">
        <v>77</v>
      </c>
      <c r="I45">
        <v>2775</v>
      </c>
      <c r="J45">
        <v>2.16</v>
      </c>
      <c r="K45">
        <v>62</v>
      </c>
      <c r="L45">
        <v>3</v>
      </c>
      <c r="M45">
        <v>14478</v>
      </c>
    </row>
    <row r="46" spans="1:13">
      <c r="A46" t="s">
        <v>104</v>
      </c>
      <c r="B46" t="s">
        <v>14</v>
      </c>
      <c r="C46" t="s">
        <v>15</v>
      </c>
      <c r="D46" t="s">
        <v>27</v>
      </c>
      <c r="E46">
        <v>55</v>
      </c>
      <c r="F46" t="s">
        <v>34</v>
      </c>
      <c r="G46" t="s">
        <v>23</v>
      </c>
      <c r="H46">
        <v>79</v>
      </c>
      <c r="I46">
        <v>6695</v>
      </c>
      <c r="J46">
        <v>20.399999999999999</v>
      </c>
      <c r="K46">
        <v>80</v>
      </c>
      <c r="L46">
        <v>4</v>
      </c>
      <c r="M46">
        <v>19153</v>
      </c>
    </row>
    <row r="47" spans="1:13">
      <c r="A47" t="s">
        <v>105</v>
      </c>
      <c r="B47" t="s">
        <v>60</v>
      </c>
      <c r="C47" t="s">
        <v>52</v>
      </c>
      <c r="D47" t="s">
        <v>27</v>
      </c>
      <c r="E47">
        <v>45</v>
      </c>
      <c r="F47" t="s">
        <v>34</v>
      </c>
      <c r="G47" t="s">
        <v>18</v>
      </c>
      <c r="H47">
        <v>73</v>
      </c>
      <c r="I47">
        <v>7162</v>
      </c>
      <c r="J47">
        <v>17.8</v>
      </c>
      <c r="K47">
        <v>98</v>
      </c>
      <c r="L47">
        <v>4</v>
      </c>
      <c r="M47">
        <v>18176</v>
      </c>
    </row>
    <row r="48" spans="1:13">
      <c r="A48" t="s">
        <v>106</v>
      </c>
      <c r="B48" t="s">
        <v>33</v>
      </c>
      <c r="C48" t="s">
        <v>26</v>
      </c>
      <c r="D48" t="s">
        <v>27</v>
      </c>
      <c r="E48">
        <v>51</v>
      </c>
      <c r="F48" t="s">
        <v>17</v>
      </c>
      <c r="G48" t="s">
        <v>23</v>
      </c>
      <c r="H48">
        <v>82</v>
      </c>
      <c r="I48">
        <v>2548</v>
      </c>
      <c r="J48">
        <v>7.38</v>
      </c>
      <c r="K48">
        <v>42</v>
      </c>
      <c r="L48">
        <v>5</v>
      </c>
      <c r="M48">
        <v>8984</v>
      </c>
    </row>
    <row r="49" spans="1:13">
      <c r="A49" t="s">
        <v>107</v>
      </c>
      <c r="B49" t="s">
        <v>44</v>
      </c>
      <c r="C49" t="s">
        <v>45</v>
      </c>
      <c r="D49" t="s">
        <v>27</v>
      </c>
      <c r="E49">
        <v>69</v>
      </c>
      <c r="F49" t="s">
        <v>22</v>
      </c>
      <c r="G49" t="s">
        <v>49</v>
      </c>
      <c r="H49">
        <v>73</v>
      </c>
      <c r="I49">
        <v>10387</v>
      </c>
      <c r="J49">
        <v>19.670000000000002</v>
      </c>
      <c r="K49">
        <v>71</v>
      </c>
      <c r="L49">
        <v>4</v>
      </c>
      <c r="M49">
        <v>45945</v>
      </c>
    </row>
    <row r="50" spans="1:13">
      <c r="A50" t="s">
        <v>108</v>
      </c>
      <c r="B50" t="s">
        <v>109</v>
      </c>
      <c r="C50" t="s">
        <v>30</v>
      </c>
      <c r="D50" t="s">
        <v>16</v>
      </c>
      <c r="E50">
        <v>64</v>
      </c>
      <c r="F50" t="s">
        <v>17</v>
      </c>
      <c r="G50" t="s">
        <v>18</v>
      </c>
      <c r="H50">
        <v>75</v>
      </c>
      <c r="I50">
        <v>2922</v>
      </c>
      <c r="J50">
        <v>16.71</v>
      </c>
      <c r="K50">
        <v>107</v>
      </c>
      <c r="L50">
        <v>4</v>
      </c>
      <c r="M50">
        <v>13627</v>
      </c>
    </row>
    <row r="51" spans="1:13">
      <c r="A51" t="s">
        <v>110</v>
      </c>
      <c r="B51" t="s">
        <v>103</v>
      </c>
      <c r="C51" t="s">
        <v>26</v>
      </c>
      <c r="D51" t="s">
        <v>16</v>
      </c>
      <c r="E51">
        <v>36</v>
      </c>
      <c r="F51" t="s">
        <v>34</v>
      </c>
      <c r="G51" t="s">
        <v>23</v>
      </c>
      <c r="H51">
        <v>90</v>
      </c>
      <c r="I51">
        <v>2779</v>
      </c>
      <c r="J51">
        <v>8.49</v>
      </c>
      <c r="K51">
        <v>49</v>
      </c>
      <c r="L51">
        <v>4</v>
      </c>
      <c r="M51">
        <v>16160</v>
      </c>
    </row>
    <row r="52" spans="1:13">
      <c r="A52" t="s">
        <v>111</v>
      </c>
      <c r="B52" t="s">
        <v>36</v>
      </c>
      <c r="C52" t="s">
        <v>21</v>
      </c>
      <c r="D52" t="s">
        <v>27</v>
      </c>
      <c r="E52">
        <v>30</v>
      </c>
      <c r="F52" t="s">
        <v>34</v>
      </c>
      <c r="G52" t="s">
        <v>40</v>
      </c>
      <c r="H52">
        <v>78</v>
      </c>
      <c r="I52">
        <v>6904</v>
      </c>
      <c r="J52">
        <v>20.9</v>
      </c>
      <c r="K52">
        <v>85</v>
      </c>
      <c r="L52">
        <v>4</v>
      </c>
      <c r="M52">
        <v>19946</v>
      </c>
    </row>
    <row r="53" spans="1:13">
      <c r="A53" t="s">
        <v>112</v>
      </c>
      <c r="B53" t="s">
        <v>56</v>
      </c>
      <c r="C53" t="s">
        <v>45</v>
      </c>
      <c r="D53" t="s">
        <v>27</v>
      </c>
      <c r="E53">
        <v>38</v>
      </c>
      <c r="F53" t="s">
        <v>22</v>
      </c>
      <c r="G53" t="s">
        <v>49</v>
      </c>
      <c r="H53">
        <v>81</v>
      </c>
      <c r="I53">
        <v>7771</v>
      </c>
      <c r="J53">
        <v>16.809999999999999</v>
      </c>
      <c r="K53">
        <v>94</v>
      </c>
      <c r="L53">
        <v>4</v>
      </c>
      <c r="M53">
        <v>35294</v>
      </c>
    </row>
    <row r="54" spans="1:13">
      <c r="A54" t="s">
        <v>113</v>
      </c>
      <c r="B54" t="s">
        <v>68</v>
      </c>
      <c r="C54" t="s">
        <v>45</v>
      </c>
      <c r="D54" t="s">
        <v>27</v>
      </c>
      <c r="E54">
        <v>42</v>
      </c>
      <c r="F54" t="s">
        <v>17</v>
      </c>
      <c r="G54" t="s">
        <v>23</v>
      </c>
      <c r="H54">
        <v>76</v>
      </c>
      <c r="I54">
        <v>10242</v>
      </c>
      <c r="J54">
        <v>15.4</v>
      </c>
      <c r="K54">
        <v>103</v>
      </c>
      <c r="L54">
        <v>4</v>
      </c>
      <c r="M54">
        <v>28250</v>
      </c>
    </row>
    <row r="55" spans="1:13">
      <c r="A55" t="s">
        <v>114</v>
      </c>
      <c r="B55" t="s">
        <v>64</v>
      </c>
      <c r="C55" t="s">
        <v>30</v>
      </c>
      <c r="D55" t="s">
        <v>27</v>
      </c>
      <c r="E55">
        <v>54</v>
      </c>
      <c r="F55" t="s">
        <v>22</v>
      </c>
      <c r="G55" t="s">
        <v>70</v>
      </c>
      <c r="H55">
        <v>69</v>
      </c>
      <c r="I55">
        <v>5093</v>
      </c>
      <c r="J55">
        <v>19.62</v>
      </c>
      <c r="K55">
        <v>111</v>
      </c>
      <c r="L55">
        <v>4</v>
      </c>
      <c r="M55">
        <v>23919</v>
      </c>
    </row>
    <row r="56" spans="1:13">
      <c r="A56" t="s">
        <v>115</v>
      </c>
      <c r="B56" t="s">
        <v>20</v>
      </c>
      <c r="C56" t="s">
        <v>21</v>
      </c>
      <c r="D56" t="s">
        <v>72</v>
      </c>
      <c r="E56">
        <v>62</v>
      </c>
      <c r="F56" t="s">
        <v>17</v>
      </c>
      <c r="G56" t="s">
        <v>18</v>
      </c>
      <c r="H56">
        <v>73</v>
      </c>
      <c r="I56">
        <v>9346</v>
      </c>
      <c r="J56">
        <v>11.77</v>
      </c>
      <c r="K56">
        <v>93</v>
      </c>
      <c r="L56">
        <v>3</v>
      </c>
      <c r="M56">
        <v>38533</v>
      </c>
    </row>
    <row r="57" spans="1:13">
      <c r="A57" t="s">
        <v>116</v>
      </c>
      <c r="B57" t="s">
        <v>78</v>
      </c>
      <c r="C57" t="s">
        <v>15</v>
      </c>
      <c r="D57" t="s">
        <v>27</v>
      </c>
      <c r="E57">
        <v>65</v>
      </c>
      <c r="F57" t="s">
        <v>17</v>
      </c>
      <c r="G57" t="s">
        <v>70</v>
      </c>
      <c r="H57">
        <v>83</v>
      </c>
      <c r="I57">
        <v>4322</v>
      </c>
      <c r="J57">
        <v>17.45</v>
      </c>
      <c r="K57">
        <v>48</v>
      </c>
      <c r="L57">
        <v>5</v>
      </c>
      <c r="M57">
        <v>13264</v>
      </c>
    </row>
    <row r="58" spans="1:13">
      <c r="A58" t="s">
        <v>117</v>
      </c>
      <c r="B58" t="s">
        <v>78</v>
      </c>
      <c r="C58" t="s">
        <v>15</v>
      </c>
      <c r="D58" t="s">
        <v>27</v>
      </c>
      <c r="E58">
        <v>18</v>
      </c>
      <c r="F58" t="s">
        <v>22</v>
      </c>
      <c r="G58" t="s">
        <v>23</v>
      </c>
      <c r="H58">
        <v>64</v>
      </c>
      <c r="I58">
        <v>8651</v>
      </c>
      <c r="J58">
        <v>14.12</v>
      </c>
      <c r="K58">
        <v>121</v>
      </c>
      <c r="L58">
        <v>4</v>
      </c>
      <c r="M58">
        <v>50995</v>
      </c>
    </row>
    <row r="59" spans="1:13">
      <c r="A59" t="s">
        <v>118</v>
      </c>
      <c r="B59" t="s">
        <v>88</v>
      </c>
      <c r="C59" t="s">
        <v>15</v>
      </c>
      <c r="D59" t="s">
        <v>16</v>
      </c>
      <c r="E59">
        <v>50</v>
      </c>
      <c r="F59" t="s">
        <v>22</v>
      </c>
      <c r="G59" t="s">
        <v>49</v>
      </c>
      <c r="H59">
        <v>77</v>
      </c>
      <c r="I59">
        <v>3566</v>
      </c>
      <c r="J59">
        <v>12.39</v>
      </c>
      <c r="K59">
        <v>90</v>
      </c>
      <c r="L59">
        <v>4</v>
      </c>
      <c r="M59">
        <v>19707</v>
      </c>
    </row>
    <row r="60" spans="1:13">
      <c r="A60" t="s">
        <v>119</v>
      </c>
      <c r="B60" t="s">
        <v>25</v>
      </c>
      <c r="C60" t="s">
        <v>39</v>
      </c>
      <c r="D60" t="s">
        <v>27</v>
      </c>
      <c r="E60">
        <v>9</v>
      </c>
      <c r="F60" t="s">
        <v>22</v>
      </c>
      <c r="G60" t="s">
        <v>40</v>
      </c>
      <c r="H60">
        <v>77</v>
      </c>
      <c r="I60">
        <v>2729</v>
      </c>
      <c r="J60">
        <v>10.49</v>
      </c>
      <c r="K60">
        <v>60</v>
      </c>
      <c r="L60">
        <v>4</v>
      </c>
      <c r="M60">
        <v>15935</v>
      </c>
    </row>
    <row r="61" spans="1:13">
      <c r="A61" t="s">
        <v>120</v>
      </c>
      <c r="B61" t="s">
        <v>62</v>
      </c>
      <c r="C61" t="s">
        <v>52</v>
      </c>
      <c r="D61" t="s">
        <v>27</v>
      </c>
      <c r="E61">
        <v>17</v>
      </c>
      <c r="F61" t="s">
        <v>22</v>
      </c>
      <c r="G61" t="s">
        <v>31</v>
      </c>
      <c r="H61">
        <v>70</v>
      </c>
      <c r="I61">
        <v>9696</v>
      </c>
      <c r="J61">
        <v>20.170000000000002</v>
      </c>
      <c r="K61">
        <v>90</v>
      </c>
      <c r="L61">
        <v>3</v>
      </c>
      <c r="M61">
        <v>47030</v>
      </c>
    </row>
    <row r="62" spans="1:13">
      <c r="A62" t="s">
        <v>121</v>
      </c>
      <c r="B62" t="s">
        <v>122</v>
      </c>
      <c r="C62" t="s">
        <v>48</v>
      </c>
      <c r="D62" t="s">
        <v>27</v>
      </c>
      <c r="E62">
        <v>76</v>
      </c>
      <c r="F62" t="s">
        <v>17</v>
      </c>
      <c r="G62" t="s">
        <v>23</v>
      </c>
      <c r="H62">
        <v>90</v>
      </c>
      <c r="I62">
        <v>7415</v>
      </c>
      <c r="J62">
        <v>12.27</v>
      </c>
      <c r="K62">
        <v>77</v>
      </c>
      <c r="L62">
        <v>5</v>
      </c>
      <c r="M62">
        <v>41288</v>
      </c>
    </row>
    <row r="63" spans="1:13">
      <c r="A63" t="s">
        <v>123</v>
      </c>
      <c r="B63" t="s">
        <v>44</v>
      </c>
      <c r="C63" t="s">
        <v>45</v>
      </c>
      <c r="D63" t="s">
        <v>72</v>
      </c>
      <c r="E63">
        <v>24</v>
      </c>
      <c r="F63" t="s">
        <v>17</v>
      </c>
      <c r="G63" t="s">
        <v>23</v>
      </c>
      <c r="H63">
        <v>71</v>
      </c>
      <c r="I63">
        <v>11680</v>
      </c>
      <c r="J63">
        <v>20.51</v>
      </c>
      <c r="K63">
        <v>89</v>
      </c>
      <c r="L63">
        <v>3</v>
      </c>
      <c r="M63">
        <v>29794</v>
      </c>
    </row>
    <row r="64" spans="1:13">
      <c r="A64" t="s">
        <v>124</v>
      </c>
      <c r="B64" t="s">
        <v>95</v>
      </c>
      <c r="C64" t="s">
        <v>52</v>
      </c>
      <c r="D64" t="s">
        <v>27</v>
      </c>
      <c r="E64">
        <v>66</v>
      </c>
      <c r="F64" t="s">
        <v>34</v>
      </c>
      <c r="G64" t="s">
        <v>23</v>
      </c>
      <c r="H64">
        <v>85</v>
      </c>
      <c r="I64">
        <v>6106</v>
      </c>
      <c r="J64">
        <v>5.84</v>
      </c>
      <c r="K64">
        <v>44</v>
      </c>
      <c r="L64">
        <v>5</v>
      </c>
      <c r="M64">
        <v>26249</v>
      </c>
    </row>
    <row r="65" spans="1:13">
      <c r="A65" t="s">
        <v>125</v>
      </c>
      <c r="B65" t="s">
        <v>62</v>
      </c>
      <c r="C65" t="s">
        <v>52</v>
      </c>
      <c r="D65" t="s">
        <v>27</v>
      </c>
      <c r="E65">
        <v>35</v>
      </c>
      <c r="F65" t="s">
        <v>34</v>
      </c>
      <c r="G65" t="s">
        <v>49</v>
      </c>
      <c r="H65">
        <v>74</v>
      </c>
      <c r="I65">
        <v>9570</v>
      </c>
      <c r="J65">
        <v>15.32</v>
      </c>
      <c r="K65">
        <v>106</v>
      </c>
      <c r="L65">
        <v>4</v>
      </c>
      <c r="M65">
        <v>32574</v>
      </c>
    </row>
    <row r="66" spans="1:13">
      <c r="A66" t="s">
        <v>126</v>
      </c>
      <c r="B66" t="s">
        <v>47</v>
      </c>
      <c r="C66" t="s">
        <v>48</v>
      </c>
      <c r="D66" t="s">
        <v>72</v>
      </c>
      <c r="E66">
        <v>52</v>
      </c>
      <c r="F66" t="s">
        <v>22</v>
      </c>
      <c r="G66" t="s">
        <v>49</v>
      </c>
      <c r="H66">
        <v>73</v>
      </c>
      <c r="I66">
        <v>3519</v>
      </c>
      <c r="J66">
        <v>11.64</v>
      </c>
      <c r="K66">
        <v>74</v>
      </c>
      <c r="L66">
        <v>4</v>
      </c>
      <c r="M66">
        <v>9731</v>
      </c>
    </row>
    <row r="67" spans="1:13">
      <c r="A67" t="s">
        <v>127</v>
      </c>
      <c r="B67" t="s">
        <v>29</v>
      </c>
      <c r="C67" t="s">
        <v>30</v>
      </c>
      <c r="D67" t="s">
        <v>27</v>
      </c>
      <c r="E67">
        <v>22</v>
      </c>
      <c r="F67" t="s">
        <v>22</v>
      </c>
      <c r="G67" t="s">
        <v>23</v>
      </c>
      <c r="H67">
        <v>82</v>
      </c>
      <c r="I67">
        <v>4023</v>
      </c>
      <c r="J67">
        <v>16.84</v>
      </c>
      <c r="K67">
        <v>119</v>
      </c>
      <c r="L67">
        <v>4</v>
      </c>
      <c r="M67">
        <v>12483</v>
      </c>
    </row>
    <row r="68" spans="1:13">
      <c r="A68" t="s">
        <v>128</v>
      </c>
      <c r="B68" t="s">
        <v>129</v>
      </c>
      <c r="C68" t="s">
        <v>21</v>
      </c>
      <c r="D68" t="s">
        <v>27</v>
      </c>
      <c r="E68">
        <v>34</v>
      </c>
      <c r="F68" t="s">
        <v>17</v>
      </c>
      <c r="G68" t="s">
        <v>31</v>
      </c>
      <c r="H68">
        <v>78</v>
      </c>
      <c r="I68">
        <v>6360</v>
      </c>
      <c r="J68">
        <v>10.86</v>
      </c>
      <c r="K68">
        <v>74</v>
      </c>
      <c r="L68">
        <v>3</v>
      </c>
      <c r="M68">
        <v>27106</v>
      </c>
    </row>
    <row r="69" spans="1:13">
      <c r="A69" t="s">
        <v>130</v>
      </c>
      <c r="B69" t="s">
        <v>129</v>
      </c>
      <c r="C69" t="s">
        <v>21</v>
      </c>
      <c r="D69" t="s">
        <v>27</v>
      </c>
      <c r="E69">
        <v>42</v>
      </c>
      <c r="F69" t="s">
        <v>17</v>
      </c>
      <c r="G69" t="s">
        <v>31</v>
      </c>
      <c r="H69">
        <v>78</v>
      </c>
      <c r="I69">
        <v>7168</v>
      </c>
      <c r="J69">
        <v>19.82</v>
      </c>
      <c r="K69">
        <v>90</v>
      </c>
      <c r="L69">
        <v>4</v>
      </c>
      <c r="M69">
        <v>36692</v>
      </c>
    </row>
    <row r="70" spans="1:13">
      <c r="A70" t="s">
        <v>131</v>
      </c>
      <c r="B70" t="s">
        <v>66</v>
      </c>
      <c r="C70" t="s">
        <v>39</v>
      </c>
      <c r="D70" t="s">
        <v>16</v>
      </c>
      <c r="E70">
        <v>17</v>
      </c>
      <c r="F70" t="s">
        <v>34</v>
      </c>
      <c r="G70" t="s">
        <v>49</v>
      </c>
      <c r="H70">
        <v>81</v>
      </c>
      <c r="I70">
        <v>2834</v>
      </c>
      <c r="J70">
        <v>0</v>
      </c>
      <c r="K70">
        <v>48</v>
      </c>
      <c r="L70">
        <v>5</v>
      </c>
      <c r="M70">
        <v>11672</v>
      </c>
    </row>
    <row r="71" spans="1:13">
      <c r="A71" t="s">
        <v>132</v>
      </c>
      <c r="B71" t="s">
        <v>56</v>
      </c>
      <c r="C71" t="s">
        <v>45</v>
      </c>
      <c r="D71" t="s">
        <v>16</v>
      </c>
      <c r="E71">
        <v>62</v>
      </c>
      <c r="F71" t="s">
        <v>17</v>
      </c>
      <c r="G71" t="s">
        <v>23</v>
      </c>
      <c r="H71">
        <v>70</v>
      </c>
      <c r="I71">
        <v>9051</v>
      </c>
      <c r="J71">
        <v>20.87</v>
      </c>
      <c r="K71">
        <v>75</v>
      </c>
      <c r="L71">
        <v>4</v>
      </c>
      <c r="M71">
        <v>36800</v>
      </c>
    </row>
    <row r="72" spans="1:13">
      <c r="A72" t="s">
        <v>133</v>
      </c>
      <c r="B72" t="s">
        <v>25</v>
      </c>
      <c r="C72" t="s">
        <v>26</v>
      </c>
      <c r="D72" t="s">
        <v>27</v>
      </c>
      <c r="E72">
        <v>12</v>
      </c>
      <c r="F72" t="s">
        <v>34</v>
      </c>
      <c r="G72" t="s">
        <v>18</v>
      </c>
      <c r="H72">
        <v>86</v>
      </c>
      <c r="I72">
        <v>2121</v>
      </c>
      <c r="J72">
        <v>0</v>
      </c>
      <c r="K72">
        <v>49</v>
      </c>
      <c r="L72">
        <v>4</v>
      </c>
      <c r="M72">
        <v>6191</v>
      </c>
    </row>
    <row r="73" spans="1:13">
      <c r="A73" t="s">
        <v>134</v>
      </c>
      <c r="B73" t="s">
        <v>135</v>
      </c>
      <c r="C73" t="s">
        <v>48</v>
      </c>
      <c r="D73" t="s">
        <v>16</v>
      </c>
      <c r="E73">
        <v>49</v>
      </c>
      <c r="F73" t="s">
        <v>22</v>
      </c>
      <c r="G73" t="s">
        <v>31</v>
      </c>
      <c r="H73">
        <v>72</v>
      </c>
      <c r="I73">
        <v>7266</v>
      </c>
      <c r="J73">
        <v>14.61</v>
      </c>
      <c r="K73">
        <v>93</v>
      </c>
      <c r="L73">
        <v>4</v>
      </c>
      <c r="M73">
        <v>31824</v>
      </c>
    </row>
    <row r="74" spans="1:13">
      <c r="A74" t="s">
        <v>136</v>
      </c>
      <c r="B74" t="s">
        <v>137</v>
      </c>
      <c r="C74" t="s">
        <v>26</v>
      </c>
      <c r="D74" t="s">
        <v>27</v>
      </c>
      <c r="E74">
        <v>75</v>
      </c>
      <c r="F74" t="s">
        <v>17</v>
      </c>
      <c r="G74" t="s">
        <v>31</v>
      </c>
      <c r="H74">
        <v>82</v>
      </c>
      <c r="I74">
        <v>1981</v>
      </c>
      <c r="J74">
        <v>4.24</v>
      </c>
      <c r="K74">
        <v>55</v>
      </c>
      <c r="L74">
        <v>4</v>
      </c>
      <c r="M74">
        <v>9430</v>
      </c>
    </row>
    <row r="75" spans="1:13">
      <c r="A75" t="s">
        <v>138</v>
      </c>
      <c r="B75" t="s">
        <v>84</v>
      </c>
      <c r="C75" t="s">
        <v>21</v>
      </c>
      <c r="D75" t="s">
        <v>27</v>
      </c>
      <c r="E75">
        <v>6</v>
      </c>
      <c r="F75" t="s">
        <v>34</v>
      </c>
      <c r="G75" t="s">
        <v>49</v>
      </c>
      <c r="H75">
        <v>72</v>
      </c>
      <c r="I75">
        <v>6535</v>
      </c>
      <c r="J75">
        <v>15.51</v>
      </c>
      <c r="K75">
        <v>108</v>
      </c>
      <c r="L75">
        <v>4</v>
      </c>
      <c r="M75">
        <v>19833</v>
      </c>
    </row>
    <row r="76" spans="1:13">
      <c r="A76" t="s">
        <v>139</v>
      </c>
      <c r="B76" t="s">
        <v>36</v>
      </c>
      <c r="C76" t="s">
        <v>21</v>
      </c>
      <c r="D76" t="s">
        <v>27</v>
      </c>
      <c r="E76">
        <v>31</v>
      </c>
      <c r="F76" t="s">
        <v>34</v>
      </c>
      <c r="G76" t="s">
        <v>40</v>
      </c>
      <c r="H76">
        <v>79</v>
      </c>
      <c r="I76">
        <v>5729</v>
      </c>
      <c r="J76">
        <v>11.54</v>
      </c>
      <c r="K76">
        <v>80</v>
      </c>
      <c r="L76">
        <v>4</v>
      </c>
      <c r="M76">
        <v>22551</v>
      </c>
    </row>
    <row r="77" spans="1:13">
      <c r="A77" t="s">
        <v>140</v>
      </c>
      <c r="B77" t="s">
        <v>64</v>
      </c>
      <c r="C77" t="s">
        <v>30</v>
      </c>
      <c r="D77" t="s">
        <v>27</v>
      </c>
      <c r="E77">
        <v>52</v>
      </c>
      <c r="F77" t="s">
        <v>17</v>
      </c>
      <c r="G77" t="s">
        <v>31</v>
      </c>
      <c r="H77">
        <v>68</v>
      </c>
      <c r="I77">
        <v>3666</v>
      </c>
      <c r="J77">
        <v>19.09</v>
      </c>
      <c r="K77">
        <v>108</v>
      </c>
      <c r="L77">
        <v>3</v>
      </c>
      <c r="M77">
        <v>17744</v>
      </c>
    </row>
    <row r="78" spans="1:13">
      <c r="A78" t="s">
        <v>141</v>
      </c>
      <c r="B78" t="s">
        <v>80</v>
      </c>
      <c r="C78" t="s">
        <v>15</v>
      </c>
      <c r="D78" t="s">
        <v>16</v>
      </c>
      <c r="E78">
        <v>46</v>
      </c>
      <c r="F78" t="s">
        <v>34</v>
      </c>
      <c r="G78" t="s">
        <v>49</v>
      </c>
      <c r="H78">
        <v>70</v>
      </c>
      <c r="I78">
        <v>4662</v>
      </c>
      <c r="J78">
        <v>18.170000000000002</v>
      </c>
      <c r="K78">
        <v>100</v>
      </c>
      <c r="L78">
        <v>4</v>
      </c>
      <c r="M78">
        <v>16936</v>
      </c>
    </row>
    <row r="79" spans="1:13">
      <c r="A79" t="s">
        <v>142</v>
      </c>
      <c r="B79" t="s">
        <v>143</v>
      </c>
      <c r="C79" t="s">
        <v>21</v>
      </c>
      <c r="D79" t="s">
        <v>16</v>
      </c>
      <c r="E79">
        <v>50</v>
      </c>
      <c r="F79" t="s">
        <v>17</v>
      </c>
      <c r="G79" t="s">
        <v>70</v>
      </c>
      <c r="H79">
        <v>76</v>
      </c>
      <c r="I79">
        <v>5903</v>
      </c>
      <c r="J79">
        <v>13.77</v>
      </c>
      <c r="K79">
        <v>35</v>
      </c>
      <c r="L79">
        <v>4</v>
      </c>
      <c r="M79">
        <v>26766</v>
      </c>
    </row>
    <row r="80" spans="1:13">
      <c r="A80" t="s">
        <v>144</v>
      </c>
      <c r="B80" t="s">
        <v>97</v>
      </c>
      <c r="C80" t="s">
        <v>30</v>
      </c>
      <c r="D80" t="s">
        <v>16</v>
      </c>
      <c r="E80">
        <v>43</v>
      </c>
      <c r="F80" t="s">
        <v>34</v>
      </c>
      <c r="G80" t="s">
        <v>70</v>
      </c>
      <c r="H80">
        <v>71</v>
      </c>
      <c r="I80">
        <v>3043</v>
      </c>
      <c r="J80">
        <v>18.190000000000001</v>
      </c>
      <c r="K80">
        <v>85</v>
      </c>
      <c r="L80">
        <v>3</v>
      </c>
      <c r="M80">
        <v>8282</v>
      </c>
    </row>
    <row r="81" spans="1:13">
      <c r="A81" t="s">
        <v>145</v>
      </c>
      <c r="B81" t="s">
        <v>62</v>
      </c>
      <c r="C81" t="s">
        <v>52</v>
      </c>
      <c r="D81" t="s">
        <v>27</v>
      </c>
      <c r="E81">
        <v>32</v>
      </c>
      <c r="F81" t="s">
        <v>22</v>
      </c>
      <c r="G81" t="s">
        <v>23</v>
      </c>
      <c r="H81">
        <v>71</v>
      </c>
      <c r="I81">
        <v>9770</v>
      </c>
      <c r="J81">
        <v>17.09</v>
      </c>
      <c r="K81">
        <v>95</v>
      </c>
      <c r="L81">
        <v>5</v>
      </c>
      <c r="M81">
        <v>38507</v>
      </c>
    </row>
    <row r="82" spans="1:13">
      <c r="A82" t="s">
        <v>146</v>
      </c>
      <c r="B82" t="s">
        <v>25</v>
      </c>
      <c r="C82" t="s">
        <v>26</v>
      </c>
      <c r="D82" t="s">
        <v>16</v>
      </c>
      <c r="E82">
        <v>56</v>
      </c>
      <c r="F82" t="s">
        <v>17</v>
      </c>
      <c r="G82" t="s">
        <v>18</v>
      </c>
      <c r="H82">
        <v>89</v>
      </c>
      <c r="I82">
        <v>2685</v>
      </c>
      <c r="J82">
        <v>2.58</v>
      </c>
      <c r="K82">
        <v>40</v>
      </c>
      <c r="L82">
        <v>4</v>
      </c>
      <c r="M82">
        <v>12111</v>
      </c>
    </row>
    <row r="83" spans="1:13">
      <c r="A83" t="s">
        <v>147</v>
      </c>
      <c r="B83" t="s">
        <v>56</v>
      </c>
      <c r="C83" t="s">
        <v>45</v>
      </c>
      <c r="D83" t="s">
        <v>27</v>
      </c>
      <c r="E83">
        <v>42</v>
      </c>
      <c r="F83" t="s">
        <v>17</v>
      </c>
      <c r="G83" t="s">
        <v>18</v>
      </c>
      <c r="H83">
        <v>72</v>
      </c>
      <c r="I83">
        <v>7929</v>
      </c>
      <c r="J83">
        <v>19.350000000000001</v>
      </c>
      <c r="K83">
        <v>97</v>
      </c>
      <c r="L83">
        <v>3</v>
      </c>
      <c r="M83">
        <v>42428</v>
      </c>
    </row>
    <row r="84" spans="1:13">
      <c r="A84" t="s">
        <v>148</v>
      </c>
      <c r="B84" t="s">
        <v>97</v>
      </c>
      <c r="C84" t="s">
        <v>30</v>
      </c>
      <c r="D84" t="s">
        <v>27</v>
      </c>
      <c r="E84">
        <v>50</v>
      </c>
      <c r="F84" t="s">
        <v>34</v>
      </c>
      <c r="G84" t="s">
        <v>23</v>
      </c>
      <c r="H84">
        <v>74</v>
      </c>
      <c r="I84">
        <v>4109</v>
      </c>
      <c r="J84">
        <v>16.7</v>
      </c>
      <c r="K84">
        <v>151</v>
      </c>
      <c r="L84">
        <v>4</v>
      </c>
      <c r="M84">
        <v>16587</v>
      </c>
    </row>
    <row r="85" spans="1:13">
      <c r="A85" t="s">
        <v>149</v>
      </c>
      <c r="B85" t="s">
        <v>150</v>
      </c>
      <c r="C85" t="s">
        <v>48</v>
      </c>
      <c r="D85" t="s">
        <v>16</v>
      </c>
      <c r="E85">
        <v>31</v>
      </c>
      <c r="F85" t="s">
        <v>34</v>
      </c>
      <c r="G85" t="s">
        <v>31</v>
      </c>
      <c r="H85">
        <v>79</v>
      </c>
      <c r="I85">
        <v>7261</v>
      </c>
      <c r="J85">
        <v>8.6300000000000008</v>
      </c>
      <c r="K85">
        <v>30</v>
      </c>
      <c r="L85">
        <v>4</v>
      </c>
      <c r="M85">
        <v>41013</v>
      </c>
    </row>
    <row r="86" spans="1:13">
      <c r="A86" t="s">
        <v>151</v>
      </c>
      <c r="B86" t="s">
        <v>38</v>
      </c>
      <c r="C86" t="s">
        <v>39</v>
      </c>
      <c r="D86" t="s">
        <v>27</v>
      </c>
      <c r="E86">
        <v>9</v>
      </c>
      <c r="F86" t="s">
        <v>34</v>
      </c>
      <c r="G86" t="s">
        <v>18</v>
      </c>
      <c r="H86">
        <v>80</v>
      </c>
      <c r="I86">
        <v>3141</v>
      </c>
      <c r="J86">
        <v>11.08</v>
      </c>
      <c r="K86">
        <v>15</v>
      </c>
      <c r="L86">
        <v>4</v>
      </c>
      <c r="M86">
        <v>9383</v>
      </c>
    </row>
    <row r="87" spans="1:13">
      <c r="A87" t="s">
        <v>152</v>
      </c>
      <c r="B87" t="s">
        <v>58</v>
      </c>
      <c r="C87" t="s">
        <v>48</v>
      </c>
      <c r="D87" t="s">
        <v>27</v>
      </c>
      <c r="E87">
        <v>55</v>
      </c>
      <c r="F87" t="s">
        <v>34</v>
      </c>
      <c r="G87" t="s">
        <v>40</v>
      </c>
      <c r="H87">
        <v>74</v>
      </c>
      <c r="I87">
        <v>7159</v>
      </c>
      <c r="J87">
        <v>12.33</v>
      </c>
      <c r="K87">
        <v>99</v>
      </c>
      <c r="L87">
        <v>4</v>
      </c>
      <c r="M87">
        <v>25708</v>
      </c>
    </row>
    <row r="88" spans="1:13">
      <c r="A88" t="s">
        <v>153</v>
      </c>
      <c r="B88" t="s">
        <v>54</v>
      </c>
      <c r="C88" t="s">
        <v>39</v>
      </c>
      <c r="D88" t="s">
        <v>16</v>
      </c>
      <c r="E88">
        <v>15</v>
      </c>
      <c r="F88" t="s">
        <v>22</v>
      </c>
      <c r="G88" t="s">
        <v>23</v>
      </c>
      <c r="H88">
        <v>89</v>
      </c>
      <c r="I88">
        <v>3042</v>
      </c>
      <c r="J88">
        <v>6.09</v>
      </c>
      <c r="K88">
        <v>42</v>
      </c>
      <c r="L88">
        <v>5</v>
      </c>
      <c r="M88">
        <v>11247</v>
      </c>
    </row>
    <row r="89" spans="1:13">
      <c r="A89" t="s">
        <v>154</v>
      </c>
      <c r="B89" t="s">
        <v>137</v>
      </c>
      <c r="C89" t="s">
        <v>26</v>
      </c>
      <c r="D89" t="s">
        <v>27</v>
      </c>
      <c r="E89">
        <v>70</v>
      </c>
      <c r="F89" t="s">
        <v>17</v>
      </c>
      <c r="G89" t="s">
        <v>31</v>
      </c>
      <c r="H89">
        <v>94</v>
      </c>
      <c r="I89">
        <v>2286</v>
      </c>
      <c r="J89">
        <v>2.79</v>
      </c>
      <c r="K89">
        <v>36</v>
      </c>
      <c r="L89">
        <v>5</v>
      </c>
      <c r="M89">
        <v>10844</v>
      </c>
    </row>
    <row r="90" spans="1:13">
      <c r="A90" t="s">
        <v>155</v>
      </c>
      <c r="B90" t="s">
        <v>25</v>
      </c>
      <c r="C90" t="s">
        <v>26</v>
      </c>
      <c r="D90" t="s">
        <v>16</v>
      </c>
      <c r="E90">
        <v>53</v>
      </c>
      <c r="F90" t="s">
        <v>22</v>
      </c>
      <c r="G90" t="s">
        <v>31</v>
      </c>
      <c r="H90">
        <v>76</v>
      </c>
      <c r="I90">
        <v>2113</v>
      </c>
      <c r="J90">
        <v>0.02</v>
      </c>
      <c r="K90">
        <v>82</v>
      </c>
      <c r="L90">
        <v>4</v>
      </c>
      <c r="M90">
        <v>8699</v>
      </c>
    </row>
    <row r="91" spans="1:13">
      <c r="A91" t="s">
        <v>156</v>
      </c>
      <c r="B91" t="s">
        <v>62</v>
      </c>
      <c r="C91" t="s">
        <v>52</v>
      </c>
      <c r="D91" t="s">
        <v>27</v>
      </c>
      <c r="E91">
        <v>48</v>
      </c>
      <c r="F91" t="s">
        <v>22</v>
      </c>
      <c r="G91" t="s">
        <v>40</v>
      </c>
      <c r="H91">
        <v>80</v>
      </c>
      <c r="I91">
        <v>7675</v>
      </c>
      <c r="J91">
        <v>14.19</v>
      </c>
      <c r="K91">
        <v>132</v>
      </c>
      <c r="L91">
        <v>4</v>
      </c>
      <c r="M91">
        <v>43968</v>
      </c>
    </row>
    <row r="92" spans="1:13">
      <c r="A92" t="s">
        <v>157</v>
      </c>
      <c r="B92" t="s">
        <v>38</v>
      </c>
      <c r="C92" t="s">
        <v>39</v>
      </c>
      <c r="D92" t="s">
        <v>16</v>
      </c>
      <c r="E92">
        <v>16</v>
      </c>
      <c r="F92" t="s">
        <v>34</v>
      </c>
      <c r="G92" t="s">
        <v>49</v>
      </c>
      <c r="H92">
        <v>88</v>
      </c>
      <c r="I92">
        <v>4129</v>
      </c>
      <c r="J92">
        <v>13.38</v>
      </c>
      <c r="K92">
        <v>69</v>
      </c>
      <c r="L92">
        <v>4</v>
      </c>
      <c r="M92">
        <v>23825</v>
      </c>
    </row>
    <row r="93" spans="1:13">
      <c r="A93" t="s">
        <v>158</v>
      </c>
      <c r="B93" t="s">
        <v>122</v>
      </c>
      <c r="C93" t="s">
        <v>48</v>
      </c>
      <c r="D93" t="s">
        <v>27</v>
      </c>
      <c r="E93">
        <v>43</v>
      </c>
      <c r="F93" t="s">
        <v>22</v>
      </c>
      <c r="G93" t="s">
        <v>40</v>
      </c>
      <c r="H93">
        <v>74</v>
      </c>
      <c r="I93">
        <v>9046</v>
      </c>
      <c r="J93">
        <v>14.1</v>
      </c>
      <c r="K93">
        <v>90</v>
      </c>
      <c r="L93">
        <v>4</v>
      </c>
      <c r="M93">
        <v>33227</v>
      </c>
    </row>
    <row r="94" spans="1:13">
      <c r="A94" t="s">
        <v>159</v>
      </c>
      <c r="B94" t="s">
        <v>143</v>
      </c>
      <c r="C94" t="s">
        <v>21</v>
      </c>
      <c r="D94" t="s">
        <v>27</v>
      </c>
      <c r="E94">
        <v>24</v>
      </c>
      <c r="F94" t="s">
        <v>34</v>
      </c>
      <c r="G94" t="s">
        <v>31</v>
      </c>
      <c r="H94">
        <v>74</v>
      </c>
      <c r="I94">
        <v>7570</v>
      </c>
      <c r="J94">
        <v>15.29</v>
      </c>
      <c r="K94">
        <v>56</v>
      </c>
      <c r="L94">
        <v>3</v>
      </c>
      <c r="M94">
        <v>38465</v>
      </c>
    </row>
    <row r="95" spans="1:13">
      <c r="A95" t="s">
        <v>160</v>
      </c>
      <c r="B95" t="s">
        <v>84</v>
      </c>
      <c r="C95" t="s">
        <v>21</v>
      </c>
      <c r="D95" t="s">
        <v>16</v>
      </c>
      <c r="E95">
        <v>14</v>
      </c>
      <c r="F95" t="s">
        <v>34</v>
      </c>
      <c r="G95" t="s">
        <v>49</v>
      </c>
      <c r="H95">
        <v>77</v>
      </c>
      <c r="I95">
        <v>5036</v>
      </c>
      <c r="J95">
        <v>14.4</v>
      </c>
      <c r="K95">
        <v>84</v>
      </c>
      <c r="L95">
        <v>3</v>
      </c>
      <c r="M95">
        <v>19973</v>
      </c>
    </row>
    <row r="96" spans="1:13">
      <c r="A96" t="s">
        <v>161</v>
      </c>
      <c r="B96" t="s">
        <v>64</v>
      </c>
      <c r="C96" t="s">
        <v>30</v>
      </c>
      <c r="D96" t="s">
        <v>27</v>
      </c>
      <c r="E96">
        <v>40</v>
      </c>
      <c r="F96" t="s">
        <v>34</v>
      </c>
      <c r="G96" t="s">
        <v>49</v>
      </c>
      <c r="H96">
        <v>67</v>
      </c>
      <c r="I96">
        <v>4794</v>
      </c>
      <c r="J96">
        <v>22.51</v>
      </c>
      <c r="K96">
        <v>123</v>
      </c>
      <c r="L96">
        <v>3</v>
      </c>
      <c r="M96">
        <v>13417</v>
      </c>
    </row>
    <row r="97" spans="1:13">
      <c r="A97" t="s">
        <v>162</v>
      </c>
      <c r="B97" t="s">
        <v>54</v>
      </c>
      <c r="C97" t="s">
        <v>39</v>
      </c>
      <c r="D97" t="s">
        <v>27</v>
      </c>
      <c r="E97">
        <v>7</v>
      </c>
      <c r="F97" t="s">
        <v>22</v>
      </c>
      <c r="G97" t="s">
        <v>18</v>
      </c>
      <c r="H97">
        <v>79</v>
      </c>
      <c r="I97">
        <v>2593</v>
      </c>
      <c r="J97">
        <v>8.6</v>
      </c>
      <c r="K97">
        <v>63</v>
      </c>
      <c r="L97">
        <v>4</v>
      </c>
      <c r="M97">
        <v>14632</v>
      </c>
    </row>
    <row r="98" spans="1:13">
      <c r="A98" t="s">
        <v>163</v>
      </c>
      <c r="B98" t="s">
        <v>68</v>
      </c>
      <c r="C98" t="s">
        <v>45</v>
      </c>
      <c r="D98" t="s">
        <v>16</v>
      </c>
      <c r="E98">
        <v>33</v>
      </c>
      <c r="F98" t="s">
        <v>34</v>
      </c>
      <c r="G98" t="s">
        <v>49</v>
      </c>
      <c r="H98">
        <v>74</v>
      </c>
      <c r="I98">
        <v>8941</v>
      </c>
      <c r="J98">
        <v>14.83</v>
      </c>
      <c r="K98">
        <v>84</v>
      </c>
      <c r="L98">
        <v>4</v>
      </c>
      <c r="M98">
        <v>46621</v>
      </c>
    </row>
    <row r="99" spans="1:13">
      <c r="A99" t="s">
        <v>164</v>
      </c>
      <c r="B99" t="s">
        <v>38</v>
      </c>
      <c r="C99" t="s">
        <v>39</v>
      </c>
      <c r="D99" t="s">
        <v>16</v>
      </c>
      <c r="E99">
        <v>8</v>
      </c>
      <c r="F99" t="s">
        <v>17</v>
      </c>
      <c r="G99" t="s">
        <v>31</v>
      </c>
      <c r="H99">
        <v>87</v>
      </c>
      <c r="I99">
        <v>1752</v>
      </c>
      <c r="J99">
        <v>3.04</v>
      </c>
      <c r="K99">
        <v>6</v>
      </c>
      <c r="L99">
        <v>4</v>
      </c>
      <c r="M99">
        <v>5495</v>
      </c>
    </row>
    <row r="100" spans="1:13">
      <c r="A100" t="s">
        <v>165</v>
      </c>
      <c r="B100" t="s">
        <v>135</v>
      </c>
      <c r="C100" t="s">
        <v>48</v>
      </c>
      <c r="D100" t="s">
        <v>16</v>
      </c>
      <c r="E100">
        <v>16</v>
      </c>
      <c r="F100" t="s">
        <v>17</v>
      </c>
      <c r="G100" t="s">
        <v>23</v>
      </c>
      <c r="H100">
        <v>83</v>
      </c>
      <c r="I100">
        <v>4667</v>
      </c>
      <c r="J100">
        <v>19.010000000000002</v>
      </c>
      <c r="K100">
        <v>59</v>
      </c>
      <c r="L100">
        <v>5</v>
      </c>
      <c r="M100">
        <v>12110</v>
      </c>
    </row>
    <row r="101" spans="1:13">
      <c r="A101" t="s">
        <v>166</v>
      </c>
      <c r="B101" t="s">
        <v>97</v>
      </c>
      <c r="C101" t="s">
        <v>30</v>
      </c>
      <c r="D101" t="s">
        <v>72</v>
      </c>
      <c r="E101">
        <v>30</v>
      </c>
      <c r="F101" t="s">
        <v>22</v>
      </c>
      <c r="G101" t="s">
        <v>23</v>
      </c>
      <c r="H101">
        <v>77</v>
      </c>
      <c r="I101">
        <v>3569</v>
      </c>
      <c r="J101">
        <v>17.48</v>
      </c>
      <c r="K101">
        <v>95</v>
      </c>
      <c r="L101">
        <v>3</v>
      </c>
      <c r="M101">
        <v>11897</v>
      </c>
    </row>
    <row r="102" spans="1:13">
      <c r="A102" t="s">
        <v>167</v>
      </c>
      <c r="B102" t="s">
        <v>168</v>
      </c>
      <c r="C102" t="s">
        <v>45</v>
      </c>
      <c r="D102" t="s">
        <v>16</v>
      </c>
      <c r="E102">
        <v>40</v>
      </c>
      <c r="F102" t="s">
        <v>22</v>
      </c>
      <c r="G102" t="s">
        <v>18</v>
      </c>
      <c r="H102">
        <v>73</v>
      </c>
      <c r="I102">
        <v>10279</v>
      </c>
      <c r="J102">
        <v>18.78</v>
      </c>
      <c r="K102">
        <v>87</v>
      </c>
      <c r="L102">
        <v>4</v>
      </c>
      <c r="M102">
        <v>49732</v>
      </c>
    </row>
    <row r="103" spans="1:13">
      <c r="A103" t="s">
        <v>169</v>
      </c>
      <c r="B103" t="s">
        <v>103</v>
      </c>
      <c r="C103" t="s">
        <v>26</v>
      </c>
      <c r="D103" t="s">
        <v>27</v>
      </c>
      <c r="E103">
        <v>31</v>
      </c>
      <c r="F103" t="s">
        <v>17</v>
      </c>
      <c r="G103" t="s">
        <v>31</v>
      </c>
      <c r="H103">
        <v>80</v>
      </c>
      <c r="I103">
        <v>1665</v>
      </c>
      <c r="J103">
        <v>12.06</v>
      </c>
      <c r="K103">
        <v>26</v>
      </c>
      <c r="L103">
        <v>4</v>
      </c>
      <c r="M103">
        <v>6375</v>
      </c>
    </row>
    <row r="104" spans="1:13">
      <c r="A104" t="s">
        <v>170</v>
      </c>
      <c r="B104" t="s">
        <v>109</v>
      </c>
      <c r="C104" t="s">
        <v>30</v>
      </c>
      <c r="D104" t="s">
        <v>16</v>
      </c>
      <c r="E104">
        <v>13</v>
      </c>
      <c r="F104" t="s">
        <v>17</v>
      </c>
      <c r="G104" t="s">
        <v>18</v>
      </c>
      <c r="H104">
        <v>57</v>
      </c>
      <c r="I104">
        <v>2603</v>
      </c>
      <c r="J104">
        <v>25.02</v>
      </c>
      <c r="K104">
        <v>122</v>
      </c>
      <c r="L104">
        <v>4</v>
      </c>
      <c r="M104">
        <v>9190</v>
      </c>
    </row>
    <row r="105" spans="1:13">
      <c r="A105" t="s">
        <v>171</v>
      </c>
      <c r="B105" t="s">
        <v>74</v>
      </c>
      <c r="C105" t="s">
        <v>45</v>
      </c>
      <c r="D105" t="s">
        <v>16</v>
      </c>
      <c r="E105">
        <v>64</v>
      </c>
      <c r="F105" t="s">
        <v>17</v>
      </c>
      <c r="G105" t="s">
        <v>70</v>
      </c>
      <c r="H105">
        <v>83</v>
      </c>
      <c r="I105">
        <v>8395</v>
      </c>
      <c r="J105">
        <v>22.38</v>
      </c>
      <c r="K105">
        <v>94</v>
      </c>
      <c r="L105">
        <v>4</v>
      </c>
      <c r="M105">
        <v>28564</v>
      </c>
    </row>
    <row r="106" spans="1:13">
      <c r="A106" t="s">
        <v>172</v>
      </c>
      <c r="B106" t="s">
        <v>36</v>
      </c>
      <c r="C106" t="s">
        <v>21</v>
      </c>
      <c r="D106" t="s">
        <v>16</v>
      </c>
      <c r="E106">
        <v>48</v>
      </c>
      <c r="F106" t="s">
        <v>22</v>
      </c>
      <c r="G106" t="s">
        <v>49</v>
      </c>
      <c r="H106">
        <v>73</v>
      </c>
      <c r="I106">
        <v>6523</v>
      </c>
      <c r="J106">
        <v>16.39</v>
      </c>
      <c r="K106">
        <v>86</v>
      </c>
      <c r="L106">
        <v>3</v>
      </c>
      <c r="M106">
        <v>16727</v>
      </c>
    </row>
    <row r="107" spans="1:13">
      <c r="A107" t="s">
        <v>173</v>
      </c>
      <c r="B107" t="s">
        <v>54</v>
      </c>
      <c r="C107" t="s">
        <v>39</v>
      </c>
      <c r="D107" t="s">
        <v>16</v>
      </c>
      <c r="E107">
        <v>12</v>
      </c>
      <c r="F107" t="s">
        <v>22</v>
      </c>
      <c r="G107" t="s">
        <v>49</v>
      </c>
      <c r="H107">
        <v>78</v>
      </c>
      <c r="I107">
        <v>4203</v>
      </c>
      <c r="J107">
        <v>10.87</v>
      </c>
      <c r="K107">
        <v>71</v>
      </c>
      <c r="L107">
        <v>4</v>
      </c>
      <c r="M107">
        <v>10669</v>
      </c>
    </row>
    <row r="108" spans="1:13">
      <c r="A108" t="s">
        <v>174</v>
      </c>
      <c r="B108" t="s">
        <v>137</v>
      </c>
      <c r="C108" t="s">
        <v>26</v>
      </c>
      <c r="D108" t="s">
        <v>27</v>
      </c>
      <c r="E108">
        <v>50</v>
      </c>
      <c r="F108" t="s">
        <v>17</v>
      </c>
      <c r="G108" t="s">
        <v>31</v>
      </c>
      <c r="H108">
        <v>73</v>
      </c>
      <c r="I108">
        <v>3332</v>
      </c>
      <c r="J108">
        <v>9.06</v>
      </c>
      <c r="K108">
        <v>64</v>
      </c>
      <c r="L108">
        <v>3</v>
      </c>
      <c r="M108">
        <v>14381</v>
      </c>
    </row>
    <row r="109" spans="1:13">
      <c r="A109" t="s">
        <v>175</v>
      </c>
      <c r="B109" t="s">
        <v>168</v>
      </c>
      <c r="C109" t="s">
        <v>45</v>
      </c>
      <c r="D109" t="s">
        <v>27</v>
      </c>
      <c r="E109">
        <v>38</v>
      </c>
      <c r="F109" t="s">
        <v>17</v>
      </c>
      <c r="G109" t="s">
        <v>31</v>
      </c>
      <c r="H109">
        <v>65</v>
      </c>
      <c r="I109">
        <v>6418</v>
      </c>
      <c r="J109">
        <v>19.32</v>
      </c>
      <c r="K109">
        <v>98</v>
      </c>
      <c r="L109">
        <v>3</v>
      </c>
      <c r="M109">
        <v>24034</v>
      </c>
    </row>
    <row r="110" spans="1:13">
      <c r="A110" t="s">
        <v>176</v>
      </c>
      <c r="B110" t="s">
        <v>47</v>
      </c>
      <c r="C110" t="s">
        <v>48</v>
      </c>
      <c r="D110" t="s">
        <v>16</v>
      </c>
      <c r="E110">
        <v>25</v>
      </c>
      <c r="F110" t="s">
        <v>17</v>
      </c>
      <c r="G110" t="s">
        <v>40</v>
      </c>
      <c r="H110">
        <v>74</v>
      </c>
      <c r="I110">
        <v>4860</v>
      </c>
      <c r="J110">
        <v>22.53</v>
      </c>
      <c r="K110">
        <v>96</v>
      </c>
      <c r="L110">
        <v>4</v>
      </c>
      <c r="M110">
        <v>24611</v>
      </c>
    </row>
    <row r="111" spans="1:13">
      <c r="A111" t="s">
        <v>177</v>
      </c>
      <c r="B111" t="s">
        <v>74</v>
      </c>
      <c r="C111" t="s">
        <v>45</v>
      </c>
      <c r="D111" t="s">
        <v>16</v>
      </c>
      <c r="E111">
        <v>57</v>
      </c>
      <c r="F111" t="s">
        <v>17</v>
      </c>
      <c r="G111" t="s">
        <v>40</v>
      </c>
      <c r="H111">
        <v>71</v>
      </c>
      <c r="I111">
        <v>8990</v>
      </c>
      <c r="J111">
        <v>14.36</v>
      </c>
      <c r="K111">
        <v>64</v>
      </c>
      <c r="L111">
        <v>4</v>
      </c>
      <c r="M111">
        <v>46731</v>
      </c>
    </row>
    <row r="112" spans="1:13">
      <c r="A112" t="s">
        <v>178</v>
      </c>
      <c r="B112" t="s">
        <v>25</v>
      </c>
      <c r="C112" t="s">
        <v>39</v>
      </c>
      <c r="D112" t="s">
        <v>16</v>
      </c>
      <c r="E112">
        <v>6</v>
      </c>
      <c r="F112" t="s">
        <v>17</v>
      </c>
      <c r="G112" t="s">
        <v>18</v>
      </c>
      <c r="H112">
        <v>79</v>
      </c>
      <c r="I112">
        <v>2623</v>
      </c>
      <c r="J112">
        <v>15.25</v>
      </c>
      <c r="K112">
        <v>95</v>
      </c>
      <c r="L112">
        <v>4</v>
      </c>
      <c r="M112">
        <v>13896</v>
      </c>
    </row>
    <row r="113" spans="1:13">
      <c r="A113" t="s">
        <v>179</v>
      </c>
      <c r="B113" t="s">
        <v>143</v>
      </c>
      <c r="C113" t="s">
        <v>21</v>
      </c>
      <c r="D113" t="s">
        <v>27</v>
      </c>
      <c r="E113">
        <v>23</v>
      </c>
      <c r="F113" t="s">
        <v>17</v>
      </c>
      <c r="G113" t="s">
        <v>31</v>
      </c>
      <c r="H113">
        <v>65</v>
      </c>
      <c r="I113">
        <v>4208</v>
      </c>
      <c r="J113">
        <v>19.579999999999998</v>
      </c>
      <c r="K113">
        <v>108</v>
      </c>
      <c r="L113">
        <v>3</v>
      </c>
      <c r="M113">
        <v>18501</v>
      </c>
    </row>
    <row r="114" spans="1:13">
      <c r="A114" t="s">
        <v>180</v>
      </c>
      <c r="B114" t="s">
        <v>51</v>
      </c>
      <c r="C114" t="s">
        <v>52</v>
      </c>
      <c r="D114" t="s">
        <v>27</v>
      </c>
      <c r="E114">
        <v>52</v>
      </c>
      <c r="F114" t="s">
        <v>34</v>
      </c>
      <c r="G114" t="s">
        <v>49</v>
      </c>
      <c r="H114">
        <v>79</v>
      </c>
      <c r="I114">
        <v>8895</v>
      </c>
      <c r="J114">
        <v>18.32</v>
      </c>
      <c r="K114">
        <v>92</v>
      </c>
      <c r="L114">
        <v>4</v>
      </c>
      <c r="M114">
        <v>30010</v>
      </c>
    </row>
    <row r="115" spans="1:13">
      <c r="A115" t="s">
        <v>181</v>
      </c>
      <c r="B115" t="s">
        <v>168</v>
      </c>
      <c r="C115" t="s">
        <v>45</v>
      </c>
      <c r="D115" t="s">
        <v>27</v>
      </c>
      <c r="E115">
        <v>14</v>
      </c>
      <c r="F115" t="s">
        <v>34</v>
      </c>
      <c r="G115" t="s">
        <v>70</v>
      </c>
      <c r="H115">
        <v>77</v>
      </c>
      <c r="I115">
        <v>10473</v>
      </c>
      <c r="J115">
        <v>17.54</v>
      </c>
      <c r="K115">
        <v>93</v>
      </c>
      <c r="L115">
        <v>4</v>
      </c>
      <c r="M115">
        <v>61777</v>
      </c>
    </row>
    <row r="116" spans="1:13">
      <c r="A116" t="s">
        <v>182</v>
      </c>
      <c r="B116" t="s">
        <v>29</v>
      </c>
      <c r="C116" t="s">
        <v>30</v>
      </c>
      <c r="D116" t="s">
        <v>27</v>
      </c>
      <c r="E116">
        <v>44</v>
      </c>
      <c r="F116" t="s">
        <v>17</v>
      </c>
      <c r="G116" t="s">
        <v>40</v>
      </c>
      <c r="H116">
        <v>75</v>
      </c>
      <c r="I116">
        <v>3519</v>
      </c>
      <c r="J116">
        <v>18.12</v>
      </c>
      <c r="K116">
        <v>123</v>
      </c>
      <c r="L116">
        <v>4</v>
      </c>
      <c r="M116">
        <v>9253</v>
      </c>
    </row>
    <row r="117" spans="1:13">
      <c r="A117" t="s">
        <v>183</v>
      </c>
      <c r="B117" t="s">
        <v>122</v>
      </c>
      <c r="C117" t="s">
        <v>48</v>
      </c>
      <c r="D117" t="s">
        <v>16</v>
      </c>
      <c r="E117">
        <v>16</v>
      </c>
      <c r="F117" t="s">
        <v>34</v>
      </c>
      <c r="G117" t="s">
        <v>49</v>
      </c>
      <c r="H117">
        <v>75</v>
      </c>
      <c r="I117">
        <v>4749</v>
      </c>
      <c r="J117">
        <v>17.11</v>
      </c>
      <c r="K117">
        <v>85</v>
      </c>
      <c r="L117">
        <v>4</v>
      </c>
      <c r="M117">
        <v>17113</v>
      </c>
    </row>
    <row r="118" spans="1:13">
      <c r="A118" t="s">
        <v>184</v>
      </c>
      <c r="B118" t="s">
        <v>185</v>
      </c>
      <c r="C118" t="s">
        <v>52</v>
      </c>
      <c r="D118" t="s">
        <v>27</v>
      </c>
      <c r="E118">
        <v>73</v>
      </c>
      <c r="F118" t="s">
        <v>34</v>
      </c>
      <c r="G118" t="s">
        <v>70</v>
      </c>
      <c r="H118">
        <v>82</v>
      </c>
      <c r="I118">
        <v>9650</v>
      </c>
      <c r="J118">
        <v>8.06</v>
      </c>
      <c r="K118">
        <v>83</v>
      </c>
      <c r="L118">
        <v>4</v>
      </c>
      <c r="M118">
        <v>31993</v>
      </c>
    </row>
    <row r="119" spans="1:13">
      <c r="A119" t="s">
        <v>186</v>
      </c>
      <c r="B119" t="s">
        <v>187</v>
      </c>
      <c r="C119" t="s">
        <v>30</v>
      </c>
      <c r="D119" t="s">
        <v>27</v>
      </c>
      <c r="E119">
        <v>59</v>
      </c>
      <c r="F119" t="s">
        <v>22</v>
      </c>
      <c r="G119" t="s">
        <v>70</v>
      </c>
      <c r="H119">
        <v>71</v>
      </c>
      <c r="I119">
        <v>4356</v>
      </c>
      <c r="J119">
        <v>15.27</v>
      </c>
      <c r="K119">
        <v>110</v>
      </c>
      <c r="L119">
        <v>3</v>
      </c>
      <c r="M119">
        <v>20456</v>
      </c>
    </row>
    <row r="120" spans="1:13">
      <c r="A120" t="s">
        <v>188</v>
      </c>
      <c r="B120" t="s">
        <v>36</v>
      </c>
      <c r="C120" t="s">
        <v>21</v>
      </c>
      <c r="D120" t="s">
        <v>16</v>
      </c>
      <c r="E120">
        <v>36</v>
      </c>
      <c r="F120" t="s">
        <v>22</v>
      </c>
      <c r="G120" t="s">
        <v>49</v>
      </c>
      <c r="H120">
        <v>72</v>
      </c>
      <c r="I120">
        <v>8553</v>
      </c>
      <c r="J120">
        <v>12.91</v>
      </c>
      <c r="K120">
        <v>119</v>
      </c>
      <c r="L120">
        <v>3</v>
      </c>
      <c r="M120">
        <v>31998</v>
      </c>
    </row>
    <row r="121" spans="1:13">
      <c r="A121" t="s">
        <v>189</v>
      </c>
      <c r="B121" t="s">
        <v>187</v>
      </c>
      <c r="C121" t="s">
        <v>30</v>
      </c>
      <c r="D121" t="s">
        <v>16</v>
      </c>
      <c r="E121">
        <v>24</v>
      </c>
      <c r="F121" t="s">
        <v>22</v>
      </c>
      <c r="G121" t="s">
        <v>23</v>
      </c>
      <c r="H121">
        <v>72</v>
      </c>
      <c r="I121">
        <v>2146</v>
      </c>
      <c r="J121">
        <v>13.17</v>
      </c>
      <c r="K121">
        <v>88</v>
      </c>
      <c r="L121">
        <v>4</v>
      </c>
      <c r="M121">
        <v>12500</v>
      </c>
    </row>
    <row r="122" spans="1:13">
      <c r="A122" t="s">
        <v>190</v>
      </c>
      <c r="B122" t="s">
        <v>88</v>
      </c>
      <c r="C122" t="s">
        <v>15</v>
      </c>
      <c r="D122" t="s">
        <v>27</v>
      </c>
      <c r="E122">
        <v>64</v>
      </c>
      <c r="F122" t="s">
        <v>34</v>
      </c>
      <c r="G122" t="s">
        <v>18</v>
      </c>
      <c r="H122">
        <v>70</v>
      </c>
      <c r="I122">
        <v>6930</v>
      </c>
      <c r="J122">
        <v>18.7</v>
      </c>
      <c r="K122">
        <v>80</v>
      </c>
      <c r="L122">
        <v>4</v>
      </c>
      <c r="M122">
        <v>41365</v>
      </c>
    </row>
    <row r="123" spans="1:13">
      <c r="A123" t="s">
        <v>191</v>
      </c>
      <c r="B123" t="s">
        <v>64</v>
      </c>
      <c r="C123" t="s">
        <v>30</v>
      </c>
      <c r="D123" t="s">
        <v>27</v>
      </c>
      <c r="E123">
        <v>68</v>
      </c>
      <c r="F123" t="s">
        <v>17</v>
      </c>
      <c r="G123" t="s">
        <v>70</v>
      </c>
      <c r="H123">
        <v>66</v>
      </c>
      <c r="I123">
        <v>2401</v>
      </c>
      <c r="J123">
        <v>18.3</v>
      </c>
      <c r="K123">
        <v>142</v>
      </c>
      <c r="L123">
        <v>3</v>
      </c>
      <c r="M123">
        <v>7569</v>
      </c>
    </row>
    <row r="124" spans="1:13">
      <c r="A124" t="s">
        <v>192</v>
      </c>
      <c r="B124" t="s">
        <v>25</v>
      </c>
      <c r="C124" t="s">
        <v>39</v>
      </c>
      <c r="D124" t="s">
        <v>16</v>
      </c>
      <c r="E124">
        <v>8</v>
      </c>
      <c r="F124" t="s">
        <v>34</v>
      </c>
      <c r="G124" t="s">
        <v>40</v>
      </c>
      <c r="H124">
        <v>78</v>
      </c>
      <c r="I124">
        <v>3852</v>
      </c>
      <c r="J124">
        <v>5.72</v>
      </c>
      <c r="K124">
        <v>83</v>
      </c>
      <c r="L124">
        <v>4</v>
      </c>
      <c r="M124">
        <v>20629</v>
      </c>
    </row>
    <row r="125" spans="1:13">
      <c r="A125" t="s">
        <v>193</v>
      </c>
      <c r="B125" t="s">
        <v>25</v>
      </c>
      <c r="C125" t="s">
        <v>26</v>
      </c>
      <c r="D125" t="s">
        <v>16</v>
      </c>
      <c r="E125">
        <v>30</v>
      </c>
      <c r="F125" t="s">
        <v>34</v>
      </c>
      <c r="G125" t="s">
        <v>23</v>
      </c>
      <c r="H125">
        <v>83</v>
      </c>
      <c r="I125">
        <v>3678</v>
      </c>
      <c r="J125">
        <v>8.75</v>
      </c>
      <c r="K125">
        <v>30</v>
      </c>
      <c r="L125">
        <v>4</v>
      </c>
      <c r="M125">
        <v>20490</v>
      </c>
    </row>
    <row r="126" spans="1:13">
      <c r="A126" t="s">
        <v>194</v>
      </c>
      <c r="B126" t="s">
        <v>64</v>
      </c>
      <c r="C126" t="s">
        <v>30</v>
      </c>
      <c r="D126" t="s">
        <v>27</v>
      </c>
      <c r="E126">
        <v>32</v>
      </c>
      <c r="F126" t="s">
        <v>17</v>
      </c>
      <c r="G126" t="s">
        <v>31</v>
      </c>
      <c r="H126">
        <v>76</v>
      </c>
      <c r="I126">
        <v>3700</v>
      </c>
      <c r="J126">
        <v>19.34</v>
      </c>
      <c r="K126">
        <v>102</v>
      </c>
      <c r="L126">
        <v>5</v>
      </c>
      <c r="M126">
        <v>10376</v>
      </c>
    </row>
    <row r="127" spans="1:13">
      <c r="A127" t="s">
        <v>195</v>
      </c>
      <c r="B127" t="s">
        <v>109</v>
      </c>
      <c r="C127" t="s">
        <v>30</v>
      </c>
      <c r="D127" t="s">
        <v>16</v>
      </c>
      <c r="E127">
        <v>10</v>
      </c>
      <c r="F127" t="s">
        <v>17</v>
      </c>
      <c r="G127" t="s">
        <v>23</v>
      </c>
      <c r="H127">
        <v>73</v>
      </c>
      <c r="I127">
        <v>4118</v>
      </c>
      <c r="J127">
        <v>14.2</v>
      </c>
      <c r="K127">
        <v>84</v>
      </c>
      <c r="L127">
        <v>4</v>
      </c>
      <c r="M127">
        <v>13468</v>
      </c>
    </row>
    <row r="128" spans="1:13">
      <c r="A128" t="s">
        <v>196</v>
      </c>
      <c r="B128" t="s">
        <v>143</v>
      </c>
      <c r="C128" t="s">
        <v>21</v>
      </c>
      <c r="D128" t="s">
        <v>27</v>
      </c>
      <c r="E128">
        <v>34</v>
      </c>
      <c r="F128" t="s">
        <v>22</v>
      </c>
      <c r="G128" t="s">
        <v>23</v>
      </c>
      <c r="H128">
        <v>86</v>
      </c>
      <c r="I128">
        <v>6478</v>
      </c>
      <c r="J128">
        <v>19.75</v>
      </c>
      <c r="K128">
        <v>94</v>
      </c>
      <c r="L128">
        <v>4</v>
      </c>
      <c r="M128">
        <v>34892</v>
      </c>
    </row>
    <row r="129" spans="1:13">
      <c r="A129" t="s">
        <v>197</v>
      </c>
      <c r="B129" t="s">
        <v>185</v>
      </c>
      <c r="C129" t="s">
        <v>52</v>
      </c>
      <c r="D129" t="s">
        <v>16</v>
      </c>
      <c r="E129">
        <v>71</v>
      </c>
      <c r="F129" t="s">
        <v>34</v>
      </c>
      <c r="G129" t="s">
        <v>18</v>
      </c>
      <c r="H129">
        <v>81</v>
      </c>
      <c r="I129">
        <v>5376</v>
      </c>
      <c r="J129">
        <v>15.85</v>
      </c>
      <c r="K129">
        <v>57</v>
      </c>
      <c r="L129">
        <v>4</v>
      </c>
      <c r="M129">
        <v>25829</v>
      </c>
    </row>
    <row r="130" spans="1:13">
      <c r="A130" t="s">
        <v>198</v>
      </c>
      <c r="B130" t="s">
        <v>54</v>
      </c>
      <c r="C130" t="s">
        <v>15</v>
      </c>
      <c r="D130" t="s">
        <v>72</v>
      </c>
      <c r="E130">
        <v>61</v>
      </c>
      <c r="F130" t="s">
        <v>17</v>
      </c>
      <c r="G130" t="s">
        <v>49</v>
      </c>
      <c r="H130">
        <v>80</v>
      </c>
      <c r="I130">
        <v>8493</v>
      </c>
      <c r="J130">
        <v>20.68</v>
      </c>
      <c r="K130">
        <v>95</v>
      </c>
      <c r="L130">
        <v>4</v>
      </c>
      <c r="M130">
        <v>25947</v>
      </c>
    </row>
    <row r="131" spans="1:13">
      <c r="A131" t="s">
        <v>199</v>
      </c>
      <c r="B131" t="s">
        <v>64</v>
      </c>
      <c r="C131" t="s">
        <v>30</v>
      </c>
      <c r="D131" t="s">
        <v>16</v>
      </c>
      <c r="E131">
        <v>37</v>
      </c>
      <c r="F131" t="s">
        <v>34</v>
      </c>
      <c r="G131" t="s">
        <v>70</v>
      </c>
      <c r="H131">
        <v>75</v>
      </c>
      <c r="I131">
        <v>3017</v>
      </c>
      <c r="J131">
        <v>19.98</v>
      </c>
      <c r="K131">
        <v>93</v>
      </c>
      <c r="L131">
        <v>4</v>
      </c>
      <c r="M131">
        <v>12901</v>
      </c>
    </row>
    <row r="132" spans="1:13">
      <c r="A132" t="s">
        <v>200</v>
      </c>
      <c r="B132" t="s">
        <v>51</v>
      </c>
      <c r="C132" t="s">
        <v>52</v>
      </c>
      <c r="D132" t="s">
        <v>16</v>
      </c>
      <c r="E132">
        <v>48</v>
      </c>
      <c r="F132" t="s">
        <v>22</v>
      </c>
      <c r="G132" t="s">
        <v>18</v>
      </c>
      <c r="H132">
        <v>80</v>
      </c>
      <c r="I132">
        <v>5824</v>
      </c>
      <c r="J132">
        <v>16.989999999999998</v>
      </c>
      <c r="K132">
        <v>80</v>
      </c>
      <c r="L132">
        <v>5</v>
      </c>
      <c r="M132">
        <v>30456</v>
      </c>
    </row>
    <row r="133" spans="1:13">
      <c r="A133" t="s">
        <v>201</v>
      </c>
      <c r="B133" t="s">
        <v>80</v>
      </c>
      <c r="C133" t="s">
        <v>15</v>
      </c>
      <c r="D133" t="s">
        <v>16</v>
      </c>
      <c r="E133">
        <v>50</v>
      </c>
      <c r="F133" t="s">
        <v>22</v>
      </c>
      <c r="G133" t="s">
        <v>23</v>
      </c>
      <c r="H133">
        <v>83</v>
      </c>
      <c r="I133">
        <v>7753</v>
      </c>
      <c r="J133">
        <v>16.190000000000001</v>
      </c>
      <c r="K133">
        <v>76</v>
      </c>
      <c r="L133">
        <v>4</v>
      </c>
      <c r="M133">
        <v>44673</v>
      </c>
    </row>
    <row r="134" spans="1:13">
      <c r="A134" t="s">
        <v>202</v>
      </c>
      <c r="B134" t="s">
        <v>64</v>
      </c>
      <c r="C134" t="s">
        <v>30</v>
      </c>
      <c r="D134" t="s">
        <v>16</v>
      </c>
      <c r="E134">
        <v>36</v>
      </c>
      <c r="F134" t="s">
        <v>22</v>
      </c>
      <c r="G134" t="s">
        <v>40</v>
      </c>
      <c r="H134">
        <v>75</v>
      </c>
      <c r="I134">
        <v>4251</v>
      </c>
      <c r="J134">
        <v>13.89</v>
      </c>
      <c r="K134">
        <v>113</v>
      </c>
      <c r="L134">
        <v>3</v>
      </c>
      <c r="M134">
        <v>15773</v>
      </c>
    </row>
    <row r="135" spans="1:13">
      <c r="A135" t="s">
        <v>203</v>
      </c>
      <c r="B135" t="s">
        <v>78</v>
      </c>
      <c r="C135" t="s">
        <v>15</v>
      </c>
      <c r="D135" t="s">
        <v>16</v>
      </c>
      <c r="E135">
        <v>35</v>
      </c>
      <c r="F135" t="s">
        <v>17</v>
      </c>
      <c r="G135" t="s">
        <v>70</v>
      </c>
      <c r="H135">
        <v>77</v>
      </c>
      <c r="I135">
        <v>7513</v>
      </c>
      <c r="J135">
        <v>13.9</v>
      </c>
      <c r="K135">
        <v>87</v>
      </c>
      <c r="L135">
        <v>3</v>
      </c>
      <c r="M135">
        <v>39040</v>
      </c>
    </row>
    <row r="136" spans="1:13">
      <c r="A136" t="s">
        <v>204</v>
      </c>
      <c r="B136" t="s">
        <v>74</v>
      </c>
      <c r="C136" t="s">
        <v>45</v>
      </c>
      <c r="D136" t="s">
        <v>27</v>
      </c>
      <c r="E136">
        <v>33</v>
      </c>
      <c r="F136" t="s">
        <v>34</v>
      </c>
      <c r="G136" t="s">
        <v>31</v>
      </c>
      <c r="H136">
        <v>77</v>
      </c>
      <c r="I136">
        <v>6393</v>
      </c>
      <c r="J136">
        <v>8.1999999999999993</v>
      </c>
      <c r="K136">
        <v>132</v>
      </c>
      <c r="L136">
        <v>4</v>
      </c>
      <c r="M136">
        <v>31503</v>
      </c>
    </row>
    <row r="137" spans="1:13">
      <c r="A137" t="s">
        <v>205</v>
      </c>
      <c r="B137" t="s">
        <v>68</v>
      </c>
      <c r="C137" t="s">
        <v>45</v>
      </c>
      <c r="D137" t="s">
        <v>27</v>
      </c>
      <c r="E137">
        <v>67</v>
      </c>
      <c r="F137" t="s">
        <v>22</v>
      </c>
      <c r="G137" t="s">
        <v>49</v>
      </c>
      <c r="H137">
        <v>73</v>
      </c>
      <c r="I137">
        <v>8599</v>
      </c>
      <c r="J137">
        <v>12.41</v>
      </c>
      <c r="K137">
        <v>121</v>
      </c>
      <c r="L137">
        <v>4</v>
      </c>
      <c r="M137">
        <v>40714</v>
      </c>
    </row>
    <row r="138" spans="1:13">
      <c r="A138" t="s">
        <v>206</v>
      </c>
      <c r="B138" t="s">
        <v>47</v>
      </c>
      <c r="C138" t="s">
        <v>48</v>
      </c>
      <c r="D138" t="s">
        <v>16</v>
      </c>
      <c r="E138">
        <v>14</v>
      </c>
      <c r="F138" t="s">
        <v>22</v>
      </c>
      <c r="G138" t="s">
        <v>70</v>
      </c>
      <c r="H138">
        <v>80</v>
      </c>
      <c r="I138">
        <v>5945</v>
      </c>
      <c r="J138">
        <v>12.97</v>
      </c>
      <c r="K138">
        <v>61</v>
      </c>
      <c r="L138">
        <v>4</v>
      </c>
      <c r="M138">
        <v>19296</v>
      </c>
    </row>
    <row r="139" spans="1:13">
      <c r="A139" t="s">
        <v>207</v>
      </c>
      <c r="B139" t="s">
        <v>168</v>
      </c>
      <c r="C139" t="s">
        <v>45</v>
      </c>
      <c r="D139" t="s">
        <v>16</v>
      </c>
      <c r="E139">
        <v>46</v>
      </c>
      <c r="F139" t="s">
        <v>22</v>
      </c>
      <c r="G139" t="s">
        <v>40</v>
      </c>
      <c r="H139">
        <v>78</v>
      </c>
      <c r="I139">
        <v>10710</v>
      </c>
      <c r="J139">
        <v>15.63</v>
      </c>
      <c r="K139">
        <v>90</v>
      </c>
      <c r="L139">
        <v>4</v>
      </c>
      <c r="M139">
        <v>33729</v>
      </c>
    </row>
    <row r="140" spans="1:13">
      <c r="A140" t="s">
        <v>208</v>
      </c>
      <c r="B140" t="s">
        <v>66</v>
      </c>
      <c r="C140" t="s">
        <v>39</v>
      </c>
      <c r="D140" t="s">
        <v>16</v>
      </c>
      <c r="E140">
        <v>7</v>
      </c>
      <c r="F140" t="s">
        <v>17</v>
      </c>
      <c r="G140" t="s">
        <v>40</v>
      </c>
      <c r="H140">
        <v>85</v>
      </c>
      <c r="I140">
        <v>3341</v>
      </c>
      <c r="J140">
        <v>9.7899999999999991</v>
      </c>
      <c r="K140">
        <v>69</v>
      </c>
      <c r="L140">
        <v>5</v>
      </c>
      <c r="M140">
        <v>9887</v>
      </c>
    </row>
    <row r="141" spans="1:13">
      <c r="A141" t="s">
        <v>209</v>
      </c>
      <c r="B141" t="s">
        <v>68</v>
      </c>
      <c r="C141" t="s">
        <v>45</v>
      </c>
      <c r="D141" t="s">
        <v>16</v>
      </c>
      <c r="E141">
        <v>69</v>
      </c>
      <c r="F141" t="s">
        <v>22</v>
      </c>
      <c r="G141" t="s">
        <v>49</v>
      </c>
      <c r="H141">
        <v>75</v>
      </c>
      <c r="I141">
        <v>7144</v>
      </c>
      <c r="J141">
        <v>16.8</v>
      </c>
      <c r="K141">
        <v>104</v>
      </c>
      <c r="L141">
        <v>3</v>
      </c>
      <c r="M141">
        <v>28619</v>
      </c>
    </row>
    <row r="142" spans="1:13">
      <c r="A142" t="s">
        <v>210</v>
      </c>
      <c r="B142" t="s">
        <v>25</v>
      </c>
      <c r="C142" t="s">
        <v>26</v>
      </c>
      <c r="D142" t="s">
        <v>27</v>
      </c>
      <c r="E142">
        <v>44</v>
      </c>
      <c r="F142" t="s">
        <v>34</v>
      </c>
      <c r="G142" t="s">
        <v>18</v>
      </c>
      <c r="H142">
        <v>96</v>
      </c>
      <c r="I142">
        <v>2564</v>
      </c>
      <c r="J142">
        <v>2.2799999999999998</v>
      </c>
      <c r="K142">
        <v>16</v>
      </c>
      <c r="L142">
        <v>5</v>
      </c>
      <c r="M142">
        <v>9195</v>
      </c>
    </row>
    <row r="143" spans="1:13">
      <c r="A143" t="s">
        <v>211</v>
      </c>
      <c r="B143" t="s">
        <v>68</v>
      </c>
      <c r="C143" t="s">
        <v>45</v>
      </c>
      <c r="D143" t="s">
        <v>27</v>
      </c>
      <c r="E143">
        <v>39</v>
      </c>
      <c r="F143" t="s">
        <v>34</v>
      </c>
      <c r="G143" t="s">
        <v>40</v>
      </c>
      <c r="H143">
        <v>88</v>
      </c>
      <c r="I143">
        <v>8688</v>
      </c>
      <c r="J143">
        <v>14.25</v>
      </c>
      <c r="K143">
        <v>94</v>
      </c>
      <c r="L143">
        <v>4</v>
      </c>
      <c r="M143">
        <v>30588</v>
      </c>
    </row>
    <row r="144" spans="1:13">
      <c r="A144" t="s">
        <v>212</v>
      </c>
      <c r="B144" t="s">
        <v>47</v>
      </c>
      <c r="C144" t="s">
        <v>48</v>
      </c>
      <c r="D144" t="s">
        <v>16</v>
      </c>
      <c r="E144">
        <v>60</v>
      </c>
      <c r="F144" t="s">
        <v>34</v>
      </c>
      <c r="G144" t="s">
        <v>49</v>
      </c>
      <c r="H144">
        <v>79</v>
      </c>
      <c r="I144">
        <v>4839</v>
      </c>
      <c r="J144">
        <v>11.81</v>
      </c>
      <c r="K144">
        <v>83</v>
      </c>
      <c r="L144">
        <v>3</v>
      </c>
      <c r="M144">
        <v>22566</v>
      </c>
    </row>
    <row r="145" spans="1:13">
      <c r="A145" t="s">
        <v>213</v>
      </c>
      <c r="B145" t="s">
        <v>29</v>
      </c>
      <c r="C145" t="s">
        <v>30</v>
      </c>
      <c r="D145" t="s">
        <v>16</v>
      </c>
      <c r="E145">
        <v>55</v>
      </c>
      <c r="F145" t="s">
        <v>17</v>
      </c>
      <c r="G145" t="s">
        <v>18</v>
      </c>
      <c r="H145">
        <v>66</v>
      </c>
      <c r="I145">
        <v>2886</v>
      </c>
      <c r="J145">
        <v>18.149999999999999</v>
      </c>
      <c r="K145">
        <v>145</v>
      </c>
      <c r="L145">
        <v>3</v>
      </c>
      <c r="M145">
        <v>8008</v>
      </c>
    </row>
    <row r="146" spans="1:13">
      <c r="A146" t="s">
        <v>214</v>
      </c>
      <c r="B146" t="s">
        <v>103</v>
      </c>
      <c r="C146" t="s">
        <v>26</v>
      </c>
      <c r="D146" t="s">
        <v>16</v>
      </c>
      <c r="E146">
        <v>24</v>
      </c>
      <c r="F146" t="s">
        <v>17</v>
      </c>
      <c r="G146" t="s">
        <v>31</v>
      </c>
      <c r="H146">
        <v>83</v>
      </c>
      <c r="I146">
        <v>3398</v>
      </c>
      <c r="J146">
        <v>7.56</v>
      </c>
      <c r="K146">
        <v>39</v>
      </c>
      <c r="L146">
        <v>4</v>
      </c>
      <c r="M146">
        <v>10486</v>
      </c>
    </row>
    <row r="147" spans="1:13">
      <c r="A147" t="s">
        <v>215</v>
      </c>
      <c r="B147" t="s">
        <v>168</v>
      </c>
      <c r="C147" t="s">
        <v>45</v>
      </c>
      <c r="D147" t="s">
        <v>27</v>
      </c>
      <c r="E147">
        <v>50</v>
      </c>
      <c r="F147" t="s">
        <v>17</v>
      </c>
      <c r="G147" t="s">
        <v>23</v>
      </c>
      <c r="H147">
        <v>78</v>
      </c>
      <c r="I147">
        <v>12261</v>
      </c>
      <c r="J147">
        <v>18.43</v>
      </c>
      <c r="K147">
        <v>79</v>
      </c>
      <c r="L147">
        <v>4</v>
      </c>
      <c r="M147">
        <v>65057</v>
      </c>
    </row>
    <row r="148" spans="1:13">
      <c r="A148" t="s">
        <v>216</v>
      </c>
      <c r="B148" t="s">
        <v>135</v>
      </c>
      <c r="C148" t="s">
        <v>48</v>
      </c>
      <c r="D148" t="s">
        <v>27</v>
      </c>
      <c r="E148">
        <v>65</v>
      </c>
      <c r="F148" t="s">
        <v>17</v>
      </c>
      <c r="G148" t="s">
        <v>40</v>
      </c>
      <c r="H148">
        <v>91</v>
      </c>
      <c r="I148">
        <v>7580</v>
      </c>
      <c r="J148">
        <v>12.79</v>
      </c>
      <c r="K148">
        <v>64</v>
      </c>
      <c r="L148">
        <v>4</v>
      </c>
      <c r="M148">
        <v>32915</v>
      </c>
    </row>
    <row r="149" spans="1:13">
      <c r="A149" t="s">
        <v>217</v>
      </c>
      <c r="B149" t="s">
        <v>54</v>
      </c>
      <c r="C149" t="s">
        <v>39</v>
      </c>
      <c r="D149" t="s">
        <v>16</v>
      </c>
      <c r="E149">
        <v>9</v>
      </c>
      <c r="F149" t="s">
        <v>34</v>
      </c>
      <c r="G149" t="s">
        <v>70</v>
      </c>
      <c r="H149">
        <v>87</v>
      </c>
      <c r="I149">
        <v>2381</v>
      </c>
      <c r="J149">
        <v>5.88</v>
      </c>
      <c r="K149">
        <v>64</v>
      </c>
      <c r="L149">
        <v>5</v>
      </c>
      <c r="M149">
        <v>10104</v>
      </c>
    </row>
    <row r="150" spans="1:13">
      <c r="A150" t="s">
        <v>218</v>
      </c>
      <c r="B150" t="s">
        <v>25</v>
      </c>
      <c r="C150" t="s">
        <v>39</v>
      </c>
      <c r="D150" t="s">
        <v>16</v>
      </c>
      <c r="E150">
        <v>11</v>
      </c>
      <c r="F150" t="s">
        <v>34</v>
      </c>
      <c r="G150" t="s">
        <v>40</v>
      </c>
      <c r="H150">
        <v>85</v>
      </c>
      <c r="I150">
        <v>3022</v>
      </c>
      <c r="J150">
        <v>8.48</v>
      </c>
      <c r="K150">
        <v>68</v>
      </c>
      <c r="L150">
        <v>4</v>
      </c>
      <c r="M150">
        <v>8318</v>
      </c>
    </row>
    <row r="151" spans="1:13">
      <c r="A151" t="s">
        <v>219</v>
      </c>
      <c r="B151" t="s">
        <v>135</v>
      </c>
      <c r="C151" t="s">
        <v>48</v>
      </c>
      <c r="D151" t="s">
        <v>27</v>
      </c>
      <c r="E151">
        <v>66</v>
      </c>
      <c r="F151" t="s">
        <v>17</v>
      </c>
      <c r="G151" t="s">
        <v>40</v>
      </c>
      <c r="H151">
        <v>69</v>
      </c>
      <c r="I151">
        <v>7119</v>
      </c>
      <c r="J151">
        <v>15.49</v>
      </c>
      <c r="K151">
        <v>72</v>
      </c>
      <c r="L151">
        <v>3</v>
      </c>
      <c r="M151">
        <v>27042</v>
      </c>
    </row>
    <row r="152" spans="1:13">
      <c r="A152" t="s">
        <v>220</v>
      </c>
      <c r="B152" t="s">
        <v>78</v>
      </c>
      <c r="C152" t="s">
        <v>15</v>
      </c>
      <c r="D152" t="s">
        <v>16</v>
      </c>
      <c r="E152">
        <v>49</v>
      </c>
      <c r="F152" t="s">
        <v>22</v>
      </c>
      <c r="G152" t="s">
        <v>18</v>
      </c>
      <c r="H152">
        <v>80</v>
      </c>
      <c r="I152">
        <v>9357</v>
      </c>
      <c r="J152">
        <v>14.16</v>
      </c>
      <c r="K152">
        <v>105</v>
      </c>
      <c r="L152">
        <v>4</v>
      </c>
      <c r="M152">
        <v>52890</v>
      </c>
    </row>
    <row r="153" spans="1:13">
      <c r="A153" t="s">
        <v>221</v>
      </c>
      <c r="B153" t="s">
        <v>60</v>
      </c>
      <c r="C153" t="s">
        <v>52</v>
      </c>
      <c r="D153" t="s">
        <v>16</v>
      </c>
      <c r="E153">
        <v>12</v>
      </c>
      <c r="F153" t="s">
        <v>34</v>
      </c>
      <c r="G153" t="s">
        <v>31</v>
      </c>
      <c r="H153">
        <v>82</v>
      </c>
      <c r="I153">
        <v>9280</v>
      </c>
      <c r="J153">
        <v>14.72</v>
      </c>
      <c r="K153">
        <v>68</v>
      </c>
      <c r="L153">
        <v>4</v>
      </c>
      <c r="M153">
        <v>43713</v>
      </c>
    </row>
    <row r="154" spans="1:13">
      <c r="A154" t="s">
        <v>222</v>
      </c>
      <c r="B154" t="s">
        <v>58</v>
      </c>
      <c r="C154" t="s">
        <v>48</v>
      </c>
      <c r="D154" t="s">
        <v>16</v>
      </c>
      <c r="E154">
        <v>32</v>
      </c>
      <c r="F154" t="s">
        <v>34</v>
      </c>
      <c r="G154" t="s">
        <v>18</v>
      </c>
      <c r="H154">
        <v>75</v>
      </c>
      <c r="I154">
        <v>6592</v>
      </c>
      <c r="J154">
        <v>13.04</v>
      </c>
      <c r="K154">
        <v>82</v>
      </c>
      <c r="L154">
        <v>3</v>
      </c>
      <c r="M154">
        <v>38892</v>
      </c>
    </row>
    <row r="155" spans="1:13">
      <c r="A155" t="s">
        <v>223</v>
      </c>
      <c r="B155" t="s">
        <v>66</v>
      </c>
      <c r="C155" t="s">
        <v>39</v>
      </c>
      <c r="D155" t="s">
        <v>27</v>
      </c>
      <c r="E155">
        <v>10</v>
      </c>
      <c r="F155" t="s">
        <v>22</v>
      </c>
      <c r="G155" t="s">
        <v>49</v>
      </c>
      <c r="H155">
        <v>84</v>
      </c>
      <c r="I155">
        <v>2009</v>
      </c>
      <c r="J155">
        <v>7.8</v>
      </c>
      <c r="K155">
        <v>54</v>
      </c>
      <c r="L155">
        <v>5</v>
      </c>
      <c r="M155">
        <v>8642</v>
      </c>
    </row>
    <row r="156" spans="1:13">
      <c r="A156" t="s">
        <v>224</v>
      </c>
      <c r="B156" t="s">
        <v>129</v>
      </c>
      <c r="C156" t="s">
        <v>21</v>
      </c>
      <c r="D156" t="s">
        <v>27</v>
      </c>
      <c r="E156">
        <v>67</v>
      </c>
      <c r="F156" t="s">
        <v>17</v>
      </c>
      <c r="G156" t="s">
        <v>49</v>
      </c>
      <c r="H156">
        <v>76</v>
      </c>
      <c r="I156">
        <v>6028</v>
      </c>
      <c r="J156">
        <v>10.52</v>
      </c>
      <c r="K156">
        <v>55</v>
      </c>
      <c r="L156">
        <v>4</v>
      </c>
      <c r="M156">
        <v>31388</v>
      </c>
    </row>
    <row r="157" spans="1:13">
      <c r="A157" t="s">
        <v>225</v>
      </c>
      <c r="B157" t="s">
        <v>135</v>
      </c>
      <c r="C157" t="s">
        <v>48</v>
      </c>
      <c r="D157" t="s">
        <v>16</v>
      </c>
      <c r="E157">
        <v>13</v>
      </c>
      <c r="F157" t="s">
        <v>34</v>
      </c>
      <c r="G157" t="s">
        <v>23</v>
      </c>
      <c r="H157">
        <v>79</v>
      </c>
      <c r="I157">
        <v>3485</v>
      </c>
      <c r="J157">
        <v>13.02</v>
      </c>
      <c r="K157">
        <v>69</v>
      </c>
      <c r="L157">
        <v>4</v>
      </c>
      <c r="M157">
        <v>11746</v>
      </c>
    </row>
    <row r="158" spans="1:13">
      <c r="A158" t="s">
        <v>226</v>
      </c>
      <c r="B158" t="s">
        <v>29</v>
      </c>
      <c r="C158" t="s">
        <v>30</v>
      </c>
      <c r="D158" t="s">
        <v>27</v>
      </c>
      <c r="E158">
        <v>75</v>
      </c>
      <c r="F158" t="s">
        <v>34</v>
      </c>
      <c r="G158" t="s">
        <v>70</v>
      </c>
      <c r="H158">
        <v>69</v>
      </c>
      <c r="I158">
        <v>3255</v>
      </c>
      <c r="J158">
        <v>16.600000000000001</v>
      </c>
      <c r="K158">
        <v>127</v>
      </c>
      <c r="L158">
        <v>4</v>
      </c>
      <c r="M158">
        <v>17754</v>
      </c>
    </row>
    <row r="159" spans="1:13">
      <c r="A159" t="s">
        <v>227</v>
      </c>
      <c r="B159" t="s">
        <v>66</v>
      </c>
      <c r="C159" t="s">
        <v>39</v>
      </c>
      <c r="D159" t="s">
        <v>72</v>
      </c>
      <c r="E159">
        <v>10</v>
      </c>
      <c r="F159" t="s">
        <v>34</v>
      </c>
      <c r="G159" t="s">
        <v>70</v>
      </c>
      <c r="H159">
        <v>78</v>
      </c>
      <c r="I159">
        <v>2818</v>
      </c>
      <c r="J159">
        <v>9.52</v>
      </c>
      <c r="K159">
        <v>85</v>
      </c>
      <c r="L159">
        <v>4</v>
      </c>
      <c r="M159">
        <v>7608</v>
      </c>
    </row>
    <row r="160" spans="1:13">
      <c r="A160" t="s">
        <v>228</v>
      </c>
      <c r="B160" t="s">
        <v>14</v>
      </c>
      <c r="C160" t="s">
        <v>15</v>
      </c>
      <c r="D160" t="s">
        <v>27</v>
      </c>
      <c r="E160">
        <v>59</v>
      </c>
      <c r="F160" t="s">
        <v>17</v>
      </c>
      <c r="G160" t="s">
        <v>49</v>
      </c>
      <c r="H160">
        <v>77</v>
      </c>
      <c r="I160">
        <v>8025</v>
      </c>
      <c r="J160">
        <v>15.68</v>
      </c>
      <c r="K160">
        <v>86</v>
      </c>
      <c r="L160">
        <v>3</v>
      </c>
      <c r="M160">
        <v>21230</v>
      </c>
    </row>
    <row r="161" spans="1:13">
      <c r="A161" t="s">
        <v>229</v>
      </c>
      <c r="B161" t="s">
        <v>97</v>
      </c>
      <c r="C161" t="s">
        <v>30</v>
      </c>
      <c r="D161" t="s">
        <v>27</v>
      </c>
      <c r="E161">
        <v>47</v>
      </c>
      <c r="F161" t="s">
        <v>22</v>
      </c>
      <c r="G161" t="s">
        <v>40</v>
      </c>
      <c r="H161">
        <v>58</v>
      </c>
      <c r="I161">
        <v>3406</v>
      </c>
      <c r="J161">
        <v>22.34</v>
      </c>
      <c r="K161">
        <v>119</v>
      </c>
      <c r="L161">
        <v>4</v>
      </c>
      <c r="M161">
        <v>16464</v>
      </c>
    </row>
    <row r="162" spans="1:13">
      <c r="A162" t="s">
        <v>230</v>
      </c>
      <c r="B162" t="s">
        <v>54</v>
      </c>
      <c r="C162" t="s">
        <v>15</v>
      </c>
      <c r="D162" t="s">
        <v>27</v>
      </c>
      <c r="E162">
        <v>67</v>
      </c>
      <c r="F162" t="s">
        <v>34</v>
      </c>
      <c r="G162" t="s">
        <v>49</v>
      </c>
      <c r="H162">
        <v>78</v>
      </c>
      <c r="I162">
        <v>7857</v>
      </c>
      <c r="J162">
        <v>11.79</v>
      </c>
      <c r="K162">
        <v>64</v>
      </c>
      <c r="L162">
        <v>5</v>
      </c>
      <c r="M162">
        <v>43515</v>
      </c>
    </row>
    <row r="163" spans="1:13">
      <c r="A163" t="s">
        <v>231</v>
      </c>
      <c r="B163" t="s">
        <v>95</v>
      </c>
      <c r="C163" t="s">
        <v>52</v>
      </c>
      <c r="D163" t="s">
        <v>27</v>
      </c>
      <c r="E163">
        <v>55</v>
      </c>
      <c r="F163" t="s">
        <v>34</v>
      </c>
      <c r="G163" t="s">
        <v>40</v>
      </c>
      <c r="H163">
        <v>81</v>
      </c>
      <c r="I163">
        <v>7950</v>
      </c>
      <c r="J163">
        <v>22.01</v>
      </c>
      <c r="K163">
        <v>61</v>
      </c>
      <c r="L163">
        <v>4</v>
      </c>
      <c r="M163">
        <v>35752</v>
      </c>
    </row>
    <row r="164" spans="1:13">
      <c r="A164" t="s">
        <v>232</v>
      </c>
      <c r="B164" t="s">
        <v>25</v>
      </c>
      <c r="C164" t="s">
        <v>26</v>
      </c>
      <c r="D164" t="s">
        <v>16</v>
      </c>
      <c r="E164">
        <v>67</v>
      </c>
      <c r="F164" t="s">
        <v>17</v>
      </c>
      <c r="G164" t="s">
        <v>49</v>
      </c>
      <c r="H164">
        <v>94</v>
      </c>
      <c r="I164">
        <v>2819</v>
      </c>
      <c r="J164">
        <v>0.43</v>
      </c>
      <c r="K164">
        <v>68</v>
      </c>
      <c r="L164">
        <v>4</v>
      </c>
      <c r="M164">
        <v>8099</v>
      </c>
    </row>
    <row r="165" spans="1:13">
      <c r="A165" t="s">
        <v>233</v>
      </c>
      <c r="B165" t="s">
        <v>54</v>
      </c>
      <c r="C165" t="s">
        <v>15</v>
      </c>
      <c r="D165" t="s">
        <v>16</v>
      </c>
      <c r="E165">
        <v>65</v>
      </c>
      <c r="F165" t="s">
        <v>34</v>
      </c>
      <c r="G165" t="s">
        <v>31</v>
      </c>
      <c r="H165">
        <v>77</v>
      </c>
      <c r="I165">
        <v>7476</v>
      </c>
      <c r="J165">
        <v>21.74</v>
      </c>
      <c r="K165">
        <v>79</v>
      </c>
      <c r="L165">
        <v>4</v>
      </c>
      <c r="M165">
        <v>29264</v>
      </c>
    </row>
    <row r="166" spans="1:13">
      <c r="A166" t="s">
        <v>234</v>
      </c>
      <c r="B166" t="s">
        <v>54</v>
      </c>
      <c r="C166" t="s">
        <v>15</v>
      </c>
      <c r="D166" t="s">
        <v>27</v>
      </c>
      <c r="E166">
        <v>68</v>
      </c>
      <c r="F166" t="s">
        <v>22</v>
      </c>
      <c r="G166" t="s">
        <v>23</v>
      </c>
      <c r="H166">
        <v>77</v>
      </c>
      <c r="I166">
        <v>7836</v>
      </c>
      <c r="J166">
        <v>18.8</v>
      </c>
      <c r="K166">
        <v>60</v>
      </c>
      <c r="L166">
        <v>4</v>
      </c>
      <c r="M166">
        <v>42019</v>
      </c>
    </row>
    <row r="167" spans="1:13">
      <c r="A167" t="s">
        <v>235</v>
      </c>
      <c r="B167" t="s">
        <v>20</v>
      </c>
      <c r="C167" t="s">
        <v>21</v>
      </c>
      <c r="D167" t="s">
        <v>27</v>
      </c>
      <c r="E167">
        <v>47</v>
      </c>
      <c r="F167" t="s">
        <v>22</v>
      </c>
      <c r="G167" t="s">
        <v>49</v>
      </c>
      <c r="H167">
        <v>78</v>
      </c>
      <c r="I167">
        <v>4838</v>
      </c>
      <c r="J167">
        <v>8.43</v>
      </c>
      <c r="K167">
        <v>69</v>
      </c>
      <c r="L167">
        <v>5</v>
      </c>
      <c r="M167">
        <v>19692</v>
      </c>
    </row>
    <row r="168" spans="1:13">
      <c r="A168" t="s">
        <v>236</v>
      </c>
      <c r="B168" t="s">
        <v>56</v>
      </c>
      <c r="C168" t="s">
        <v>45</v>
      </c>
      <c r="D168" t="s">
        <v>27</v>
      </c>
      <c r="E168">
        <v>32</v>
      </c>
      <c r="F168" t="s">
        <v>34</v>
      </c>
      <c r="G168" t="s">
        <v>31</v>
      </c>
      <c r="H168">
        <v>73</v>
      </c>
      <c r="I168">
        <v>11955</v>
      </c>
      <c r="J168">
        <v>21.04</v>
      </c>
      <c r="K168">
        <v>68</v>
      </c>
      <c r="L168">
        <v>5</v>
      </c>
      <c r="M168">
        <v>45778</v>
      </c>
    </row>
    <row r="169" spans="1:13">
      <c r="A169" t="s">
        <v>237</v>
      </c>
      <c r="B169" t="s">
        <v>122</v>
      </c>
      <c r="C169" t="s">
        <v>48</v>
      </c>
      <c r="D169" t="s">
        <v>27</v>
      </c>
      <c r="E169">
        <v>46</v>
      </c>
      <c r="F169" t="s">
        <v>17</v>
      </c>
      <c r="G169" t="s">
        <v>40</v>
      </c>
      <c r="H169">
        <v>71</v>
      </c>
      <c r="I169">
        <v>5454</v>
      </c>
      <c r="J169">
        <v>11.92</v>
      </c>
      <c r="K169">
        <v>97</v>
      </c>
      <c r="L169">
        <v>3</v>
      </c>
      <c r="M169">
        <v>21248</v>
      </c>
    </row>
    <row r="170" spans="1:13">
      <c r="A170" t="s">
        <v>238</v>
      </c>
      <c r="B170" t="s">
        <v>185</v>
      </c>
      <c r="C170" t="s">
        <v>52</v>
      </c>
      <c r="D170" t="s">
        <v>27</v>
      </c>
      <c r="E170">
        <v>65</v>
      </c>
      <c r="F170" t="s">
        <v>17</v>
      </c>
      <c r="G170" t="s">
        <v>31</v>
      </c>
      <c r="H170">
        <v>74</v>
      </c>
      <c r="I170">
        <v>10214</v>
      </c>
      <c r="J170">
        <v>16.260000000000002</v>
      </c>
      <c r="K170">
        <v>128</v>
      </c>
      <c r="L170">
        <v>4</v>
      </c>
      <c r="M170">
        <v>59694</v>
      </c>
    </row>
    <row r="171" spans="1:13">
      <c r="A171" t="s">
        <v>239</v>
      </c>
      <c r="B171" t="s">
        <v>129</v>
      </c>
      <c r="C171" t="s">
        <v>21</v>
      </c>
      <c r="D171" t="s">
        <v>16</v>
      </c>
      <c r="E171">
        <v>39</v>
      </c>
      <c r="F171" t="s">
        <v>17</v>
      </c>
      <c r="G171" t="s">
        <v>23</v>
      </c>
      <c r="H171">
        <v>74</v>
      </c>
      <c r="I171">
        <v>6254</v>
      </c>
      <c r="J171">
        <v>17.21</v>
      </c>
      <c r="K171">
        <v>97</v>
      </c>
      <c r="L171">
        <v>3</v>
      </c>
      <c r="M171">
        <v>21255</v>
      </c>
    </row>
    <row r="172" spans="1:13">
      <c r="A172" t="s">
        <v>240</v>
      </c>
      <c r="B172" t="s">
        <v>129</v>
      </c>
      <c r="C172" t="s">
        <v>21</v>
      </c>
      <c r="D172" t="s">
        <v>16</v>
      </c>
      <c r="E172">
        <v>25</v>
      </c>
      <c r="F172" t="s">
        <v>22</v>
      </c>
      <c r="G172" t="s">
        <v>40</v>
      </c>
      <c r="H172">
        <v>81</v>
      </c>
      <c r="I172">
        <v>6733</v>
      </c>
      <c r="J172">
        <v>20.57</v>
      </c>
      <c r="K172">
        <v>67</v>
      </c>
      <c r="L172">
        <v>3</v>
      </c>
      <c r="M172">
        <v>33708</v>
      </c>
    </row>
    <row r="173" spans="1:13">
      <c r="A173" t="s">
        <v>241</v>
      </c>
      <c r="B173" t="s">
        <v>74</v>
      </c>
      <c r="C173" t="s">
        <v>45</v>
      </c>
      <c r="D173" t="s">
        <v>27</v>
      </c>
      <c r="E173">
        <v>32</v>
      </c>
      <c r="F173" t="s">
        <v>34</v>
      </c>
      <c r="G173" t="s">
        <v>31</v>
      </c>
      <c r="H173">
        <v>74</v>
      </c>
      <c r="I173">
        <v>8758</v>
      </c>
      <c r="J173">
        <v>16.36</v>
      </c>
      <c r="K173">
        <v>63</v>
      </c>
      <c r="L173">
        <v>4</v>
      </c>
      <c r="M173">
        <v>37992</v>
      </c>
    </row>
    <row r="174" spans="1:13">
      <c r="A174" t="s">
        <v>242</v>
      </c>
      <c r="B174" t="s">
        <v>25</v>
      </c>
      <c r="C174" t="s">
        <v>26</v>
      </c>
      <c r="D174" t="s">
        <v>16</v>
      </c>
      <c r="E174">
        <v>32</v>
      </c>
      <c r="F174" t="s">
        <v>34</v>
      </c>
      <c r="G174" t="s">
        <v>70</v>
      </c>
      <c r="H174">
        <v>85</v>
      </c>
      <c r="I174">
        <v>1703</v>
      </c>
      <c r="J174">
        <v>6.76</v>
      </c>
      <c r="K174">
        <v>51</v>
      </c>
      <c r="L174">
        <v>4</v>
      </c>
      <c r="M174">
        <v>9061</v>
      </c>
    </row>
    <row r="175" spans="1:13">
      <c r="A175" t="s">
        <v>243</v>
      </c>
      <c r="B175" t="s">
        <v>78</v>
      </c>
      <c r="C175" t="s">
        <v>15</v>
      </c>
      <c r="D175" t="s">
        <v>27</v>
      </c>
      <c r="E175">
        <v>33</v>
      </c>
      <c r="F175" t="s">
        <v>34</v>
      </c>
      <c r="G175" t="s">
        <v>31</v>
      </c>
      <c r="H175">
        <v>82</v>
      </c>
      <c r="I175">
        <v>7660</v>
      </c>
      <c r="J175">
        <v>16.559999999999999</v>
      </c>
      <c r="K175">
        <v>86</v>
      </c>
      <c r="L175">
        <v>4</v>
      </c>
      <c r="M175">
        <v>42855</v>
      </c>
    </row>
    <row r="176" spans="1:13">
      <c r="A176" t="s">
        <v>244</v>
      </c>
      <c r="B176" t="s">
        <v>42</v>
      </c>
      <c r="C176" t="s">
        <v>39</v>
      </c>
      <c r="D176" t="s">
        <v>27</v>
      </c>
      <c r="E176">
        <v>12</v>
      </c>
      <c r="F176" t="s">
        <v>17</v>
      </c>
      <c r="G176" t="s">
        <v>18</v>
      </c>
      <c r="H176">
        <v>76</v>
      </c>
      <c r="I176">
        <v>2158</v>
      </c>
      <c r="J176">
        <v>15</v>
      </c>
      <c r="K176">
        <v>46</v>
      </c>
      <c r="L176">
        <v>4</v>
      </c>
      <c r="M176">
        <v>11290</v>
      </c>
    </row>
    <row r="177" spans="1:13">
      <c r="A177" t="s">
        <v>245</v>
      </c>
      <c r="B177" t="s">
        <v>64</v>
      </c>
      <c r="C177" t="s">
        <v>30</v>
      </c>
      <c r="D177" t="s">
        <v>16</v>
      </c>
      <c r="E177">
        <v>61</v>
      </c>
      <c r="F177" t="s">
        <v>17</v>
      </c>
      <c r="G177" t="s">
        <v>70</v>
      </c>
      <c r="H177">
        <v>77</v>
      </c>
      <c r="I177">
        <v>4773</v>
      </c>
      <c r="J177">
        <v>14.69</v>
      </c>
      <c r="K177">
        <v>98</v>
      </c>
      <c r="L177">
        <v>4</v>
      </c>
      <c r="M177">
        <v>19479</v>
      </c>
    </row>
    <row r="178" spans="1:13">
      <c r="A178" t="s">
        <v>246</v>
      </c>
      <c r="B178" t="s">
        <v>56</v>
      </c>
      <c r="C178" t="s">
        <v>45</v>
      </c>
      <c r="D178" t="s">
        <v>27</v>
      </c>
      <c r="E178">
        <v>21</v>
      </c>
      <c r="F178" t="s">
        <v>22</v>
      </c>
      <c r="G178" t="s">
        <v>70</v>
      </c>
      <c r="H178">
        <v>72</v>
      </c>
      <c r="I178">
        <v>10140</v>
      </c>
      <c r="J178">
        <v>18.66</v>
      </c>
      <c r="K178">
        <v>101</v>
      </c>
      <c r="L178">
        <v>4</v>
      </c>
      <c r="M178">
        <v>26188</v>
      </c>
    </row>
    <row r="179" spans="1:13">
      <c r="A179" t="s">
        <v>247</v>
      </c>
      <c r="B179" t="s">
        <v>74</v>
      </c>
      <c r="C179" t="s">
        <v>45</v>
      </c>
      <c r="D179" t="s">
        <v>27</v>
      </c>
      <c r="E179">
        <v>69</v>
      </c>
      <c r="F179" t="s">
        <v>34</v>
      </c>
      <c r="G179" t="s">
        <v>40</v>
      </c>
      <c r="H179">
        <v>77</v>
      </c>
      <c r="I179">
        <v>6233</v>
      </c>
      <c r="J179">
        <v>18.07</v>
      </c>
      <c r="K179">
        <v>127</v>
      </c>
      <c r="L179">
        <v>3</v>
      </c>
      <c r="M179">
        <v>26419</v>
      </c>
    </row>
    <row r="180" spans="1:13">
      <c r="A180" t="s">
        <v>248</v>
      </c>
      <c r="B180" t="s">
        <v>38</v>
      </c>
      <c r="C180" t="s">
        <v>39</v>
      </c>
      <c r="D180" t="s">
        <v>16</v>
      </c>
      <c r="E180">
        <v>14</v>
      </c>
      <c r="F180" t="s">
        <v>34</v>
      </c>
      <c r="G180" t="s">
        <v>70</v>
      </c>
      <c r="H180">
        <v>83</v>
      </c>
      <c r="I180">
        <v>4006</v>
      </c>
      <c r="J180">
        <v>5.79</v>
      </c>
      <c r="K180">
        <v>92</v>
      </c>
      <c r="L180">
        <v>5</v>
      </c>
      <c r="M180">
        <v>13859</v>
      </c>
    </row>
    <row r="181" spans="1:13">
      <c r="A181" t="s">
        <v>249</v>
      </c>
      <c r="B181" t="s">
        <v>56</v>
      </c>
      <c r="C181" t="s">
        <v>45</v>
      </c>
      <c r="D181" t="s">
        <v>16</v>
      </c>
      <c r="E181">
        <v>22</v>
      </c>
      <c r="F181" t="s">
        <v>34</v>
      </c>
      <c r="G181" t="s">
        <v>49</v>
      </c>
      <c r="H181">
        <v>73</v>
      </c>
      <c r="I181">
        <v>7944</v>
      </c>
      <c r="J181">
        <v>16.21</v>
      </c>
      <c r="K181">
        <v>80</v>
      </c>
      <c r="L181">
        <v>4</v>
      </c>
      <c r="M181">
        <v>42113</v>
      </c>
    </row>
    <row r="182" spans="1:13">
      <c r="A182" t="s">
        <v>250</v>
      </c>
      <c r="B182" t="s">
        <v>187</v>
      </c>
      <c r="C182" t="s">
        <v>30</v>
      </c>
      <c r="D182" t="s">
        <v>27</v>
      </c>
      <c r="E182">
        <v>49</v>
      </c>
      <c r="F182" t="s">
        <v>34</v>
      </c>
      <c r="G182" t="s">
        <v>40</v>
      </c>
      <c r="H182">
        <v>65</v>
      </c>
      <c r="I182">
        <v>3731</v>
      </c>
      <c r="J182">
        <v>21.33</v>
      </c>
      <c r="K182">
        <v>78</v>
      </c>
      <c r="L182">
        <v>3</v>
      </c>
      <c r="M182">
        <v>13676</v>
      </c>
    </row>
    <row r="183" spans="1:13">
      <c r="A183" t="s">
        <v>251</v>
      </c>
      <c r="B183" t="s">
        <v>88</v>
      </c>
      <c r="C183" t="s">
        <v>15</v>
      </c>
      <c r="D183" t="s">
        <v>16</v>
      </c>
      <c r="E183">
        <v>58</v>
      </c>
      <c r="F183" t="s">
        <v>17</v>
      </c>
      <c r="G183" t="s">
        <v>31</v>
      </c>
      <c r="H183">
        <v>69</v>
      </c>
      <c r="I183">
        <v>6635</v>
      </c>
      <c r="J183">
        <v>22.91</v>
      </c>
      <c r="K183">
        <v>123</v>
      </c>
      <c r="L183">
        <v>3</v>
      </c>
      <c r="M183">
        <v>38825</v>
      </c>
    </row>
    <row r="184" spans="1:13">
      <c r="A184" t="s">
        <v>252</v>
      </c>
      <c r="B184" t="s">
        <v>168</v>
      </c>
      <c r="C184" t="s">
        <v>45</v>
      </c>
      <c r="D184" t="s">
        <v>27</v>
      </c>
      <c r="E184">
        <v>55</v>
      </c>
      <c r="F184" t="s">
        <v>22</v>
      </c>
      <c r="G184" t="s">
        <v>40</v>
      </c>
      <c r="H184">
        <v>79</v>
      </c>
      <c r="I184">
        <v>9304</v>
      </c>
      <c r="J184">
        <v>11.35</v>
      </c>
      <c r="K184">
        <v>76</v>
      </c>
      <c r="L184">
        <v>4</v>
      </c>
      <c r="M184">
        <v>47883</v>
      </c>
    </row>
    <row r="185" spans="1:13">
      <c r="A185" t="s">
        <v>253</v>
      </c>
      <c r="B185" t="s">
        <v>168</v>
      </c>
      <c r="C185" t="s">
        <v>45</v>
      </c>
      <c r="D185" t="s">
        <v>16</v>
      </c>
      <c r="E185">
        <v>71</v>
      </c>
      <c r="F185" t="s">
        <v>17</v>
      </c>
      <c r="G185" t="s">
        <v>40</v>
      </c>
      <c r="H185">
        <v>81</v>
      </c>
      <c r="I185">
        <v>8038</v>
      </c>
      <c r="J185">
        <v>11.37</v>
      </c>
      <c r="K185">
        <v>70</v>
      </c>
      <c r="L185">
        <v>4</v>
      </c>
      <c r="M185">
        <v>43783</v>
      </c>
    </row>
    <row r="186" spans="1:13">
      <c r="A186" t="s">
        <v>254</v>
      </c>
      <c r="B186" t="s">
        <v>129</v>
      </c>
      <c r="C186" t="s">
        <v>21</v>
      </c>
      <c r="D186" t="s">
        <v>27</v>
      </c>
      <c r="E186">
        <v>90</v>
      </c>
      <c r="F186" t="s">
        <v>22</v>
      </c>
      <c r="G186" t="s">
        <v>70</v>
      </c>
      <c r="H186">
        <v>77</v>
      </c>
      <c r="I186">
        <v>6749</v>
      </c>
      <c r="J186">
        <v>13.76</v>
      </c>
      <c r="K186">
        <v>97</v>
      </c>
      <c r="L186">
        <v>4</v>
      </c>
      <c r="M186">
        <v>35345</v>
      </c>
    </row>
    <row r="187" spans="1:13">
      <c r="A187" t="s">
        <v>255</v>
      </c>
      <c r="B187" t="s">
        <v>14</v>
      </c>
      <c r="C187" t="s">
        <v>15</v>
      </c>
      <c r="D187" t="s">
        <v>72</v>
      </c>
      <c r="E187">
        <v>23</v>
      </c>
      <c r="F187" t="s">
        <v>22</v>
      </c>
      <c r="G187" t="s">
        <v>18</v>
      </c>
      <c r="H187">
        <v>80</v>
      </c>
      <c r="I187">
        <v>6013</v>
      </c>
      <c r="J187">
        <v>15.04</v>
      </c>
      <c r="K187">
        <v>67</v>
      </c>
      <c r="L187">
        <v>4</v>
      </c>
      <c r="M187">
        <v>21462</v>
      </c>
    </row>
    <row r="188" spans="1:13">
      <c r="A188" t="s">
        <v>256</v>
      </c>
      <c r="B188" t="s">
        <v>129</v>
      </c>
      <c r="C188" t="s">
        <v>21</v>
      </c>
      <c r="D188" t="s">
        <v>16</v>
      </c>
      <c r="E188">
        <v>22</v>
      </c>
      <c r="F188" t="s">
        <v>22</v>
      </c>
      <c r="G188" t="s">
        <v>70</v>
      </c>
      <c r="H188">
        <v>77</v>
      </c>
      <c r="I188">
        <v>7005</v>
      </c>
      <c r="J188">
        <v>24.97</v>
      </c>
      <c r="K188">
        <v>46</v>
      </c>
      <c r="L188">
        <v>4</v>
      </c>
      <c r="M188">
        <v>41837</v>
      </c>
    </row>
    <row r="189" spans="1:13">
      <c r="A189" t="s">
        <v>257</v>
      </c>
      <c r="B189" t="s">
        <v>54</v>
      </c>
      <c r="C189" t="s">
        <v>15</v>
      </c>
      <c r="D189" t="s">
        <v>72</v>
      </c>
      <c r="E189">
        <v>37</v>
      </c>
      <c r="F189" t="s">
        <v>17</v>
      </c>
      <c r="G189" t="s">
        <v>70</v>
      </c>
      <c r="H189">
        <v>76</v>
      </c>
      <c r="I189">
        <v>6385</v>
      </c>
      <c r="J189">
        <v>20.67</v>
      </c>
      <c r="K189">
        <v>94</v>
      </c>
      <c r="L189">
        <v>4</v>
      </c>
      <c r="M189">
        <v>22771</v>
      </c>
    </row>
    <row r="190" spans="1:13">
      <c r="A190" t="s">
        <v>258</v>
      </c>
      <c r="B190" t="s">
        <v>54</v>
      </c>
      <c r="C190" t="s">
        <v>15</v>
      </c>
      <c r="D190" t="s">
        <v>16</v>
      </c>
      <c r="E190">
        <v>41</v>
      </c>
      <c r="F190" t="s">
        <v>22</v>
      </c>
      <c r="G190" t="s">
        <v>40</v>
      </c>
      <c r="H190">
        <v>80</v>
      </c>
      <c r="I190">
        <v>7751</v>
      </c>
      <c r="J190">
        <v>12.41</v>
      </c>
      <c r="K190">
        <v>69</v>
      </c>
      <c r="L190">
        <v>4</v>
      </c>
      <c r="M190">
        <v>36766</v>
      </c>
    </row>
    <row r="191" spans="1:13">
      <c r="A191" t="s">
        <v>259</v>
      </c>
      <c r="B191" t="s">
        <v>122</v>
      </c>
      <c r="C191" t="s">
        <v>48</v>
      </c>
      <c r="D191" t="s">
        <v>16</v>
      </c>
      <c r="E191">
        <v>40</v>
      </c>
      <c r="F191" t="s">
        <v>34</v>
      </c>
      <c r="G191" t="s">
        <v>18</v>
      </c>
      <c r="H191">
        <v>77</v>
      </c>
      <c r="I191">
        <v>8957</v>
      </c>
      <c r="J191">
        <v>10.8</v>
      </c>
      <c r="K191">
        <v>78</v>
      </c>
      <c r="L191">
        <v>4</v>
      </c>
      <c r="M191">
        <v>38147</v>
      </c>
    </row>
    <row r="192" spans="1:13">
      <c r="A192" t="s">
        <v>260</v>
      </c>
      <c r="B192" t="s">
        <v>44</v>
      </c>
      <c r="C192" t="s">
        <v>45</v>
      </c>
      <c r="D192" t="s">
        <v>27</v>
      </c>
      <c r="E192">
        <v>23</v>
      </c>
      <c r="F192" t="s">
        <v>17</v>
      </c>
      <c r="G192" t="s">
        <v>49</v>
      </c>
      <c r="H192">
        <v>76</v>
      </c>
      <c r="I192">
        <v>7902</v>
      </c>
      <c r="J192">
        <v>16.25</v>
      </c>
      <c r="K192">
        <v>88</v>
      </c>
      <c r="L192">
        <v>4</v>
      </c>
      <c r="M192">
        <v>46466</v>
      </c>
    </row>
    <row r="193" spans="1:13">
      <c r="A193" t="s">
        <v>261</v>
      </c>
      <c r="B193" t="s">
        <v>20</v>
      </c>
      <c r="C193" t="s">
        <v>21</v>
      </c>
      <c r="D193" t="s">
        <v>27</v>
      </c>
      <c r="E193">
        <v>8</v>
      </c>
      <c r="F193" t="s">
        <v>34</v>
      </c>
      <c r="G193" t="s">
        <v>40</v>
      </c>
      <c r="H193">
        <v>79</v>
      </c>
      <c r="I193">
        <v>2745</v>
      </c>
      <c r="J193">
        <v>16.170000000000002</v>
      </c>
      <c r="K193">
        <v>77</v>
      </c>
      <c r="L193">
        <v>4</v>
      </c>
      <c r="M193">
        <v>8938</v>
      </c>
    </row>
    <row r="194" spans="1:13">
      <c r="A194" t="s">
        <v>262</v>
      </c>
      <c r="B194" t="s">
        <v>58</v>
      </c>
      <c r="C194" t="s">
        <v>48</v>
      </c>
      <c r="D194" t="s">
        <v>27</v>
      </c>
      <c r="E194">
        <v>75</v>
      </c>
      <c r="F194" t="s">
        <v>34</v>
      </c>
      <c r="G194" t="s">
        <v>49</v>
      </c>
      <c r="H194">
        <v>74</v>
      </c>
      <c r="I194">
        <v>5743</v>
      </c>
      <c r="J194">
        <v>17.96</v>
      </c>
      <c r="K194">
        <v>99</v>
      </c>
      <c r="L194">
        <v>4</v>
      </c>
      <c r="M194">
        <v>34129</v>
      </c>
    </row>
    <row r="195" spans="1:13">
      <c r="A195" t="s">
        <v>263</v>
      </c>
      <c r="B195" t="s">
        <v>68</v>
      </c>
      <c r="C195" t="s">
        <v>45</v>
      </c>
      <c r="D195" t="s">
        <v>27</v>
      </c>
      <c r="E195">
        <v>33</v>
      </c>
      <c r="F195" t="s">
        <v>34</v>
      </c>
      <c r="G195" t="s">
        <v>40</v>
      </c>
      <c r="H195">
        <v>79</v>
      </c>
      <c r="I195">
        <v>8338</v>
      </c>
      <c r="J195">
        <v>14.17</v>
      </c>
      <c r="K195">
        <v>86</v>
      </c>
      <c r="L195">
        <v>4</v>
      </c>
      <c r="M195">
        <v>22662</v>
      </c>
    </row>
    <row r="196" spans="1:13">
      <c r="A196" t="s">
        <v>264</v>
      </c>
      <c r="B196" t="s">
        <v>42</v>
      </c>
      <c r="C196" t="s">
        <v>39</v>
      </c>
      <c r="D196" t="s">
        <v>16</v>
      </c>
      <c r="E196">
        <v>10</v>
      </c>
      <c r="F196" t="s">
        <v>34</v>
      </c>
      <c r="G196" t="s">
        <v>70</v>
      </c>
      <c r="H196">
        <v>86</v>
      </c>
      <c r="I196">
        <v>3262</v>
      </c>
      <c r="J196">
        <v>12.76</v>
      </c>
      <c r="K196">
        <v>60</v>
      </c>
      <c r="L196">
        <v>4</v>
      </c>
      <c r="M196">
        <v>14172</v>
      </c>
    </row>
    <row r="197" spans="1:13">
      <c r="A197" t="s">
        <v>265</v>
      </c>
      <c r="B197" t="s">
        <v>66</v>
      </c>
      <c r="C197" t="s">
        <v>39</v>
      </c>
      <c r="D197" t="s">
        <v>72</v>
      </c>
      <c r="E197">
        <v>18</v>
      </c>
      <c r="F197" t="s">
        <v>17</v>
      </c>
      <c r="G197" t="s">
        <v>49</v>
      </c>
      <c r="H197">
        <v>80</v>
      </c>
      <c r="I197">
        <v>2922</v>
      </c>
      <c r="J197">
        <v>11.96</v>
      </c>
      <c r="K197">
        <v>55</v>
      </c>
      <c r="L197">
        <v>4</v>
      </c>
      <c r="M197">
        <v>11540</v>
      </c>
    </row>
    <row r="198" spans="1:13">
      <c r="A198" t="s">
        <v>266</v>
      </c>
      <c r="B198" t="s">
        <v>33</v>
      </c>
      <c r="C198" t="s">
        <v>26</v>
      </c>
      <c r="D198" t="s">
        <v>16</v>
      </c>
      <c r="E198">
        <v>55</v>
      </c>
      <c r="F198" t="s">
        <v>34</v>
      </c>
      <c r="G198" t="s">
        <v>23</v>
      </c>
      <c r="H198">
        <v>85</v>
      </c>
      <c r="I198">
        <v>2211</v>
      </c>
      <c r="J198">
        <v>0</v>
      </c>
      <c r="K198">
        <v>60</v>
      </c>
      <c r="L198">
        <v>4</v>
      </c>
      <c r="M198">
        <v>9669</v>
      </c>
    </row>
    <row r="199" spans="1:13">
      <c r="A199" t="s">
        <v>267</v>
      </c>
      <c r="B199" t="s">
        <v>54</v>
      </c>
      <c r="C199" t="s">
        <v>39</v>
      </c>
      <c r="D199" t="s">
        <v>16</v>
      </c>
      <c r="E199">
        <v>15</v>
      </c>
      <c r="F199" t="s">
        <v>34</v>
      </c>
      <c r="G199" t="s">
        <v>70</v>
      </c>
      <c r="H199">
        <v>74</v>
      </c>
      <c r="I199">
        <v>1823</v>
      </c>
      <c r="J199">
        <v>16.239999999999998</v>
      </c>
      <c r="K199">
        <v>59</v>
      </c>
      <c r="L199">
        <v>4</v>
      </c>
      <c r="M199">
        <v>6629</v>
      </c>
    </row>
    <row r="200" spans="1:13">
      <c r="A200" t="s">
        <v>268</v>
      </c>
      <c r="B200" t="s">
        <v>36</v>
      </c>
      <c r="C200" t="s">
        <v>21</v>
      </c>
      <c r="D200" t="s">
        <v>72</v>
      </c>
      <c r="E200">
        <v>41</v>
      </c>
      <c r="F200" t="s">
        <v>17</v>
      </c>
      <c r="G200" t="s">
        <v>49</v>
      </c>
      <c r="H200">
        <v>83</v>
      </c>
      <c r="I200">
        <v>4716</v>
      </c>
      <c r="J200">
        <v>8.5500000000000007</v>
      </c>
      <c r="K200">
        <v>124</v>
      </c>
      <c r="L200">
        <v>4</v>
      </c>
      <c r="M200">
        <v>26514</v>
      </c>
    </row>
    <row r="201" spans="1:13">
      <c r="A201" t="s">
        <v>269</v>
      </c>
      <c r="B201" t="s">
        <v>38</v>
      </c>
      <c r="C201" t="s">
        <v>39</v>
      </c>
      <c r="D201" t="s">
        <v>16</v>
      </c>
      <c r="E201">
        <v>8</v>
      </c>
      <c r="F201" t="s">
        <v>34</v>
      </c>
      <c r="G201" t="s">
        <v>23</v>
      </c>
      <c r="H201">
        <v>87</v>
      </c>
      <c r="I201">
        <v>2040</v>
      </c>
      <c r="J201">
        <v>6.37</v>
      </c>
      <c r="K201">
        <v>37</v>
      </c>
      <c r="L201">
        <v>5</v>
      </c>
      <c r="M201">
        <v>9649</v>
      </c>
    </row>
    <row r="202" spans="1:13">
      <c r="A202" t="s">
        <v>270</v>
      </c>
      <c r="B202" t="s">
        <v>74</v>
      </c>
      <c r="C202" t="s">
        <v>45</v>
      </c>
      <c r="D202" t="s">
        <v>16</v>
      </c>
      <c r="E202">
        <v>59</v>
      </c>
      <c r="F202" t="s">
        <v>34</v>
      </c>
      <c r="G202" t="s">
        <v>31</v>
      </c>
      <c r="H202">
        <v>71</v>
      </c>
      <c r="I202">
        <v>11343</v>
      </c>
      <c r="J202">
        <v>23.25</v>
      </c>
      <c r="K202">
        <v>100</v>
      </c>
      <c r="L202">
        <v>3</v>
      </c>
      <c r="M202">
        <v>34319</v>
      </c>
    </row>
    <row r="203" spans="1:13">
      <c r="A203" t="s">
        <v>271</v>
      </c>
      <c r="B203" t="s">
        <v>20</v>
      </c>
      <c r="C203" t="s">
        <v>21</v>
      </c>
      <c r="D203" t="s">
        <v>27</v>
      </c>
      <c r="E203">
        <v>46</v>
      </c>
      <c r="F203" t="s">
        <v>34</v>
      </c>
      <c r="G203" t="s">
        <v>40</v>
      </c>
      <c r="H203">
        <v>73</v>
      </c>
      <c r="I203">
        <v>6202</v>
      </c>
      <c r="J203">
        <v>15.36</v>
      </c>
      <c r="K203">
        <v>124</v>
      </c>
      <c r="L203">
        <v>3</v>
      </c>
      <c r="M203">
        <v>17069</v>
      </c>
    </row>
    <row r="204" spans="1:13">
      <c r="A204" t="s">
        <v>272</v>
      </c>
      <c r="B204" t="s">
        <v>25</v>
      </c>
      <c r="C204" t="s">
        <v>26</v>
      </c>
      <c r="D204" t="s">
        <v>16</v>
      </c>
      <c r="E204">
        <v>18</v>
      </c>
      <c r="F204" t="s">
        <v>22</v>
      </c>
      <c r="G204" t="s">
        <v>49</v>
      </c>
      <c r="H204">
        <v>85</v>
      </c>
      <c r="I204">
        <v>3100</v>
      </c>
      <c r="J204">
        <v>2.37</v>
      </c>
      <c r="K204">
        <v>25</v>
      </c>
      <c r="L204">
        <v>4</v>
      </c>
      <c r="M204">
        <v>9639</v>
      </c>
    </row>
    <row r="205" spans="1:13">
      <c r="A205" t="s">
        <v>273</v>
      </c>
      <c r="B205" t="s">
        <v>25</v>
      </c>
      <c r="C205" t="s">
        <v>26</v>
      </c>
      <c r="D205" t="s">
        <v>16</v>
      </c>
      <c r="E205">
        <v>50</v>
      </c>
      <c r="F205" t="s">
        <v>34</v>
      </c>
      <c r="G205" t="s">
        <v>49</v>
      </c>
      <c r="H205">
        <v>90</v>
      </c>
      <c r="I205">
        <v>2109</v>
      </c>
      <c r="J205">
        <v>8.52</v>
      </c>
      <c r="K205">
        <v>30</v>
      </c>
      <c r="L205">
        <v>5</v>
      </c>
      <c r="M205">
        <v>8091</v>
      </c>
    </row>
    <row r="206" spans="1:13">
      <c r="A206" t="s">
        <v>274</v>
      </c>
      <c r="B206" t="s">
        <v>29</v>
      </c>
      <c r="C206" t="s">
        <v>30</v>
      </c>
      <c r="D206" t="s">
        <v>27</v>
      </c>
      <c r="E206">
        <v>38</v>
      </c>
      <c r="F206" t="s">
        <v>22</v>
      </c>
      <c r="G206" t="s">
        <v>31</v>
      </c>
      <c r="H206">
        <v>74</v>
      </c>
      <c r="I206">
        <v>4429</v>
      </c>
      <c r="J206">
        <v>20.22</v>
      </c>
      <c r="K206">
        <v>104</v>
      </c>
      <c r="L206">
        <v>5</v>
      </c>
      <c r="M206">
        <v>11722</v>
      </c>
    </row>
    <row r="207" spans="1:13">
      <c r="A207" t="s">
        <v>275</v>
      </c>
      <c r="B207" t="s">
        <v>135</v>
      </c>
      <c r="C207" t="s">
        <v>48</v>
      </c>
      <c r="D207" t="s">
        <v>16</v>
      </c>
      <c r="E207">
        <v>74</v>
      </c>
      <c r="F207" t="s">
        <v>34</v>
      </c>
      <c r="G207" t="s">
        <v>23</v>
      </c>
      <c r="H207">
        <v>70</v>
      </c>
      <c r="I207">
        <v>6894</v>
      </c>
      <c r="J207">
        <v>14.37</v>
      </c>
      <c r="K207">
        <v>110</v>
      </c>
      <c r="L207">
        <v>4</v>
      </c>
      <c r="M207">
        <v>25397</v>
      </c>
    </row>
    <row r="208" spans="1:13">
      <c r="A208" t="s">
        <v>276</v>
      </c>
      <c r="B208" t="s">
        <v>88</v>
      </c>
      <c r="C208" t="s">
        <v>15</v>
      </c>
      <c r="D208" t="s">
        <v>27</v>
      </c>
      <c r="E208">
        <v>24</v>
      </c>
      <c r="F208" t="s">
        <v>34</v>
      </c>
      <c r="G208" t="s">
        <v>23</v>
      </c>
      <c r="H208">
        <v>82</v>
      </c>
      <c r="I208">
        <v>9878</v>
      </c>
      <c r="J208">
        <v>11.59</v>
      </c>
      <c r="K208">
        <v>45</v>
      </c>
      <c r="L208">
        <v>4</v>
      </c>
      <c r="M208">
        <v>55358</v>
      </c>
    </row>
    <row r="209" spans="1:13">
      <c r="A209" t="s">
        <v>277</v>
      </c>
      <c r="B209" t="s">
        <v>64</v>
      </c>
      <c r="C209" t="s">
        <v>30</v>
      </c>
      <c r="D209" t="s">
        <v>16</v>
      </c>
      <c r="E209">
        <v>18</v>
      </c>
      <c r="F209" t="s">
        <v>34</v>
      </c>
      <c r="G209" t="s">
        <v>40</v>
      </c>
      <c r="H209">
        <v>74</v>
      </c>
      <c r="I209">
        <v>3712</v>
      </c>
      <c r="J209">
        <v>19.059999999999999</v>
      </c>
      <c r="K209">
        <v>128</v>
      </c>
      <c r="L209">
        <v>3</v>
      </c>
      <c r="M209">
        <v>15263</v>
      </c>
    </row>
    <row r="210" spans="1:13">
      <c r="A210" t="s">
        <v>278</v>
      </c>
      <c r="B210" t="s">
        <v>54</v>
      </c>
      <c r="C210" t="s">
        <v>39</v>
      </c>
      <c r="D210" t="s">
        <v>27</v>
      </c>
      <c r="E210">
        <v>7</v>
      </c>
      <c r="F210" t="s">
        <v>22</v>
      </c>
      <c r="G210" t="s">
        <v>70</v>
      </c>
      <c r="H210">
        <v>80</v>
      </c>
      <c r="I210">
        <v>3397</v>
      </c>
      <c r="J210">
        <v>12.69</v>
      </c>
      <c r="K210">
        <v>74</v>
      </c>
      <c r="L210">
        <v>3</v>
      </c>
      <c r="M210">
        <v>20199</v>
      </c>
    </row>
    <row r="211" spans="1:13">
      <c r="A211" t="s">
        <v>279</v>
      </c>
      <c r="B211" t="s">
        <v>143</v>
      </c>
      <c r="C211" t="s">
        <v>21</v>
      </c>
      <c r="D211" t="s">
        <v>27</v>
      </c>
      <c r="E211">
        <v>43</v>
      </c>
      <c r="F211" t="s">
        <v>22</v>
      </c>
      <c r="G211" t="s">
        <v>70</v>
      </c>
      <c r="H211">
        <v>75</v>
      </c>
      <c r="I211">
        <v>7556</v>
      </c>
      <c r="J211">
        <v>17.309999999999999</v>
      </c>
      <c r="K211">
        <v>88</v>
      </c>
      <c r="L211">
        <v>3</v>
      </c>
      <c r="M211">
        <v>41123</v>
      </c>
    </row>
    <row r="212" spans="1:13">
      <c r="A212" t="s">
        <v>280</v>
      </c>
      <c r="B212" t="s">
        <v>185</v>
      </c>
      <c r="C212" t="s">
        <v>52</v>
      </c>
      <c r="D212" t="s">
        <v>16</v>
      </c>
      <c r="E212">
        <v>51</v>
      </c>
      <c r="F212" t="s">
        <v>17</v>
      </c>
      <c r="G212" t="s">
        <v>18</v>
      </c>
      <c r="H212">
        <v>71</v>
      </c>
      <c r="I212">
        <v>8385</v>
      </c>
      <c r="J212">
        <v>24.41</v>
      </c>
      <c r="K212">
        <v>114</v>
      </c>
      <c r="L212">
        <v>3</v>
      </c>
      <c r="M212">
        <v>41179</v>
      </c>
    </row>
    <row r="213" spans="1:13">
      <c r="A213" t="s">
        <v>281</v>
      </c>
      <c r="B213" t="s">
        <v>56</v>
      </c>
      <c r="C213" t="s">
        <v>45</v>
      </c>
      <c r="D213" t="s">
        <v>27</v>
      </c>
      <c r="E213">
        <v>51</v>
      </c>
      <c r="F213" t="s">
        <v>22</v>
      </c>
      <c r="G213" t="s">
        <v>23</v>
      </c>
      <c r="H213">
        <v>70</v>
      </c>
      <c r="I213">
        <v>7879</v>
      </c>
      <c r="J213">
        <v>18.91</v>
      </c>
      <c r="K213">
        <v>113</v>
      </c>
      <c r="L213">
        <v>3</v>
      </c>
      <c r="M213">
        <v>26500</v>
      </c>
    </row>
    <row r="214" spans="1:13">
      <c r="A214" t="s">
        <v>282</v>
      </c>
      <c r="B214" t="s">
        <v>56</v>
      </c>
      <c r="C214" t="s">
        <v>45</v>
      </c>
      <c r="D214" t="s">
        <v>16</v>
      </c>
      <c r="E214">
        <v>40</v>
      </c>
      <c r="F214" t="s">
        <v>17</v>
      </c>
      <c r="G214" t="s">
        <v>23</v>
      </c>
      <c r="H214">
        <v>84</v>
      </c>
      <c r="I214">
        <v>7955</v>
      </c>
      <c r="J214">
        <v>19.350000000000001</v>
      </c>
      <c r="K214">
        <v>77</v>
      </c>
      <c r="L214">
        <v>4</v>
      </c>
      <c r="M214">
        <v>37038</v>
      </c>
    </row>
    <row r="215" spans="1:13">
      <c r="A215" t="s">
        <v>283</v>
      </c>
      <c r="B215" t="s">
        <v>56</v>
      </c>
      <c r="C215" t="s">
        <v>45</v>
      </c>
      <c r="D215" t="s">
        <v>72</v>
      </c>
      <c r="E215">
        <v>34</v>
      </c>
      <c r="F215" t="s">
        <v>34</v>
      </c>
      <c r="G215" t="s">
        <v>31</v>
      </c>
      <c r="H215">
        <v>67</v>
      </c>
      <c r="I215">
        <v>9500</v>
      </c>
      <c r="J215">
        <v>22.82</v>
      </c>
      <c r="K215">
        <v>72</v>
      </c>
      <c r="L215">
        <v>3</v>
      </c>
      <c r="M215">
        <v>28700</v>
      </c>
    </row>
    <row r="216" spans="1:13">
      <c r="A216" t="s">
        <v>284</v>
      </c>
      <c r="B216" t="s">
        <v>25</v>
      </c>
      <c r="C216" t="s">
        <v>26</v>
      </c>
      <c r="D216" t="s">
        <v>27</v>
      </c>
      <c r="E216">
        <v>59</v>
      </c>
      <c r="F216" t="s">
        <v>34</v>
      </c>
      <c r="G216" t="s">
        <v>18</v>
      </c>
      <c r="H216">
        <v>90</v>
      </c>
      <c r="I216">
        <v>3363</v>
      </c>
      <c r="J216">
        <v>3.4</v>
      </c>
      <c r="K216">
        <v>37</v>
      </c>
      <c r="L216">
        <v>5</v>
      </c>
      <c r="M216">
        <v>13015</v>
      </c>
    </row>
    <row r="217" spans="1:13">
      <c r="A217" t="s">
        <v>285</v>
      </c>
      <c r="B217" t="s">
        <v>103</v>
      </c>
      <c r="C217" t="s">
        <v>26</v>
      </c>
      <c r="D217" t="s">
        <v>27</v>
      </c>
      <c r="E217">
        <v>78</v>
      </c>
      <c r="F217" t="s">
        <v>34</v>
      </c>
      <c r="G217" t="s">
        <v>49</v>
      </c>
      <c r="H217">
        <v>91</v>
      </c>
      <c r="I217">
        <v>3083</v>
      </c>
      <c r="J217">
        <v>2.71</v>
      </c>
      <c r="K217">
        <v>29</v>
      </c>
      <c r="L217">
        <v>4</v>
      </c>
      <c r="M217">
        <v>12897</v>
      </c>
    </row>
    <row r="218" spans="1:13">
      <c r="A218" t="s">
        <v>286</v>
      </c>
      <c r="B218" t="s">
        <v>42</v>
      </c>
      <c r="C218" t="s">
        <v>39</v>
      </c>
      <c r="D218" t="s">
        <v>27</v>
      </c>
      <c r="E218">
        <v>2</v>
      </c>
      <c r="F218" t="s">
        <v>22</v>
      </c>
      <c r="G218" t="s">
        <v>40</v>
      </c>
      <c r="H218">
        <v>89</v>
      </c>
      <c r="I218">
        <v>3925</v>
      </c>
      <c r="J218">
        <v>16.02</v>
      </c>
      <c r="K218">
        <v>63</v>
      </c>
      <c r="L218">
        <v>5</v>
      </c>
      <c r="M218">
        <v>19105</v>
      </c>
    </row>
    <row r="219" spans="1:13">
      <c r="A219" t="s">
        <v>287</v>
      </c>
      <c r="B219" t="s">
        <v>187</v>
      </c>
      <c r="C219" t="s">
        <v>30</v>
      </c>
      <c r="D219" t="s">
        <v>27</v>
      </c>
      <c r="E219">
        <v>32</v>
      </c>
      <c r="F219" t="s">
        <v>22</v>
      </c>
      <c r="G219" t="s">
        <v>31</v>
      </c>
      <c r="H219">
        <v>73</v>
      </c>
      <c r="I219">
        <v>3495</v>
      </c>
      <c r="J219">
        <v>23.25</v>
      </c>
      <c r="K219">
        <v>126</v>
      </c>
      <c r="L219">
        <v>3</v>
      </c>
      <c r="M219">
        <v>17394</v>
      </c>
    </row>
    <row r="220" spans="1:13">
      <c r="A220" t="s">
        <v>288</v>
      </c>
      <c r="B220" t="s">
        <v>29</v>
      </c>
      <c r="C220" t="s">
        <v>30</v>
      </c>
      <c r="D220" t="s">
        <v>16</v>
      </c>
      <c r="E220">
        <v>46</v>
      </c>
      <c r="F220" t="s">
        <v>34</v>
      </c>
      <c r="G220" t="s">
        <v>18</v>
      </c>
      <c r="H220">
        <v>65</v>
      </c>
      <c r="I220">
        <v>2700</v>
      </c>
      <c r="J220">
        <v>17.23</v>
      </c>
      <c r="K220">
        <v>139</v>
      </c>
      <c r="L220">
        <v>3</v>
      </c>
      <c r="M220">
        <v>7587</v>
      </c>
    </row>
    <row r="221" spans="1:13">
      <c r="A221" t="s">
        <v>289</v>
      </c>
      <c r="B221" t="s">
        <v>66</v>
      </c>
      <c r="C221" t="s">
        <v>39</v>
      </c>
      <c r="D221" t="s">
        <v>16</v>
      </c>
      <c r="E221">
        <v>3</v>
      </c>
      <c r="F221" t="s">
        <v>22</v>
      </c>
      <c r="G221" t="s">
        <v>40</v>
      </c>
      <c r="H221">
        <v>95</v>
      </c>
      <c r="I221">
        <v>3113</v>
      </c>
      <c r="J221">
        <v>10.31</v>
      </c>
      <c r="K221">
        <v>32</v>
      </c>
      <c r="L221">
        <v>4</v>
      </c>
      <c r="M221">
        <v>16342</v>
      </c>
    </row>
    <row r="222" spans="1:13">
      <c r="A222" t="s">
        <v>290</v>
      </c>
      <c r="B222" t="s">
        <v>20</v>
      </c>
      <c r="C222" t="s">
        <v>21</v>
      </c>
      <c r="D222" t="s">
        <v>16</v>
      </c>
      <c r="E222">
        <v>40</v>
      </c>
      <c r="F222" t="s">
        <v>22</v>
      </c>
      <c r="G222" t="s">
        <v>23</v>
      </c>
      <c r="H222">
        <v>86</v>
      </c>
      <c r="I222">
        <v>6016</v>
      </c>
      <c r="J222">
        <v>19.350000000000001</v>
      </c>
      <c r="K222">
        <v>70</v>
      </c>
      <c r="L222">
        <v>5</v>
      </c>
      <c r="M222">
        <v>18924</v>
      </c>
    </row>
    <row r="223" spans="1:13">
      <c r="A223" t="s">
        <v>291</v>
      </c>
      <c r="B223" t="s">
        <v>122</v>
      </c>
      <c r="C223" t="s">
        <v>48</v>
      </c>
      <c r="D223" t="s">
        <v>27</v>
      </c>
      <c r="E223">
        <v>16</v>
      </c>
      <c r="F223" t="s">
        <v>34</v>
      </c>
      <c r="G223" t="s">
        <v>31</v>
      </c>
      <c r="H223">
        <v>72</v>
      </c>
      <c r="I223">
        <v>5366</v>
      </c>
      <c r="J223">
        <v>15.09</v>
      </c>
      <c r="K223">
        <v>51</v>
      </c>
      <c r="L223">
        <v>4</v>
      </c>
      <c r="M223">
        <v>31081</v>
      </c>
    </row>
    <row r="224" spans="1:13">
      <c r="A224" t="s">
        <v>292</v>
      </c>
      <c r="B224" t="s">
        <v>20</v>
      </c>
      <c r="C224" t="s">
        <v>21</v>
      </c>
      <c r="D224" t="s">
        <v>16</v>
      </c>
      <c r="E224">
        <v>35</v>
      </c>
      <c r="F224" t="s">
        <v>34</v>
      </c>
      <c r="G224" t="s">
        <v>31</v>
      </c>
      <c r="H224">
        <v>75</v>
      </c>
      <c r="I224">
        <v>7167</v>
      </c>
      <c r="J224">
        <v>12.87</v>
      </c>
      <c r="K224">
        <v>58</v>
      </c>
      <c r="L224">
        <v>3</v>
      </c>
      <c r="M224">
        <v>21265</v>
      </c>
    </row>
    <row r="225" spans="1:13">
      <c r="A225" t="s">
        <v>293</v>
      </c>
      <c r="B225" t="s">
        <v>33</v>
      </c>
      <c r="C225" t="s">
        <v>26</v>
      </c>
      <c r="D225" t="s">
        <v>27</v>
      </c>
      <c r="E225">
        <v>49</v>
      </c>
      <c r="F225" t="s">
        <v>22</v>
      </c>
      <c r="G225" t="s">
        <v>40</v>
      </c>
      <c r="H225">
        <v>93</v>
      </c>
      <c r="I225">
        <v>1064</v>
      </c>
      <c r="J225">
        <v>4.3600000000000003</v>
      </c>
      <c r="K225">
        <v>37</v>
      </c>
      <c r="L225">
        <v>5</v>
      </c>
      <c r="M225">
        <v>3251</v>
      </c>
    </row>
    <row r="226" spans="1:13">
      <c r="A226" t="s">
        <v>294</v>
      </c>
      <c r="B226" t="s">
        <v>135</v>
      </c>
      <c r="C226" t="s">
        <v>48</v>
      </c>
      <c r="D226" t="s">
        <v>27</v>
      </c>
      <c r="E226">
        <v>25</v>
      </c>
      <c r="F226" t="s">
        <v>34</v>
      </c>
      <c r="G226" t="s">
        <v>40</v>
      </c>
      <c r="H226">
        <v>76</v>
      </c>
      <c r="I226">
        <v>6919</v>
      </c>
      <c r="J226">
        <v>16.91</v>
      </c>
      <c r="K226">
        <v>81</v>
      </c>
      <c r="L226">
        <v>4</v>
      </c>
      <c r="M226">
        <v>23635</v>
      </c>
    </row>
    <row r="227" spans="1:13">
      <c r="A227" t="s">
        <v>295</v>
      </c>
      <c r="B227" t="s">
        <v>38</v>
      </c>
      <c r="C227" t="s">
        <v>39</v>
      </c>
      <c r="D227" t="s">
        <v>27</v>
      </c>
      <c r="E227">
        <v>7</v>
      </c>
      <c r="F227" t="s">
        <v>17</v>
      </c>
      <c r="G227" t="s">
        <v>18</v>
      </c>
      <c r="H227">
        <v>84</v>
      </c>
      <c r="I227">
        <v>2495</v>
      </c>
      <c r="J227">
        <v>4.3099999999999996</v>
      </c>
      <c r="K227">
        <v>55</v>
      </c>
      <c r="L227">
        <v>5</v>
      </c>
      <c r="M227">
        <v>13020</v>
      </c>
    </row>
    <row r="228" spans="1:13">
      <c r="A228" t="s">
        <v>296</v>
      </c>
      <c r="B228" t="s">
        <v>185</v>
      </c>
      <c r="C228" t="s">
        <v>52</v>
      </c>
      <c r="D228" t="s">
        <v>72</v>
      </c>
      <c r="E228">
        <v>44</v>
      </c>
      <c r="F228" t="s">
        <v>22</v>
      </c>
      <c r="G228" t="s">
        <v>40</v>
      </c>
      <c r="H228">
        <v>82</v>
      </c>
      <c r="I228">
        <v>4121</v>
      </c>
      <c r="J228">
        <v>17.54</v>
      </c>
      <c r="K228">
        <v>65</v>
      </c>
      <c r="L228">
        <v>4</v>
      </c>
      <c r="M228">
        <v>10617</v>
      </c>
    </row>
    <row r="229" spans="1:13">
      <c r="A229" t="s">
        <v>297</v>
      </c>
      <c r="B229" t="s">
        <v>88</v>
      </c>
      <c r="C229" t="s">
        <v>15</v>
      </c>
      <c r="D229" t="s">
        <v>27</v>
      </c>
      <c r="E229">
        <v>49</v>
      </c>
      <c r="F229" t="s">
        <v>22</v>
      </c>
      <c r="G229" t="s">
        <v>23</v>
      </c>
      <c r="H229">
        <v>76</v>
      </c>
      <c r="I229">
        <v>7983</v>
      </c>
      <c r="J229">
        <v>16.39</v>
      </c>
      <c r="K229">
        <v>86</v>
      </c>
      <c r="L229">
        <v>4</v>
      </c>
      <c r="M229">
        <v>27226</v>
      </c>
    </row>
    <row r="230" spans="1:13">
      <c r="A230" t="s">
        <v>298</v>
      </c>
      <c r="B230" t="s">
        <v>56</v>
      </c>
      <c r="C230" t="s">
        <v>45</v>
      </c>
      <c r="D230" t="s">
        <v>16</v>
      </c>
      <c r="E230">
        <v>60</v>
      </c>
      <c r="F230" t="s">
        <v>22</v>
      </c>
      <c r="G230" t="s">
        <v>40</v>
      </c>
      <c r="H230">
        <v>83</v>
      </c>
      <c r="I230">
        <v>9528</v>
      </c>
      <c r="J230">
        <v>11.57</v>
      </c>
      <c r="K230">
        <v>69</v>
      </c>
      <c r="L230">
        <v>4</v>
      </c>
      <c r="M230">
        <v>44113</v>
      </c>
    </row>
    <row r="231" spans="1:13">
      <c r="A231" t="s">
        <v>299</v>
      </c>
      <c r="B231" t="s">
        <v>25</v>
      </c>
      <c r="C231" t="s">
        <v>26</v>
      </c>
      <c r="D231" t="s">
        <v>27</v>
      </c>
      <c r="E231">
        <v>28</v>
      </c>
      <c r="F231" t="s">
        <v>17</v>
      </c>
      <c r="G231" t="s">
        <v>70</v>
      </c>
      <c r="H231">
        <v>92</v>
      </c>
      <c r="I231">
        <v>2286</v>
      </c>
      <c r="J231">
        <v>2.83</v>
      </c>
      <c r="K231">
        <v>38</v>
      </c>
      <c r="L231">
        <v>4</v>
      </c>
      <c r="M231">
        <v>10205</v>
      </c>
    </row>
    <row r="232" spans="1:13">
      <c r="A232" t="s">
        <v>300</v>
      </c>
      <c r="B232" t="s">
        <v>29</v>
      </c>
      <c r="C232" t="s">
        <v>30</v>
      </c>
      <c r="D232" t="s">
        <v>16</v>
      </c>
      <c r="E232">
        <v>24</v>
      </c>
      <c r="F232" t="s">
        <v>22</v>
      </c>
      <c r="G232" t="s">
        <v>40</v>
      </c>
      <c r="H232">
        <v>72</v>
      </c>
      <c r="I232">
        <v>3800</v>
      </c>
      <c r="J232">
        <v>20.77</v>
      </c>
      <c r="K232">
        <v>111</v>
      </c>
      <c r="L232">
        <v>3</v>
      </c>
      <c r="M232">
        <v>16729</v>
      </c>
    </row>
    <row r="233" spans="1:13">
      <c r="A233" t="s">
        <v>301</v>
      </c>
      <c r="B233" t="s">
        <v>51</v>
      </c>
      <c r="C233" t="s">
        <v>52</v>
      </c>
      <c r="D233" t="s">
        <v>16</v>
      </c>
      <c r="E233">
        <v>43</v>
      </c>
      <c r="F233" t="s">
        <v>34</v>
      </c>
      <c r="G233" t="s">
        <v>31</v>
      </c>
      <c r="H233">
        <v>78</v>
      </c>
      <c r="I233">
        <v>5973</v>
      </c>
      <c r="J233">
        <v>13.77</v>
      </c>
      <c r="K233">
        <v>63</v>
      </c>
      <c r="L233">
        <v>5</v>
      </c>
      <c r="M233">
        <v>23540</v>
      </c>
    </row>
    <row r="234" spans="1:13">
      <c r="A234" t="s">
        <v>302</v>
      </c>
      <c r="B234" t="s">
        <v>122</v>
      </c>
      <c r="C234" t="s">
        <v>48</v>
      </c>
      <c r="D234" t="s">
        <v>27</v>
      </c>
      <c r="E234">
        <v>57</v>
      </c>
      <c r="F234" t="s">
        <v>17</v>
      </c>
      <c r="G234" t="s">
        <v>23</v>
      </c>
      <c r="H234">
        <v>75</v>
      </c>
      <c r="I234">
        <v>6024</v>
      </c>
      <c r="J234">
        <v>9.09</v>
      </c>
      <c r="K234">
        <v>116</v>
      </c>
      <c r="L234">
        <v>4</v>
      </c>
      <c r="M234">
        <v>16155</v>
      </c>
    </row>
    <row r="235" spans="1:13">
      <c r="A235" t="s">
        <v>303</v>
      </c>
      <c r="B235" t="s">
        <v>122</v>
      </c>
      <c r="C235" t="s">
        <v>48</v>
      </c>
      <c r="D235" t="s">
        <v>27</v>
      </c>
      <c r="E235">
        <v>32</v>
      </c>
      <c r="F235" t="s">
        <v>17</v>
      </c>
      <c r="G235" t="s">
        <v>49</v>
      </c>
      <c r="H235">
        <v>85</v>
      </c>
      <c r="I235">
        <v>5149</v>
      </c>
      <c r="J235">
        <v>9.9600000000000009</v>
      </c>
      <c r="K235">
        <v>87</v>
      </c>
      <c r="L235">
        <v>4</v>
      </c>
      <c r="M235">
        <v>22232</v>
      </c>
    </row>
    <row r="236" spans="1:13">
      <c r="A236" t="s">
        <v>304</v>
      </c>
      <c r="B236" t="s">
        <v>36</v>
      </c>
      <c r="C236" t="s">
        <v>21</v>
      </c>
      <c r="D236" t="s">
        <v>27</v>
      </c>
      <c r="E236">
        <v>51</v>
      </c>
      <c r="F236" t="s">
        <v>22</v>
      </c>
      <c r="G236" t="s">
        <v>31</v>
      </c>
      <c r="H236">
        <v>85</v>
      </c>
      <c r="I236">
        <v>6120</v>
      </c>
      <c r="J236">
        <v>8.75</v>
      </c>
      <c r="K236">
        <v>84</v>
      </c>
      <c r="L236">
        <v>4</v>
      </c>
      <c r="M236">
        <v>26838</v>
      </c>
    </row>
    <row r="237" spans="1:13">
      <c r="A237" t="s">
        <v>305</v>
      </c>
      <c r="B237" t="s">
        <v>137</v>
      </c>
      <c r="C237" t="s">
        <v>26</v>
      </c>
      <c r="D237" t="s">
        <v>16</v>
      </c>
      <c r="E237">
        <v>25</v>
      </c>
      <c r="F237" t="s">
        <v>17</v>
      </c>
      <c r="G237" t="s">
        <v>70</v>
      </c>
      <c r="H237">
        <v>93</v>
      </c>
      <c r="I237">
        <v>3019</v>
      </c>
      <c r="J237">
        <v>7.02</v>
      </c>
      <c r="K237">
        <v>44</v>
      </c>
      <c r="L237">
        <v>4</v>
      </c>
      <c r="M237">
        <v>17738</v>
      </c>
    </row>
    <row r="238" spans="1:13">
      <c r="A238" t="s">
        <v>306</v>
      </c>
      <c r="B238" t="s">
        <v>88</v>
      </c>
      <c r="C238" t="s">
        <v>15</v>
      </c>
      <c r="D238" t="s">
        <v>16</v>
      </c>
      <c r="E238">
        <v>47</v>
      </c>
      <c r="F238" t="s">
        <v>34</v>
      </c>
      <c r="G238" t="s">
        <v>23</v>
      </c>
      <c r="H238">
        <v>91</v>
      </c>
      <c r="I238">
        <v>8286</v>
      </c>
      <c r="J238">
        <v>13.33</v>
      </c>
      <c r="K238">
        <v>56</v>
      </c>
      <c r="L238">
        <v>5</v>
      </c>
      <c r="M238">
        <v>43855</v>
      </c>
    </row>
    <row r="239" spans="1:13">
      <c r="A239" t="s">
        <v>307</v>
      </c>
      <c r="B239" t="s">
        <v>66</v>
      </c>
      <c r="C239" t="s">
        <v>39</v>
      </c>
      <c r="D239" t="s">
        <v>27</v>
      </c>
      <c r="E239">
        <v>9</v>
      </c>
      <c r="F239" t="s">
        <v>17</v>
      </c>
      <c r="G239" t="s">
        <v>40</v>
      </c>
      <c r="H239">
        <v>89</v>
      </c>
      <c r="I239">
        <v>2268</v>
      </c>
      <c r="J239">
        <v>8.4700000000000006</v>
      </c>
      <c r="K239">
        <v>56</v>
      </c>
      <c r="L239">
        <v>5</v>
      </c>
      <c r="M239">
        <v>8184</v>
      </c>
    </row>
    <row r="240" spans="1:13">
      <c r="A240" t="s">
        <v>308</v>
      </c>
      <c r="B240" t="s">
        <v>80</v>
      </c>
      <c r="C240" t="s">
        <v>15</v>
      </c>
      <c r="D240" t="s">
        <v>16</v>
      </c>
      <c r="E240">
        <v>38</v>
      </c>
      <c r="F240" t="s">
        <v>22</v>
      </c>
      <c r="G240" t="s">
        <v>40</v>
      </c>
      <c r="H240">
        <v>87</v>
      </c>
      <c r="I240">
        <v>5662</v>
      </c>
      <c r="J240">
        <v>17.690000000000001</v>
      </c>
      <c r="K240">
        <v>76</v>
      </c>
      <c r="L240">
        <v>4</v>
      </c>
      <c r="M240">
        <v>15809</v>
      </c>
    </row>
    <row r="241" spans="1:13">
      <c r="A241" t="s">
        <v>309</v>
      </c>
      <c r="B241" t="s">
        <v>187</v>
      </c>
      <c r="C241" t="s">
        <v>30</v>
      </c>
      <c r="D241" t="s">
        <v>27</v>
      </c>
      <c r="E241">
        <v>48</v>
      </c>
      <c r="F241" t="s">
        <v>17</v>
      </c>
      <c r="G241" t="s">
        <v>70</v>
      </c>
      <c r="H241">
        <v>73</v>
      </c>
      <c r="I241">
        <v>3864</v>
      </c>
      <c r="J241">
        <v>18.02</v>
      </c>
      <c r="K241">
        <v>114</v>
      </c>
      <c r="L241">
        <v>4</v>
      </c>
      <c r="M241">
        <v>18692</v>
      </c>
    </row>
    <row r="242" spans="1:13">
      <c r="A242" t="s">
        <v>310</v>
      </c>
      <c r="B242" t="s">
        <v>54</v>
      </c>
      <c r="C242" t="s">
        <v>15</v>
      </c>
      <c r="D242" t="s">
        <v>16</v>
      </c>
      <c r="E242">
        <v>23</v>
      </c>
      <c r="F242" t="s">
        <v>22</v>
      </c>
      <c r="G242" t="s">
        <v>23</v>
      </c>
      <c r="H242">
        <v>79</v>
      </c>
      <c r="I242">
        <v>6737</v>
      </c>
      <c r="J242">
        <v>19.940000000000001</v>
      </c>
      <c r="K242">
        <v>93</v>
      </c>
      <c r="L242">
        <v>5</v>
      </c>
      <c r="M242">
        <v>33804</v>
      </c>
    </row>
    <row r="243" spans="1:13">
      <c r="A243" t="s">
        <v>311</v>
      </c>
      <c r="B243" t="s">
        <v>64</v>
      </c>
      <c r="C243" t="s">
        <v>30</v>
      </c>
      <c r="D243" t="s">
        <v>27</v>
      </c>
      <c r="E243">
        <v>28</v>
      </c>
      <c r="F243" t="s">
        <v>17</v>
      </c>
      <c r="G243" t="s">
        <v>49</v>
      </c>
      <c r="H243">
        <v>79</v>
      </c>
      <c r="I243">
        <v>3689</v>
      </c>
      <c r="J243">
        <v>19.22</v>
      </c>
      <c r="K243">
        <v>121</v>
      </c>
      <c r="L243">
        <v>4</v>
      </c>
      <c r="M243">
        <v>13281</v>
      </c>
    </row>
    <row r="244" spans="1:13">
      <c r="A244" t="s">
        <v>312</v>
      </c>
      <c r="B244" t="s">
        <v>51</v>
      </c>
      <c r="C244" t="s">
        <v>52</v>
      </c>
      <c r="D244" t="s">
        <v>16</v>
      </c>
      <c r="E244">
        <v>71</v>
      </c>
      <c r="F244" t="s">
        <v>22</v>
      </c>
      <c r="G244" t="s">
        <v>18</v>
      </c>
      <c r="H244">
        <v>86</v>
      </c>
      <c r="I244">
        <v>4605</v>
      </c>
      <c r="J244">
        <v>11.57</v>
      </c>
      <c r="K244">
        <v>77</v>
      </c>
      <c r="L244">
        <v>4</v>
      </c>
      <c r="M244">
        <v>16915</v>
      </c>
    </row>
    <row r="245" spans="1:13">
      <c r="A245" t="s">
        <v>313</v>
      </c>
      <c r="B245" t="s">
        <v>60</v>
      </c>
      <c r="C245" t="s">
        <v>52</v>
      </c>
      <c r="D245" t="s">
        <v>27</v>
      </c>
      <c r="E245">
        <v>55</v>
      </c>
      <c r="F245" t="s">
        <v>17</v>
      </c>
      <c r="G245" t="s">
        <v>49</v>
      </c>
      <c r="H245">
        <v>78</v>
      </c>
      <c r="I245">
        <v>7095</v>
      </c>
      <c r="J245">
        <v>12.36</v>
      </c>
      <c r="K245">
        <v>63</v>
      </c>
      <c r="L245">
        <v>3</v>
      </c>
      <c r="M245">
        <v>36332</v>
      </c>
    </row>
    <row r="246" spans="1:13">
      <c r="A246" t="s">
        <v>314</v>
      </c>
      <c r="B246" t="s">
        <v>64</v>
      </c>
      <c r="C246" t="s">
        <v>30</v>
      </c>
      <c r="D246" t="s">
        <v>16</v>
      </c>
      <c r="E246">
        <v>69</v>
      </c>
      <c r="F246" t="s">
        <v>17</v>
      </c>
      <c r="G246" t="s">
        <v>18</v>
      </c>
      <c r="H246">
        <v>71</v>
      </c>
      <c r="I246">
        <v>4198</v>
      </c>
      <c r="J246">
        <v>16.27</v>
      </c>
      <c r="K246">
        <v>140</v>
      </c>
      <c r="L246">
        <v>4</v>
      </c>
      <c r="M246">
        <v>19812</v>
      </c>
    </row>
    <row r="247" spans="1:13">
      <c r="A247" t="s">
        <v>315</v>
      </c>
      <c r="B247" t="s">
        <v>135</v>
      </c>
      <c r="C247" t="s">
        <v>48</v>
      </c>
      <c r="D247" t="s">
        <v>27</v>
      </c>
      <c r="E247">
        <v>52</v>
      </c>
      <c r="F247" t="s">
        <v>17</v>
      </c>
      <c r="G247" t="s">
        <v>18</v>
      </c>
      <c r="H247">
        <v>82</v>
      </c>
      <c r="I247">
        <v>7433</v>
      </c>
      <c r="J247">
        <v>7.51</v>
      </c>
      <c r="K247">
        <v>59</v>
      </c>
      <c r="L247">
        <v>4</v>
      </c>
      <c r="M247">
        <v>40358</v>
      </c>
    </row>
    <row r="248" spans="1:13">
      <c r="A248" t="s">
        <v>316</v>
      </c>
      <c r="B248" t="s">
        <v>64</v>
      </c>
      <c r="C248" t="s">
        <v>30</v>
      </c>
      <c r="D248" t="s">
        <v>16</v>
      </c>
      <c r="E248">
        <v>62</v>
      </c>
      <c r="F248" t="s">
        <v>17</v>
      </c>
      <c r="G248" t="s">
        <v>49</v>
      </c>
      <c r="H248">
        <v>67</v>
      </c>
      <c r="I248">
        <v>3588</v>
      </c>
      <c r="J248">
        <v>25.76</v>
      </c>
      <c r="K248">
        <v>83</v>
      </c>
      <c r="L248">
        <v>3</v>
      </c>
      <c r="M248">
        <v>9386</v>
      </c>
    </row>
    <row r="249" spans="1:13">
      <c r="A249" t="s">
        <v>317</v>
      </c>
      <c r="B249" t="s">
        <v>38</v>
      </c>
      <c r="C249" t="s">
        <v>39</v>
      </c>
      <c r="D249" t="s">
        <v>27</v>
      </c>
      <c r="E249">
        <v>12</v>
      </c>
      <c r="F249" t="s">
        <v>17</v>
      </c>
      <c r="G249" t="s">
        <v>18</v>
      </c>
      <c r="H249">
        <v>79</v>
      </c>
      <c r="I249">
        <v>3434</v>
      </c>
      <c r="J249">
        <v>10.67</v>
      </c>
      <c r="K249">
        <v>33</v>
      </c>
      <c r="L249">
        <v>4</v>
      </c>
      <c r="M249">
        <v>19488</v>
      </c>
    </row>
    <row r="250" spans="1:13">
      <c r="A250" t="s">
        <v>318</v>
      </c>
      <c r="B250" t="s">
        <v>137</v>
      </c>
      <c r="C250" t="s">
        <v>26</v>
      </c>
      <c r="D250" t="s">
        <v>27</v>
      </c>
      <c r="E250">
        <v>58</v>
      </c>
      <c r="F250" t="s">
        <v>17</v>
      </c>
      <c r="G250" t="s">
        <v>70</v>
      </c>
      <c r="H250">
        <v>90</v>
      </c>
      <c r="I250">
        <v>2433</v>
      </c>
      <c r="J250">
        <v>1.1000000000000001</v>
      </c>
      <c r="K250">
        <v>82</v>
      </c>
      <c r="L250">
        <v>4</v>
      </c>
      <c r="M250">
        <v>10737</v>
      </c>
    </row>
    <row r="251" spans="1:13">
      <c r="A251" t="s">
        <v>319</v>
      </c>
      <c r="B251" t="s">
        <v>56</v>
      </c>
      <c r="C251" t="s">
        <v>45</v>
      </c>
      <c r="D251" t="s">
        <v>16</v>
      </c>
      <c r="E251">
        <v>50</v>
      </c>
      <c r="F251" t="s">
        <v>17</v>
      </c>
      <c r="G251" t="s">
        <v>70</v>
      </c>
      <c r="H251">
        <v>76</v>
      </c>
      <c r="I251">
        <v>8662</v>
      </c>
      <c r="J251">
        <v>13.23</v>
      </c>
      <c r="K251">
        <v>93</v>
      </c>
      <c r="L251">
        <v>4</v>
      </c>
      <c r="M251">
        <v>47677</v>
      </c>
    </row>
    <row r="252" spans="1:13">
      <c r="A252" t="s">
        <v>320</v>
      </c>
      <c r="B252" t="s">
        <v>95</v>
      </c>
      <c r="C252" t="s">
        <v>52</v>
      </c>
      <c r="D252" t="s">
        <v>27</v>
      </c>
      <c r="E252">
        <v>55</v>
      </c>
      <c r="F252" t="s">
        <v>22</v>
      </c>
      <c r="G252" t="s">
        <v>49</v>
      </c>
      <c r="H252">
        <v>73</v>
      </c>
      <c r="I252">
        <v>9182</v>
      </c>
      <c r="J252">
        <v>16.46</v>
      </c>
      <c r="K252">
        <v>74</v>
      </c>
      <c r="L252">
        <v>4</v>
      </c>
      <c r="M252">
        <v>49609</v>
      </c>
    </row>
    <row r="253" spans="1:13">
      <c r="A253" t="s">
        <v>321</v>
      </c>
      <c r="B253" t="s">
        <v>122</v>
      </c>
      <c r="C253" t="s">
        <v>48</v>
      </c>
      <c r="D253" t="s">
        <v>16</v>
      </c>
      <c r="E253">
        <v>58</v>
      </c>
      <c r="F253" t="s">
        <v>17</v>
      </c>
      <c r="G253" t="s">
        <v>23</v>
      </c>
      <c r="H253">
        <v>77</v>
      </c>
      <c r="I253">
        <v>6407</v>
      </c>
      <c r="J253">
        <v>9.42</v>
      </c>
      <c r="K253">
        <v>67</v>
      </c>
      <c r="L253">
        <v>4</v>
      </c>
      <c r="M253">
        <v>21441</v>
      </c>
    </row>
    <row r="254" spans="1:13">
      <c r="A254" t="s">
        <v>322</v>
      </c>
      <c r="B254" t="s">
        <v>168</v>
      </c>
      <c r="C254" t="s">
        <v>45</v>
      </c>
      <c r="D254" t="s">
        <v>27</v>
      </c>
      <c r="E254">
        <v>44</v>
      </c>
      <c r="F254" t="s">
        <v>17</v>
      </c>
      <c r="G254" t="s">
        <v>70</v>
      </c>
      <c r="H254">
        <v>73</v>
      </c>
      <c r="I254">
        <v>10439</v>
      </c>
      <c r="J254">
        <v>10.53</v>
      </c>
      <c r="K254">
        <v>88</v>
      </c>
      <c r="L254">
        <v>3</v>
      </c>
      <c r="M254">
        <v>53251</v>
      </c>
    </row>
    <row r="255" spans="1:13">
      <c r="A255" t="s">
        <v>323</v>
      </c>
      <c r="B255" t="s">
        <v>74</v>
      </c>
      <c r="C255" t="s">
        <v>45</v>
      </c>
      <c r="D255" t="s">
        <v>16</v>
      </c>
      <c r="E255">
        <v>53</v>
      </c>
      <c r="F255" t="s">
        <v>34</v>
      </c>
      <c r="G255" t="s">
        <v>49</v>
      </c>
      <c r="H255">
        <v>76</v>
      </c>
      <c r="I255">
        <v>10624</v>
      </c>
      <c r="J255">
        <v>17.86</v>
      </c>
      <c r="K255">
        <v>112</v>
      </c>
      <c r="L255">
        <v>4</v>
      </c>
      <c r="M255">
        <v>27849</v>
      </c>
    </row>
    <row r="256" spans="1:13">
      <c r="A256" t="s">
        <v>324</v>
      </c>
      <c r="B256" t="s">
        <v>20</v>
      </c>
      <c r="C256" t="s">
        <v>21</v>
      </c>
      <c r="D256" t="s">
        <v>27</v>
      </c>
      <c r="E256">
        <v>46</v>
      </c>
      <c r="F256" t="s">
        <v>22</v>
      </c>
      <c r="G256" t="s">
        <v>31</v>
      </c>
      <c r="H256">
        <v>78</v>
      </c>
      <c r="I256">
        <v>5294</v>
      </c>
      <c r="J256">
        <v>15.95</v>
      </c>
      <c r="K256">
        <v>113</v>
      </c>
      <c r="L256">
        <v>4</v>
      </c>
      <c r="M256">
        <v>29521</v>
      </c>
    </row>
    <row r="257" spans="1:13">
      <c r="A257" t="s">
        <v>325</v>
      </c>
      <c r="B257" t="s">
        <v>54</v>
      </c>
      <c r="C257" t="s">
        <v>39</v>
      </c>
      <c r="D257" t="s">
        <v>72</v>
      </c>
      <c r="E257">
        <v>18</v>
      </c>
      <c r="F257" t="s">
        <v>22</v>
      </c>
      <c r="G257" t="s">
        <v>40</v>
      </c>
      <c r="H257">
        <v>86</v>
      </c>
      <c r="I257">
        <v>1913</v>
      </c>
      <c r="J257">
        <v>5.25</v>
      </c>
      <c r="K257">
        <v>113</v>
      </c>
      <c r="L257">
        <v>4</v>
      </c>
      <c r="M257">
        <v>8812</v>
      </c>
    </row>
    <row r="258" spans="1:13">
      <c r="A258" t="s">
        <v>326</v>
      </c>
      <c r="B258" t="s">
        <v>44</v>
      </c>
      <c r="C258" t="s">
        <v>45</v>
      </c>
      <c r="D258" t="s">
        <v>16</v>
      </c>
      <c r="E258">
        <v>42</v>
      </c>
      <c r="F258" t="s">
        <v>17</v>
      </c>
      <c r="G258" t="s">
        <v>31</v>
      </c>
      <c r="H258">
        <v>78</v>
      </c>
      <c r="I258">
        <v>11902</v>
      </c>
      <c r="J258">
        <v>22.26</v>
      </c>
      <c r="K258">
        <v>114</v>
      </c>
      <c r="L258">
        <v>4</v>
      </c>
      <c r="M258">
        <v>39645</v>
      </c>
    </row>
    <row r="259" spans="1:13">
      <c r="A259" t="s">
        <v>327</v>
      </c>
      <c r="B259" t="s">
        <v>78</v>
      </c>
      <c r="C259" t="s">
        <v>15</v>
      </c>
      <c r="D259" t="s">
        <v>16</v>
      </c>
      <c r="E259">
        <v>25</v>
      </c>
      <c r="F259" t="s">
        <v>17</v>
      </c>
      <c r="G259" t="s">
        <v>70</v>
      </c>
      <c r="H259">
        <v>83</v>
      </c>
      <c r="I259">
        <v>6640</v>
      </c>
      <c r="J259">
        <v>6.39</v>
      </c>
      <c r="K259">
        <v>85</v>
      </c>
      <c r="L259">
        <v>4</v>
      </c>
      <c r="M259">
        <v>30559</v>
      </c>
    </row>
    <row r="260" spans="1:13">
      <c r="A260" t="s">
        <v>328</v>
      </c>
      <c r="B260" t="s">
        <v>68</v>
      </c>
      <c r="C260" t="s">
        <v>45</v>
      </c>
      <c r="D260" t="s">
        <v>27</v>
      </c>
      <c r="E260">
        <v>45</v>
      </c>
      <c r="F260" t="s">
        <v>34</v>
      </c>
      <c r="G260" t="s">
        <v>70</v>
      </c>
      <c r="H260">
        <v>66</v>
      </c>
      <c r="I260">
        <v>7879</v>
      </c>
      <c r="J260">
        <v>17.78</v>
      </c>
      <c r="K260">
        <v>128</v>
      </c>
      <c r="L260">
        <v>3</v>
      </c>
      <c r="M260">
        <v>32727</v>
      </c>
    </row>
    <row r="261" spans="1:13">
      <c r="A261" t="s">
        <v>329</v>
      </c>
      <c r="B261" t="s">
        <v>25</v>
      </c>
      <c r="C261" t="s">
        <v>26</v>
      </c>
      <c r="D261" t="s">
        <v>27</v>
      </c>
      <c r="E261">
        <v>40</v>
      </c>
      <c r="F261" t="s">
        <v>34</v>
      </c>
      <c r="G261" t="s">
        <v>31</v>
      </c>
      <c r="H261">
        <v>90</v>
      </c>
      <c r="I261">
        <v>2726</v>
      </c>
      <c r="J261">
        <v>0.04</v>
      </c>
      <c r="K261">
        <v>5</v>
      </c>
      <c r="L261">
        <v>4</v>
      </c>
      <c r="M261">
        <v>11743</v>
      </c>
    </row>
    <row r="262" spans="1:13">
      <c r="A262" t="s">
        <v>330</v>
      </c>
      <c r="B262" t="s">
        <v>150</v>
      </c>
      <c r="C262" t="s">
        <v>48</v>
      </c>
      <c r="D262" t="s">
        <v>16</v>
      </c>
      <c r="E262">
        <v>38</v>
      </c>
      <c r="F262" t="s">
        <v>22</v>
      </c>
      <c r="G262" t="s">
        <v>70</v>
      </c>
      <c r="H262">
        <v>70</v>
      </c>
      <c r="I262">
        <v>6383</v>
      </c>
      <c r="J262">
        <v>17.36</v>
      </c>
      <c r="K262">
        <v>59</v>
      </c>
      <c r="L262">
        <v>4</v>
      </c>
      <c r="M262">
        <v>36773</v>
      </c>
    </row>
    <row r="263" spans="1:13">
      <c r="A263" t="s">
        <v>331</v>
      </c>
      <c r="B263" t="s">
        <v>14</v>
      </c>
      <c r="C263" t="s">
        <v>15</v>
      </c>
      <c r="D263" t="s">
        <v>16</v>
      </c>
      <c r="E263">
        <v>29</v>
      </c>
      <c r="F263" t="s">
        <v>17</v>
      </c>
      <c r="G263" t="s">
        <v>70</v>
      </c>
      <c r="H263">
        <v>77</v>
      </c>
      <c r="I263">
        <v>5759</v>
      </c>
      <c r="J263">
        <v>17.07</v>
      </c>
      <c r="K263">
        <v>81</v>
      </c>
      <c r="L263">
        <v>3</v>
      </c>
      <c r="M263">
        <v>32018</v>
      </c>
    </row>
    <row r="264" spans="1:13">
      <c r="A264" t="s">
        <v>332</v>
      </c>
      <c r="B264" t="s">
        <v>80</v>
      </c>
      <c r="C264" t="s">
        <v>15</v>
      </c>
      <c r="D264" t="s">
        <v>16</v>
      </c>
      <c r="E264">
        <v>83</v>
      </c>
      <c r="F264" t="s">
        <v>22</v>
      </c>
      <c r="G264" t="s">
        <v>23</v>
      </c>
      <c r="H264">
        <v>71</v>
      </c>
      <c r="I264">
        <v>6008</v>
      </c>
      <c r="J264">
        <v>9.9499999999999993</v>
      </c>
      <c r="K264">
        <v>83</v>
      </c>
      <c r="L264">
        <v>3</v>
      </c>
      <c r="M264">
        <v>34105</v>
      </c>
    </row>
    <row r="265" spans="1:13">
      <c r="A265" t="s">
        <v>333</v>
      </c>
      <c r="B265" t="s">
        <v>38</v>
      </c>
      <c r="C265" t="s">
        <v>39</v>
      </c>
      <c r="D265" t="s">
        <v>27</v>
      </c>
      <c r="E265">
        <v>13</v>
      </c>
      <c r="F265" t="s">
        <v>22</v>
      </c>
      <c r="G265" t="s">
        <v>70</v>
      </c>
      <c r="H265">
        <v>82</v>
      </c>
      <c r="I265">
        <v>3552</v>
      </c>
      <c r="J265">
        <v>5.83</v>
      </c>
      <c r="K265">
        <v>90</v>
      </c>
      <c r="L265">
        <v>4</v>
      </c>
      <c r="M265">
        <v>17415</v>
      </c>
    </row>
    <row r="266" spans="1:13">
      <c r="A266" t="s">
        <v>334</v>
      </c>
      <c r="B266" t="s">
        <v>64</v>
      </c>
      <c r="C266" t="s">
        <v>30</v>
      </c>
      <c r="D266" t="s">
        <v>16</v>
      </c>
      <c r="E266">
        <v>39</v>
      </c>
      <c r="F266" t="s">
        <v>34</v>
      </c>
      <c r="G266" t="s">
        <v>23</v>
      </c>
      <c r="H266">
        <v>75</v>
      </c>
      <c r="I266">
        <v>1993</v>
      </c>
      <c r="J266">
        <v>15.12</v>
      </c>
      <c r="K266">
        <v>92</v>
      </c>
      <c r="L266">
        <v>3</v>
      </c>
      <c r="M266">
        <v>10222</v>
      </c>
    </row>
    <row r="267" spans="1:13">
      <c r="A267" t="s">
        <v>335</v>
      </c>
      <c r="B267" t="s">
        <v>60</v>
      </c>
      <c r="C267" t="s">
        <v>52</v>
      </c>
      <c r="D267" t="s">
        <v>16</v>
      </c>
      <c r="E267">
        <v>55</v>
      </c>
      <c r="F267" t="s">
        <v>17</v>
      </c>
      <c r="G267" t="s">
        <v>23</v>
      </c>
      <c r="H267">
        <v>82</v>
      </c>
      <c r="I267">
        <v>9962</v>
      </c>
      <c r="J267">
        <v>18.63</v>
      </c>
      <c r="K267">
        <v>76</v>
      </c>
      <c r="L267">
        <v>3</v>
      </c>
      <c r="M267">
        <v>25258</v>
      </c>
    </row>
    <row r="268" spans="1:13">
      <c r="A268" t="s">
        <v>336</v>
      </c>
      <c r="B268" t="s">
        <v>42</v>
      </c>
      <c r="C268" t="s">
        <v>39</v>
      </c>
      <c r="D268" t="s">
        <v>27</v>
      </c>
      <c r="E268">
        <v>15</v>
      </c>
      <c r="F268" t="s">
        <v>34</v>
      </c>
      <c r="G268" t="s">
        <v>49</v>
      </c>
      <c r="H268">
        <v>79</v>
      </c>
      <c r="I268">
        <v>3571</v>
      </c>
      <c r="J268">
        <v>9.15</v>
      </c>
      <c r="K268">
        <v>64</v>
      </c>
      <c r="L268">
        <v>4</v>
      </c>
      <c r="M268">
        <v>20206</v>
      </c>
    </row>
    <row r="269" spans="1:13">
      <c r="A269" t="s">
        <v>337</v>
      </c>
      <c r="B269" t="s">
        <v>185</v>
      </c>
      <c r="C269" t="s">
        <v>52</v>
      </c>
      <c r="D269" t="s">
        <v>16</v>
      </c>
      <c r="E269">
        <v>46</v>
      </c>
      <c r="F269" t="s">
        <v>22</v>
      </c>
      <c r="G269" t="s">
        <v>49</v>
      </c>
      <c r="H269">
        <v>95</v>
      </c>
      <c r="I269">
        <v>5284</v>
      </c>
      <c r="J269">
        <v>11.42</v>
      </c>
      <c r="K269">
        <v>65</v>
      </c>
      <c r="L269">
        <v>5</v>
      </c>
      <c r="M269">
        <v>14018</v>
      </c>
    </row>
    <row r="270" spans="1:13">
      <c r="A270" t="s">
        <v>338</v>
      </c>
      <c r="B270" t="s">
        <v>29</v>
      </c>
      <c r="C270" t="s">
        <v>30</v>
      </c>
      <c r="D270" t="s">
        <v>16</v>
      </c>
      <c r="E270">
        <v>48</v>
      </c>
      <c r="F270" t="s">
        <v>22</v>
      </c>
      <c r="G270" t="s">
        <v>40</v>
      </c>
      <c r="H270">
        <v>81</v>
      </c>
      <c r="I270">
        <v>4385</v>
      </c>
      <c r="J270">
        <v>14.54</v>
      </c>
      <c r="K270">
        <v>89</v>
      </c>
      <c r="L270">
        <v>4</v>
      </c>
      <c r="M270">
        <v>21590</v>
      </c>
    </row>
    <row r="271" spans="1:13">
      <c r="A271" t="s">
        <v>339</v>
      </c>
      <c r="B271" t="s">
        <v>97</v>
      </c>
      <c r="C271" t="s">
        <v>30</v>
      </c>
      <c r="D271" t="s">
        <v>27</v>
      </c>
      <c r="E271">
        <v>81</v>
      </c>
      <c r="F271" t="s">
        <v>34</v>
      </c>
      <c r="G271" t="s">
        <v>40</v>
      </c>
      <c r="H271">
        <v>75</v>
      </c>
      <c r="I271">
        <v>2839</v>
      </c>
      <c r="J271">
        <v>13.62</v>
      </c>
      <c r="K271">
        <v>95</v>
      </c>
      <c r="L271">
        <v>4</v>
      </c>
      <c r="M271">
        <v>15030</v>
      </c>
    </row>
    <row r="272" spans="1:13">
      <c r="A272" t="s">
        <v>340</v>
      </c>
      <c r="B272" t="s">
        <v>38</v>
      </c>
      <c r="C272" t="s">
        <v>39</v>
      </c>
      <c r="D272" t="s">
        <v>27</v>
      </c>
      <c r="E272">
        <v>17</v>
      </c>
      <c r="F272" t="s">
        <v>17</v>
      </c>
      <c r="G272" t="s">
        <v>49</v>
      </c>
      <c r="H272">
        <v>85</v>
      </c>
      <c r="I272">
        <v>2919</v>
      </c>
      <c r="J272">
        <v>11.24</v>
      </c>
      <c r="K272">
        <v>65</v>
      </c>
      <c r="L272">
        <v>4</v>
      </c>
      <c r="M272">
        <v>11089</v>
      </c>
    </row>
    <row r="273" spans="1:13">
      <c r="A273" t="s">
        <v>341</v>
      </c>
      <c r="B273" t="s">
        <v>25</v>
      </c>
      <c r="C273" t="s">
        <v>26</v>
      </c>
      <c r="D273" t="s">
        <v>27</v>
      </c>
      <c r="E273">
        <v>76</v>
      </c>
      <c r="F273" t="s">
        <v>22</v>
      </c>
      <c r="G273" t="s">
        <v>23</v>
      </c>
      <c r="H273">
        <v>81</v>
      </c>
      <c r="I273">
        <v>2006</v>
      </c>
      <c r="J273">
        <v>10.93</v>
      </c>
      <c r="K273">
        <v>60</v>
      </c>
      <c r="L273">
        <v>4</v>
      </c>
      <c r="M273">
        <v>6016</v>
      </c>
    </row>
    <row r="274" spans="1:13">
      <c r="A274" t="s">
        <v>342</v>
      </c>
      <c r="B274" t="s">
        <v>78</v>
      </c>
      <c r="C274" t="s">
        <v>15</v>
      </c>
      <c r="D274" t="s">
        <v>27</v>
      </c>
      <c r="E274">
        <v>38</v>
      </c>
      <c r="F274" t="s">
        <v>34</v>
      </c>
      <c r="G274" t="s">
        <v>70</v>
      </c>
      <c r="H274">
        <v>69</v>
      </c>
      <c r="I274">
        <v>8834</v>
      </c>
      <c r="J274">
        <v>21.58</v>
      </c>
      <c r="K274">
        <v>100</v>
      </c>
      <c r="L274">
        <v>3</v>
      </c>
      <c r="M274">
        <v>34750</v>
      </c>
    </row>
    <row r="275" spans="1:13">
      <c r="A275" t="s">
        <v>343</v>
      </c>
      <c r="B275" t="s">
        <v>66</v>
      </c>
      <c r="C275" t="s">
        <v>39</v>
      </c>
      <c r="D275" t="s">
        <v>27</v>
      </c>
      <c r="E275">
        <v>4</v>
      </c>
      <c r="F275" t="s">
        <v>22</v>
      </c>
      <c r="G275" t="s">
        <v>40</v>
      </c>
      <c r="H275">
        <v>93</v>
      </c>
      <c r="I275">
        <v>2022</v>
      </c>
      <c r="J275">
        <v>13.09</v>
      </c>
      <c r="K275">
        <v>36</v>
      </c>
      <c r="L275">
        <v>4</v>
      </c>
      <c r="M275">
        <v>6049</v>
      </c>
    </row>
    <row r="276" spans="1:13">
      <c r="A276" t="s">
        <v>344</v>
      </c>
      <c r="B276" t="s">
        <v>14</v>
      </c>
      <c r="C276" t="s">
        <v>15</v>
      </c>
      <c r="D276" t="s">
        <v>27</v>
      </c>
      <c r="E276">
        <v>35</v>
      </c>
      <c r="F276" t="s">
        <v>22</v>
      </c>
      <c r="G276" t="s">
        <v>23</v>
      </c>
      <c r="H276">
        <v>74</v>
      </c>
      <c r="I276">
        <v>7764</v>
      </c>
      <c r="J276">
        <v>16.03</v>
      </c>
      <c r="K276">
        <v>84</v>
      </c>
      <c r="L276">
        <v>4</v>
      </c>
      <c r="M276">
        <v>20251</v>
      </c>
    </row>
    <row r="277" spans="1:13">
      <c r="A277" t="s">
        <v>345</v>
      </c>
      <c r="B277" t="s">
        <v>80</v>
      </c>
      <c r="C277" t="s">
        <v>15</v>
      </c>
      <c r="D277" t="s">
        <v>27</v>
      </c>
      <c r="E277">
        <v>23</v>
      </c>
      <c r="F277" t="s">
        <v>34</v>
      </c>
      <c r="G277" t="s">
        <v>70</v>
      </c>
      <c r="H277">
        <v>78</v>
      </c>
      <c r="I277">
        <v>4474</v>
      </c>
      <c r="J277">
        <v>14.58</v>
      </c>
      <c r="K277">
        <v>77</v>
      </c>
      <c r="L277">
        <v>4</v>
      </c>
      <c r="M277">
        <v>25096</v>
      </c>
    </row>
    <row r="278" spans="1:13">
      <c r="A278" t="s">
        <v>346</v>
      </c>
      <c r="B278" t="s">
        <v>168</v>
      </c>
      <c r="C278" t="s">
        <v>45</v>
      </c>
      <c r="D278" t="s">
        <v>27</v>
      </c>
      <c r="E278">
        <v>68</v>
      </c>
      <c r="F278" t="s">
        <v>22</v>
      </c>
      <c r="G278" t="s">
        <v>23</v>
      </c>
      <c r="H278">
        <v>65</v>
      </c>
      <c r="I278">
        <v>8806</v>
      </c>
      <c r="J278">
        <v>18.79</v>
      </c>
      <c r="K278">
        <v>102</v>
      </c>
      <c r="L278">
        <v>3</v>
      </c>
      <c r="M278">
        <v>38701</v>
      </c>
    </row>
    <row r="279" spans="1:13">
      <c r="A279" t="s">
        <v>347</v>
      </c>
      <c r="B279" t="s">
        <v>54</v>
      </c>
      <c r="C279" t="s">
        <v>39</v>
      </c>
      <c r="D279" t="s">
        <v>27</v>
      </c>
      <c r="E279">
        <v>3</v>
      </c>
      <c r="F279" t="s">
        <v>22</v>
      </c>
      <c r="G279" t="s">
        <v>31</v>
      </c>
      <c r="H279">
        <v>85</v>
      </c>
      <c r="I279">
        <v>3943</v>
      </c>
      <c r="J279">
        <v>9</v>
      </c>
      <c r="K279">
        <v>36</v>
      </c>
      <c r="L279">
        <v>5</v>
      </c>
      <c r="M279">
        <v>14029</v>
      </c>
    </row>
    <row r="280" spans="1:13">
      <c r="A280" t="s">
        <v>348</v>
      </c>
      <c r="B280" t="s">
        <v>44</v>
      </c>
      <c r="C280" t="s">
        <v>45</v>
      </c>
      <c r="D280" t="s">
        <v>16</v>
      </c>
      <c r="E280">
        <v>29</v>
      </c>
      <c r="F280" t="s">
        <v>17</v>
      </c>
      <c r="G280" t="s">
        <v>18</v>
      </c>
      <c r="H280">
        <v>67</v>
      </c>
      <c r="I280">
        <v>8697</v>
      </c>
      <c r="J280">
        <v>15.11</v>
      </c>
      <c r="K280">
        <v>82</v>
      </c>
      <c r="L280">
        <v>4</v>
      </c>
      <c r="M280">
        <v>39411</v>
      </c>
    </row>
    <row r="281" spans="1:13">
      <c r="A281" t="s">
        <v>349</v>
      </c>
      <c r="B281" t="s">
        <v>137</v>
      </c>
      <c r="C281" t="s">
        <v>26</v>
      </c>
      <c r="D281" t="s">
        <v>27</v>
      </c>
      <c r="E281">
        <v>41</v>
      </c>
      <c r="F281" t="s">
        <v>17</v>
      </c>
      <c r="G281" t="s">
        <v>40</v>
      </c>
      <c r="H281">
        <v>87</v>
      </c>
      <c r="I281">
        <v>2397</v>
      </c>
      <c r="J281">
        <v>14.34</v>
      </c>
      <c r="K281">
        <v>22</v>
      </c>
      <c r="L281">
        <v>5</v>
      </c>
      <c r="M281">
        <v>10769</v>
      </c>
    </row>
    <row r="282" spans="1:13">
      <c r="A282" t="s">
        <v>350</v>
      </c>
      <c r="B282" t="s">
        <v>60</v>
      </c>
      <c r="C282" t="s">
        <v>52</v>
      </c>
      <c r="D282" t="s">
        <v>16</v>
      </c>
      <c r="E282">
        <v>20</v>
      </c>
      <c r="F282" t="s">
        <v>34</v>
      </c>
      <c r="G282" t="s">
        <v>40</v>
      </c>
      <c r="H282">
        <v>90</v>
      </c>
      <c r="I282">
        <v>7255</v>
      </c>
      <c r="J282">
        <v>13.58</v>
      </c>
      <c r="K282">
        <v>89</v>
      </c>
      <c r="L282">
        <v>4</v>
      </c>
      <c r="M282">
        <v>23920</v>
      </c>
    </row>
    <row r="283" spans="1:13">
      <c r="A283" t="s">
        <v>351</v>
      </c>
      <c r="B283" t="s">
        <v>14</v>
      </c>
      <c r="C283" t="s">
        <v>15</v>
      </c>
      <c r="D283" t="s">
        <v>16</v>
      </c>
      <c r="E283">
        <v>50</v>
      </c>
      <c r="F283" t="s">
        <v>34</v>
      </c>
      <c r="G283" t="s">
        <v>18</v>
      </c>
      <c r="H283">
        <v>68</v>
      </c>
      <c r="I283">
        <v>6493</v>
      </c>
      <c r="J283">
        <v>17.12</v>
      </c>
      <c r="K283">
        <v>120</v>
      </c>
      <c r="L283">
        <v>4</v>
      </c>
      <c r="M283">
        <v>36164</v>
      </c>
    </row>
    <row r="284" spans="1:13">
      <c r="A284" t="s">
        <v>352</v>
      </c>
      <c r="B284" t="s">
        <v>36</v>
      </c>
      <c r="C284" t="s">
        <v>21</v>
      </c>
      <c r="D284" t="s">
        <v>16</v>
      </c>
      <c r="E284">
        <v>52</v>
      </c>
      <c r="F284" t="s">
        <v>17</v>
      </c>
      <c r="G284" t="s">
        <v>49</v>
      </c>
      <c r="H284">
        <v>68</v>
      </c>
      <c r="I284">
        <v>7963</v>
      </c>
      <c r="J284">
        <v>14.79</v>
      </c>
      <c r="K284">
        <v>89</v>
      </c>
      <c r="L284">
        <v>4</v>
      </c>
      <c r="M284">
        <v>27872</v>
      </c>
    </row>
    <row r="285" spans="1:13">
      <c r="A285" t="s">
        <v>353</v>
      </c>
      <c r="B285" t="s">
        <v>38</v>
      </c>
      <c r="C285" t="s">
        <v>39</v>
      </c>
      <c r="D285" t="s">
        <v>27</v>
      </c>
      <c r="E285">
        <v>18</v>
      </c>
      <c r="F285" t="s">
        <v>22</v>
      </c>
      <c r="G285" t="s">
        <v>23</v>
      </c>
      <c r="H285">
        <v>99</v>
      </c>
      <c r="I285">
        <v>3144</v>
      </c>
      <c r="J285">
        <v>0</v>
      </c>
      <c r="K285">
        <v>45</v>
      </c>
      <c r="L285">
        <v>5</v>
      </c>
      <c r="M285">
        <v>17384</v>
      </c>
    </row>
    <row r="286" spans="1:13">
      <c r="A286" t="s">
        <v>354</v>
      </c>
      <c r="B286" t="s">
        <v>25</v>
      </c>
      <c r="C286" t="s">
        <v>26</v>
      </c>
      <c r="D286" t="s">
        <v>27</v>
      </c>
      <c r="E286">
        <v>43</v>
      </c>
      <c r="F286" t="s">
        <v>17</v>
      </c>
      <c r="G286" t="s">
        <v>40</v>
      </c>
      <c r="H286">
        <v>88</v>
      </c>
      <c r="I286">
        <v>2760</v>
      </c>
      <c r="J286">
        <v>7.58</v>
      </c>
      <c r="K286">
        <v>50</v>
      </c>
      <c r="L286">
        <v>4</v>
      </c>
      <c r="M286">
        <v>8836</v>
      </c>
    </row>
    <row r="287" spans="1:13">
      <c r="A287" t="s">
        <v>355</v>
      </c>
      <c r="B287" t="s">
        <v>137</v>
      </c>
      <c r="C287" t="s">
        <v>26</v>
      </c>
      <c r="D287" t="s">
        <v>27</v>
      </c>
      <c r="E287">
        <v>68</v>
      </c>
      <c r="F287" t="s">
        <v>22</v>
      </c>
      <c r="G287" t="s">
        <v>70</v>
      </c>
      <c r="H287">
        <v>97</v>
      </c>
      <c r="I287">
        <v>2432</v>
      </c>
      <c r="J287">
        <v>9.01</v>
      </c>
      <c r="K287">
        <v>40</v>
      </c>
      <c r="L287">
        <v>5</v>
      </c>
      <c r="M287">
        <v>13965</v>
      </c>
    </row>
    <row r="288" spans="1:13">
      <c r="A288" t="s">
        <v>356</v>
      </c>
      <c r="B288" t="s">
        <v>58</v>
      </c>
      <c r="C288" t="s">
        <v>48</v>
      </c>
      <c r="D288" t="s">
        <v>27</v>
      </c>
      <c r="E288">
        <v>44</v>
      </c>
      <c r="F288" t="s">
        <v>34</v>
      </c>
      <c r="G288" t="s">
        <v>18</v>
      </c>
      <c r="H288">
        <v>75</v>
      </c>
      <c r="I288">
        <v>7348</v>
      </c>
      <c r="J288">
        <v>15.79</v>
      </c>
      <c r="K288">
        <v>67</v>
      </c>
      <c r="L288">
        <v>4</v>
      </c>
      <c r="M288">
        <v>26069</v>
      </c>
    </row>
    <row r="289" spans="1:13">
      <c r="A289" t="s">
        <v>357</v>
      </c>
      <c r="B289" t="s">
        <v>56</v>
      </c>
      <c r="C289" t="s">
        <v>45</v>
      </c>
      <c r="D289" t="s">
        <v>27</v>
      </c>
      <c r="E289">
        <v>67</v>
      </c>
      <c r="F289" t="s">
        <v>17</v>
      </c>
      <c r="G289" t="s">
        <v>18</v>
      </c>
      <c r="H289">
        <v>75</v>
      </c>
      <c r="I289">
        <v>7390</v>
      </c>
      <c r="J289">
        <v>14.26</v>
      </c>
      <c r="K289">
        <v>84</v>
      </c>
      <c r="L289">
        <v>4</v>
      </c>
      <c r="M289">
        <v>18845</v>
      </c>
    </row>
    <row r="290" spans="1:13">
      <c r="A290" t="s">
        <v>358</v>
      </c>
      <c r="B290" t="s">
        <v>137</v>
      </c>
      <c r="C290" t="s">
        <v>26</v>
      </c>
      <c r="D290" t="s">
        <v>27</v>
      </c>
      <c r="E290">
        <v>59</v>
      </c>
      <c r="F290" t="s">
        <v>17</v>
      </c>
      <c r="G290" t="s">
        <v>70</v>
      </c>
      <c r="H290">
        <v>89</v>
      </c>
      <c r="I290">
        <v>2179</v>
      </c>
      <c r="J290">
        <v>6.73</v>
      </c>
      <c r="K290">
        <v>55</v>
      </c>
      <c r="L290">
        <v>5</v>
      </c>
      <c r="M290">
        <v>10469</v>
      </c>
    </row>
    <row r="291" spans="1:13">
      <c r="A291" t="s">
        <v>359</v>
      </c>
      <c r="B291" t="s">
        <v>150</v>
      </c>
      <c r="C291" t="s">
        <v>48</v>
      </c>
      <c r="D291" t="s">
        <v>27</v>
      </c>
      <c r="E291">
        <v>56</v>
      </c>
      <c r="F291" t="s">
        <v>17</v>
      </c>
      <c r="G291" t="s">
        <v>23</v>
      </c>
      <c r="H291">
        <v>74</v>
      </c>
      <c r="I291">
        <v>5079</v>
      </c>
      <c r="J291">
        <v>12.85</v>
      </c>
      <c r="K291">
        <v>83</v>
      </c>
      <c r="L291">
        <v>4</v>
      </c>
      <c r="M291">
        <v>19942</v>
      </c>
    </row>
    <row r="292" spans="1:13">
      <c r="A292" t="s">
        <v>360</v>
      </c>
      <c r="B292" t="s">
        <v>78</v>
      </c>
      <c r="C292" t="s">
        <v>15</v>
      </c>
      <c r="D292" t="s">
        <v>16</v>
      </c>
      <c r="E292">
        <v>31</v>
      </c>
      <c r="F292" t="s">
        <v>34</v>
      </c>
      <c r="G292" t="s">
        <v>40</v>
      </c>
      <c r="H292">
        <v>68</v>
      </c>
      <c r="I292">
        <v>5890</v>
      </c>
      <c r="J292">
        <v>14.77</v>
      </c>
      <c r="K292">
        <v>82</v>
      </c>
      <c r="L292">
        <v>3</v>
      </c>
      <c r="M292">
        <v>16309</v>
      </c>
    </row>
    <row r="293" spans="1:13">
      <c r="A293" t="s">
        <v>361</v>
      </c>
      <c r="B293" t="s">
        <v>143</v>
      </c>
      <c r="C293" t="s">
        <v>21</v>
      </c>
      <c r="D293" t="s">
        <v>27</v>
      </c>
      <c r="E293">
        <v>74</v>
      </c>
      <c r="F293" t="s">
        <v>34</v>
      </c>
      <c r="G293" t="s">
        <v>18</v>
      </c>
      <c r="H293">
        <v>75</v>
      </c>
      <c r="I293">
        <v>6267</v>
      </c>
      <c r="J293">
        <v>15.33</v>
      </c>
      <c r="K293">
        <v>90</v>
      </c>
      <c r="L293">
        <v>3</v>
      </c>
      <c r="M293">
        <v>22144</v>
      </c>
    </row>
    <row r="294" spans="1:13">
      <c r="A294" t="s">
        <v>362</v>
      </c>
      <c r="B294" t="s">
        <v>84</v>
      </c>
      <c r="C294" t="s">
        <v>21</v>
      </c>
      <c r="D294" t="s">
        <v>27</v>
      </c>
      <c r="E294">
        <v>29</v>
      </c>
      <c r="F294" t="s">
        <v>22</v>
      </c>
      <c r="G294" t="s">
        <v>23</v>
      </c>
      <c r="H294">
        <v>78</v>
      </c>
      <c r="I294">
        <v>7578</v>
      </c>
      <c r="J294">
        <v>14.22</v>
      </c>
      <c r="K294">
        <v>71</v>
      </c>
      <c r="L294">
        <v>3</v>
      </c>
      <c r="M294">
        <v>24939</v>
      </c>
    </row>
    <row r="295" spans="1:13">
      <c r="A295" t="s">
        <v>363</v>
      </c>
      <c r="B295" t="s">
        <v>36</v>
      </c>
      <c r="C295" t="s">
        <v>21</v>
      </c>
      <c r="D295" t="s">
        <v>27</v>
      </c>
      <c r="E295">
        <v>46</v>
      </c>
      <c r="F295" t="s">
        <v>22</v>
      </c>
      <c r="G295" t="s">
        <v>49</v>
      </c>
      <c r="H295">
        <v>70</v>
      </c>
      <c r="I295">
        <v>4351</v>
      </c>
      <c r="J295">
        <v>19.809999999999999</v>
      </c>
      <c r="K295">
        <v>90</v>
      </c>
      <c r="L295">
        <v>4</v>
      </c>
      <c r="M295">
        <v>24410</v>
      </c>
    </row>
    <row r="296" spans="1:13">
      <c r="A296" t="s">
        <v>364</v>
      </c>
      <c r="B296" t="s">
        <v>44</v>
      </c>
      <c r="C296" t="s">
        <v>45</v>
      </c>
      <c r="D296" t="s">
        <v>16</v>
      </c>
      <c r="E296">
        <v>1</v>
      </c>
      <c r="F296" t="s">
        <v>22</v>
      </c>
      <c r="G296" t="s">
        <v>40</v>
      </c>
      <c r="H296">
        <v>73</v>
      </c>
      <c r="I296">
        <v>12240</v>
      </c>
      <c r="J296">
        <v>21.96</v>
      </c>
      <c r="K296">
        <v>98</v>
      </c>
      <c r="L296">
        <v>3</v>
      </c>
      <c r="M296">
        <v>40964</v>
      </c>
    </row>
    <row r="297" spans="1:13">
      <c r="A297" t="s">
        <v>365</v>
      </c>
      <c r="B297" t="s">
        <v>66</v>
      </c>
      <c r="C297" t="s">
        <v>39</v>
      </c>
      <c r="D297" t="s">
        <v>27</v>
      </c>
      <c r="E297">
        <v>11</v>
      </c>
      <c r="F297" t="s">
        <v>34</v>
      </c>
      <c r="G297" t="s">
        <v>70</v>
      </c>
      <c r="H297">
        <v>74</v>
      </c>
      <c r="I297">
        <v>3141</v>
      </c>
      <c r="J297">
        <v>13.48</v>
      </c>
      <c r="K297">
        <v>71</v>
      </c>
      <c r="L297">
        <v>4</v>
      </c>
      <c r="M297">
        <v>16376</v>
      </c>
    </row>
    <row r="298" spans="1:13">
      <c r="A298" t="s">
        <v>366</v>
      </c>
      <c r="B298" t="s">
        <v>150</v>
      </c>
      <c r="C298" t="s">
        <v>48</v>
      </c>
      <c r="D298" t="s">
        <v>16</v>
      </c>
      <c r="E298">
        <v>44</v>
      </c>
      <c r="F298" t="s">
        <v>34</v>
      </c>
      <c r="G298" t="s">
        <v>49</v>
      </c>
      <c r="H298">
        <v>82</v>
      </c>
      <c r="I298">
        <v>5166</v>
      </c>
      <c r="J298">
        <v>10.36</v>
      </c>
      <c r="K298">
        <v>39</v>
      </c>
      <c r="L298">
        <v>4</v>
      </c>
      <c r="M298">
        <v>26451</v>
      </c>
    </row>
    <row r="299" spans="1:13">
      <c r="A299" t="s">
        <v>367</v>
      </c>
      <c r="B299" t="s">
        <v>80</v>
      </c>
      <c r="C299" t="s">
        <v>15</v>
      </c>
      <c r="D299" t="s">
        <v>27</v>
      </c>
      <c r="E299">
        <v>32</v>
      </c>
      <c r="F299" t="s">
        <v>17</v>
      </c>
      <c r="G299" t="s">
        <v>23</v>
      </c>
      <c r="H299">
        <v>74</v>
      </c>
      <c r="I299">
        <v>8337</v>
      </c>
      <c r="J299">
        <v>11.87</v>
      </c>
      <c r="K299">
        <v>85</v>
      </c>
      <c r="L299">
        <v>4</v>
      </c>
      <c r="M299">
        <v>23815</v>
      </c>
    </row>
    <row r="300" spans="1:13">
      <c r="A300" t="s">
        <v>368</v>
      </c>
      <c r="B300" t="s">
        <v>25</v>
      </c>
      <c r="C300" t="s">
        <v>39</v>
      </c>
      <c r="D300" t="s">
        <v>27</v>
      </c>
      <c r="E300">
        <v>18</v>
      </c>
      <c r="F300" t="s">
        <v>17</v>
      </c>
      <c r="G300" t="s">
        <v>49</v>
      </c>
      <c r="H300">
        <v>85</v>
      </c>
      <c r="I300">
        <v>2714</v>
      </c>
      <c r="J300">
        <v>11.5</v>
      </c>
      <c r="K300">
        <v>43</v>
      </c>
      <c r="L300">
        <v>4</v>
      </c>
      <c r="M300">
        <v>10905</v>
      </c>
    </row>
    <row r="301" spans="1:13">
      <c r="A301" t="s">
        <v>369</v>
      </c>
      <c r="B301" t="s">
        <v>103</v>
      </c>
      <c r="C301" t="s">
        <v>26</v>
      </c>
      <c r="D301" t="s">
        <v>16</v>
      </c>
      <c r="E301">
        <v>40</v>
      </c>
      <c r="F301" t="s">
        <v>22</v>
      </c>
      <c r="G301" t="s">
        <v>23</v>
      </c>
      <c r="H301">
        <v>89</v>
      </c>
      <c r="I301">
        <v>2467</v>
      </c>
      <c r="J301">
        <v>12.93</v>
      </c>
      <c r="K301">
        <v>60</v>
      </c>
      <c r="L301">
        <v>4</v>
      </c>
      <c r="M301">
        <v>12244</v>
      </c>
    </row>
    <row r="302" spans="1:13">
      <c r="A302" t="s">
        <v>370</v>
      </c>
      <c r="B302" t="s">
        <v>44</v>
      </c>
      <c r="C302" t="s">
        <v>45</v>
      </c>
      <c r="D302" t="s">
        <v>16</v>
      </c>
      <c r="E302">
        <v>64</v>
      </c>
      <c r="F302" t="s">
        <v>34</v>
      </c>
      <c r="G302" t="s">
        <v>49</v>
      </c>
      <c r="H302">
        <v>68</v>
      </c>
      <c r="I302">
        <v>9159</v>
      </c>
      <c r="J302">
        <v>17.79</v>
      </c>
      <c r="K302">
        <v>119</v>
      </c>
      <c r="L302">
        <v>3</v>
      </c>
      <c r="M302">
        <v>47960</v>
      </c>
    </row>
    <row r="303" spans="1:13">
      <c r="A303" t="s">
        <v>371</v>
      </c>
      <c r="B303" t="s">
        <v>44</v>
      </c>
      <c r="C303" t="s">
        <v>45</v>
      </c>
      <c r="D303" t="s">
        <v>27</v>
      </c>
      <c r="E303">
        <v>36</v>
      </c>
      <c r="F303" t="s">
        <v>17</v>
      </c>
      <c r="G303" t="s">
        <v>70</v>
      </c>
      <c r="H303">
        <v>60</v>
      </c>
      <c r="I303">
        <v>9734</v>
      </c>
      <c r="J303">
        <v>16.5</v>
      </c>
      <c r="K303">
        <v>97</v>
      </c>
      <c r="L303">
        <v>3</v>
      </c>
      <c r="M303">
        <v>39928</v>
      </c>
    </row>
    <row r="304" spans="1:13">
      <c r="A304" t="s">
        <v>372</v>
      </c>
      <c r="B304" t="s">
        <v>80</v>
      </c>
      <c r="C304" t="s">
        <v>15</v>
      </c>
      <c r="D304" t="s">
        <v>72</v>
      </c>
      <c r="E304">
        <v>33</v>
      </c>
      <c r="F304" t="s">
        <v>17</v>
      </c>
      <c r="G304" t="s">
        <v>49</v>
      </c>
      <c r="H304">
        <v>78</v>
      </c>
      <c r="I304">
        <v>6288</v>
      </c>
      <c r="J304">
        <v>15.41</v>
      </c>
      <c r="K304">
        <v>60</v>
      </c>
      <c r="L304">
        <v>4</v>
      </c>
      <c r="M304">
        <v>33814</v>
      </c>
    </row>
    <row r="305" spans="1:13">
      <c r="A305" t="s">
        <v>373</v>
      </c>
      <c r="B305" t="s">
        <v>20</v>
      </c>
      <c r="C305" t="s">
        <v>21</v>
      </c>
      <c r="D305" t="s">
        <v>27</v>
      </c>
      <c r="E305">
        <v>37</v>
      </c>
      <c r="F305" t="s">
        <v>34</v>
      </c>
      <c r="G305" t="s">
        <v>70</v>
      </c>
      <c r="H305">
        <v>70</v>
      </c>
      <c r="I305">
        <v>6018</v>
      </c>
      <c r="J305">
        <v>23.42</v>
      </c>
      <c r="K305">
        <v>99</v>
      </c>
      <c r="L305">
        <v>4</v>
      </c>
      <c r="M305">
        <v>29321</v>
      </c>
    </row>
    <row r="306" spans="1:13">
      <c r="A306" t="s">
        <v>374</v>
      </c>
      <c r="B306" t="s">
        <v>129</v>
      </c>
      <c r="C306" t="s">
        <v>21</v>
      </c>
      <c r="D306" t="s">
        <v>27</v>
      </c>
      <c r="E306">
        <v>13</v>
      </c>
      <c r="F306" t="s">
        <v>34</v>
      </c>
      <c r="G306" t="s">
        <v>70</v>
      </c>
      <c r="H306">
        <v>72</v>
      </c>
      <c r="I306">
        <v>6989</v>
      </c>
      <c r="J306">
        <v>11.39</v>
      </c>
      <c r="K306">
        <v>106</v>
      </c>
      <c r="L306">
        <v>4</v>
      </c>
      <c r="M306">
        <v>33246</v>
      </c>
    </row>
    <row r="307" spans="1:13">
      <c r="A307" t="s">
        <v>375</v>
      </c>
      <c r="B307" t="s">
        <v>25</v>
      </c>
      <c r="C307" t="s">
        <v>26</v>
      </c>
      <c r="D307" t="s">
        <v>16</v>
      </c>
      <c r="E307">
        <v>75</v>
      </c>
      <c r="F307" t="s">
        <v>17</v>
      </c>
      <c r="G307" t="s">
        <v>31</v>
      </c>
      <c r="H307">
        <v>85</v>
      </c>
      <c r="I307">
        <v>2596</v>
      </c>
      <c r="J307">
        <v>4.41</v>
      </c>
      <c r="K307">
        <v>29</v>
      </c>
      <c r="L307">
        <v>4</v>
      </c>
      <c r="M307">
        <v>7017</v>
      </c>
    </row>
    <row r="308" spans="1:13">
      <c r="A308" t="s">
        <v>376</v>
      </c>
      <c r="B308" t="s">
        <v>38</v>
      </c>
      <c r="C308" t="s">
        <v>39</v>
      </c>
      <c r="D308" t="s">
        <v>27</v>
      </c>
      <c r="E308">
        <v>17</v>
      </c>
      <c r="F308" t="s">
        <v>22</v>
      </c>
      <c r="G308" t="s">
        <v>31</v>
      </c>
      <c r="H308">
        <v>86</v>
      </c>
      <c r="I308">
        <v>3444</v>
      </c>
      <c r="J308">
        <v>5.95</v>
      </c>
      <c r="K308">
        <v>39</v>
      </c>
      <c r="L308">
        <v>4</v>
      </c>
      <c r="M308">
        <v>14550</v>
      </c>
    </row>
    <row r="309" spans="1:13">
      <c r="A309" t="s">
        <v>377</v>
      </c>
      <c r="B309" t="s">
        <v>25</v>
      </c>
      <c r="C309" t="s">
        <v>26</v>
      </c>
      <c r="D309" t="s">
        <v>27</v>
      </c>
      <c r="E309">
        <v>60</v>
      </c>
      <c r="F309" t="s">
        <v>22</v>
      </c>
      <c r="G309" t="s">
        <v>49</v>
      </c>
      <c r="H309">
        <v>95</v>
      </c>
      <c r="I309">
        <v>2461</v>
      </c>
      <c r="J309">
        <v>5.0599999999999996</v>
      </c>
      <c r="K309">
        <v>5</v>
      </c>
      <c r="L309">
        <v>5</v>
      </c>
      <c r="M309">
        <v>10623</v>
      </c>
    </row>
    <row r="310" spans="1:13">
      <c r="A310" t="s">
        <v>378</v>
      </c>
      <c r="B310" t="s">
        <v>129</v>
      </c>
      <c r="C310" t="s">
        <v>21</v>
      </c>
      <c r="D310" t="s">
        <v>27</v>
      </c>
      <c r="E310">
        <v>21</v>
      </c>
      <c r="F310" t="s">
        <v>22</v>
      </c>
      <c r="G310" t="s">
        <v>18</v>
      </c>
      <c r="H310">
        <v>74</v>
      </c>
      <c r="I310">
        <v>7429</v>
      </c>
      <c r="J310">
        <v>17.87</v>
      </c>
      <c r="K310">
        <v>112</v>
      </c>
      <c r="L310">
        <v>4</v>
      </c>
      <c r="M310">
        <v>21836</v>
      </c>
    </row>
    <row r="311" spans="1:13">
      <c r="A311" t="s">
        <v>379</v>
      </c>
      <c r="B311" t="s">
        <v>25</v>
      </c>
      <c r="C311" t="s">
        <v>39</v>
      </c>
      <c r="D311" t="s">
        <v>72</v>
      </c>
      <c r="E311">
        <v>17</v>
      </c>
      <c r="F311" t="s">
        <v>22</v>
      </c>
      <c r="G311" t="s">
        <v>31</v>
      </c>
      <c r="H311">
        <v>74</v>
      </c>
      <c r="I311">
        <v>3588</v>
      </c>
      <c r="J311">
        <v>5.03</v>
      </c>
      <c r="K311">
        <v>63</v>
      </c>
      <c r="L311">
        <v>4</v>
      </c>
      <c r="M311">
        <v>13638</v>
      </c>
    </row>
    <row r="312" spans="1:13">
      <c r="A312" t="s">
        <v>380</v>
      </c>
      <c r="B312" t="s">
        <v>33</v>
      </c>
      <c r="C312" t="s">
        <v>26</v>
      </c>
      <c r="D312" t="s">
        <v>16</v>
      </c>
      <c r="E312">
        <v>48</v>
      </c>
      <c r="F312" t="s">
        <v>17</v>
      </c>
      <c r="G312" t="s">
        <v>40</v>
      </c>
      <c r="H312">
        <v>85</v>
      </c>
      <c r="I312">
        <v>2586</v>
      </c>
      <c r="J312">
        <v>5.98</v>
      </c>
      <c r="K312">
        <v>46</v>
      </c>
      <c r="L312">
        <v>5</v>
      </c>
      <c r="M312">
        <v>10067</v>
      </c>
    </row>
    <row r="313" spans="1:13">
      <c r="A313" t="s">
        <v>381</v>
      </c>
      <c r="B313" t="s">
        <v>25</v>
      </c>
      <c r="C313" t="s">
        <v>26</v>
      </c>
      <c r="D313" t="s">
        <v>16</v>
      </c>
      <c r="E313">
        <v>37</v>
      </c>
      <c r="F313" t="s">
        <v>22</v>
      </c>
      <c r="G313" t="s">
        <v>31</v>
      </c>
      <c r="H313">
        <v>97</v>
      </c>
      <c r="I313">
        <v>2128</v>
      </c>
      <c r="J313">
        <v>1.81</v>
      </c>
      <c r="K313">
        <v>41</v>
      </c>
      <c r="L313">
        <v>5</v>
      </c>
      <c r="M313">
        <v>8848</v>
      </c>
    </row>
    <row r="314" spans="1:13">
      <c r="A314" t="s">
        <v>382</v>
      </c>
      <c r="B314" t="s">
        <v>88</v>
      </c>
      <c r="C314" t="s">
        <v>15</v>
      </c>
      <c r="D314" t="s">
        <v>16</v>
      </c>
      <c r="E314">
        <v>45</v>
      </c>
      <c r="F314" t="s">
        <v>17</v>
      </c>
      <c r="G314" t="s">
        <v>40</v>
      </c>
      <c r="H314">
        <v>75</v>
      </c>
      <c r="I314">
        <v>5235</v>
      </c>
      <c r="J314">
        <v>13.53</v>
      </c>
      <c r="K314">
        <v>89</v>
      </c>
      <c r="L314">
        <v>4</v>
      </c>
      <c r="M314">
        <v>24491</v>
      </c>
    </row>
    <row r="315" spans="1:13">
      <c r="A315" t="s">
        <v>383</v>
      </c>
      <c r="B315" t="s">
        <v>135</v>
      </c>
      <c r="C315" t="s">
        <v>48</v>
      </c>
      <c r="D315" t="s">
        <v>16</v>
      </c>
      <c r="E315">
        <v>52</v>
      </c>
      <c r="F315" t="s">
        <v>34</v>
      </c>
      <c r="G315" t="s">
        <v>70</v>
      </c>
      <c r="H315">
        <v>70</v>
      </c>
      <c r="I315">
        <v>6390</v>
      </c>
      <c r="J315">
        <v>10.52</v>
      </c>
      <c r="K315">
        <v>103</v>
      </c>
      <c r="L315">
        <v>4</v>
      </c>
      <c r="M315">
        <v>31051</v>
      </c>
    </row>
    <row r="316" spans="1:13">
      <c r="A316" t="s">
        <v>384</v>
      </c>
      <c r="B316" t="s">
        <v>60</v>
      </c>
      <c r="C316" t="s">
        <v>52</v>
      </c>
      <c r="D316" t="s">
        <v>72</v>
      </c>
      <c r="E316">
        <v>28</v>
      </c>
      <c r="F316" t="s">
        <v>17</v>
      </c>
      <c r="G316" t="s">
        <v>23</v>
      </c>
      <c r="H316">
        <v>85</v>
      </c>
      <c r="I316">
        <v>7625</v>
      </c>
      <c r="J316">
        <v>15.87</v>
      </c>
      <c r="K316">
        <v>54</v>
      </c>
      <c r="L316">
        <v>4</v>
      </c>
      <c r="M316">
        <v>37949</v>
      </c>
    </row>
    <row r="317" spans="1:13">
      <c r="A317" t="s">
        <v>385</v>
      </c>
      <c r="B317" t="s">
        <v>58</v>
      </c>
      <c r="C317" t="s">
        <v>48</v>
      </c>
      <c r="D317" t="s">
        <v>16</v>
      </c>
      <c r="E317">
        <v>23</v>
      </c>
      <c r="F317" t="s">
        <v>22</v>
      </c>
      <c r="G317" t="s">
        <v>31</v>
      </c>
      <c r="H317">
        <v>79</v>
      </c>
      <c r="I317">
        <v>6045</v>
      </c>
      <c r="J317">
        <v>14.34</v>
      </c>
      <c r="K317">
        <v>71</v>
      </c>
      <c r="L317">
        <v>3</v>
      </c>
      <c r="M317">
        <v>29491</v>
      </c>
    </row>
    <row r="318" spans="1:13">
      <c r="A318" t="s">
        <v>386</v>
      </c>
      <c r="B318" t="s">
        <v>64</v>
      </c>
      <c r="C318" t="s">
        <v>30</v>
      </c>
      <c r="D318" t="s">
        <v>16</v>
      </c>
      <c r="E318">
        <v>41</v>
      </c>
      <c r="F318" t="s">
        <v>22</v>
      </c>
      <c r="G318" t="s">
        <v>18</v>
      </c>
      <c r="H318">
        <v>59</v>
      </c>
      <c r="I318">
        <v>3373</v>
      </c>
      <c r="J318">
        <v>23.49</v>
      </c>
      <c r="K318">
        <v>102</v>
      </c>
      <c r="L318">
        <v>4</v>
      </c>
      <c r="M318">
        <v>8950</v>
      </c>
    </row>
    <row r="319" spans="1:13">
      <c r="A319" t="s">
        <v>387</v>
      </c>
      <c r="B319" t="s">
        <v>33</v>
      </c>
      <c r="C319" t="s">
        <v>26</v>
      </c>
      <c r="D319" t="s">
        <v>27</v>
      </c>
      <c r="E319">
        <v>40</v>
      </c>
      <c r="F319" t="s">
        <v>22</v>
      </c>
      <c r="G319" t="s">
        <v>49</v>
      </c>
      <c r="H319">
        <v>89</v>
      </c>
      <c r="I319">
        <v>2723</v>
      </c>
      <c r="J319">
        <v>6.48</v>
      </c>
      <c r="K319">
        <v>20</v>
      </c>
      <c r="L319">
        <v>5</v>
      </c>
      <c r="M319">
        <v>9281</v>
      </c>
    </row>
    <row r="320" spans="1:13">
      <c r="A320" t="s">
        <v>388</v>
      </c>
      <c r="B320" t="s">
        <v>36</v>
      </c>
      <c r="C320" t="s">
        <v>21</v>
      </c>
      <c r="D320" t="s">
        <v>27</v>
      </c>
      <c r="E320">
        <v>85</v>
      </c>
      <c r="F320" t="s">
        <v>34</v>
      </c>
      <c r="G320" t="s">
        <v>31</v>
      </c>
      <c r="H320">
        <v>83</v>
      </c>
      <c r="I320">
        <v>6746</v>
      </c>
      <c r="J320">
        <v>12.35</v>
      </c>
      <c r="K320">
        <v>62</v>
      </c>
      <c r="L320">
        <v>4</v>
      </c>
      <c r="M320">
        <v>34745</v>
      </c>
    </row>
    <row r="321" spans="1:13">
      <c r="A321" t="s">
        <v>389</v>
      </c>
      <c r="B321" t="s">
        <v>185</v>
      </c>
      <c r="C321" t="s">
        <v>52</v>
      </c>
      <c r="D321" t="s">
        <v>16</v>
      </c>
      <c r="E321">
        <v>43</v>
      </c>
      <c r="F321" t="s">
        <v>22</v>
      </c>
      <c r="G321" t="s">
        <v>70</v>
      </c>
      <c r="H321">
        <v>86</v>
      </c>
      <c r="I321">
        <v>6461</v>
      </c>
      <c r="J321">
        <v>17.32</v>
      </c>
      <c r="K321">
        <v>55</v>
      </c>
      <c r="L321">
        <v>5</v>
      </c>
      <c r="M321">
        <v>19831</v>
      </c>
    </row>
    <row r="322" spans="1:13">
      <c r="A322" t="s">
        <v>390</v>
      </c>
      <c r="B322" t="s">
        <v>95</v>
      </c>
      <c r="C322" t="s">
        <v>52</v>
      </c>
      <c r="D322" t="s">
        <v>27</v>
      </c>
      <c r="E322">
        <v>74</v>
      </c>
      <c r="F322" t="s">
        <v>34</v>
      </c>
      <c r="G322" t="s">
        <v>18</v>
      </c>
      <c r="H322">
        <v>71</v>
      </c>
      <c r="I322">
        <v>7499</v>
      </c>
      <c r="J322">
        <v>14</v>
      </c>
      <c r="K322">
        <v>87</v>
      </c>
      <c r="L322">
        <v>4</v>
      </c>
      <c r="M322">
        <v>27190</v>
      </c>
    </row>
    <row r="323" spans="1:13">
      <c r="A323" t="s">
        <v>391</v>
      </c>
      <c r="B323" t="s">
        <v>42</v>
      </c>
      <c r="C323" t="s">
        <v>39</v>
      </c>
      <c r="D323" t="s">
        <v>72</v>
      </c>
      <c r="E323">
        <v>18</v>
      </c>
      <c r="F323" t="s">
        <v>34</v>
      </c>
      <c r="G323" t="s">
        <v>40</v>
      </c>
      <c r="H323">
        <v>83</v>
      </c>
      <c r="I323">
        <v>2907</v>
      </c>
      <c r="J323">
        <v>4.51</v>
      </c>
      <c r="K323">
        <v>74</v>
      </c>
      <c r="L323">
        <v>4</v>
      </c>
      <c r="M323">
        <v>14007</v>
      </c>
    </row>
    <row r="324" spans="1:13">
      <c r="A324" t="s">
        <v>392</v>
      </c>
      <c r="B324" t="s">
        <v>137</v>
      </c>
      <c r="C324" t="s">
        <v>26</v>
      </c>
      <c r="D324" t="s">
        <v>16</v>
      </c>
      <c r="E324">
        <v>37</v>
      </c>
      <c r="F324" t="s">
        <v>17</v>
      </c>
      <c r="G324" t="s">
        <v>18</v>
      </c>
      <c r="H324">
        <v>86</v>
      </c>
      <c r="I324">
        <v>2872</v>
      </c>
      <c r="J324">
        <v>4.28</v>
      </c>
      <c r="K324">
        <v>32</v>
      </c>
      <c r="L324">
        <v>5</v>
      </c>
      <c r="M324">
        <v>11124</v>
      </c>
    </row>
    <row r="325" spans="1:13">
      <c r="A325" t="s">
        <v>393</v>
      </c>
      <c r="B325" t="s">
        <v>129</v>
      </c>
      <c r="C325" t="s">
        <v>21</v>
      </c>
      <c r="D325" t="s">
        <v>27</v>
      </c>
      <c r="E325">
        <v>49</v>
      </c>
      <c r="F325" t="s">
        <v>34</v>
      </c>
      <c r="G325" t="s">
        <v>40</v>
      </c>
      <c r="H325">
        <v>81</v>
      </c>
      <c r="I325">
        <v>6630</v>
      </c>
      <c r="J325">
        <v>17.350000000000001</v>
      </c>
      <c r="K325">
        <v>93</v>
      </c>
      <c r="L325">
        <v>4</v>
      </c>
      <c r="M325">
        <v>22399</v>
      </c>
    </row>
    <row r="326" spans="1:13">
      <c r="A326" t="s">
        <v>394</v>
      </c>
      <c r="B326" t="s">
        <v>78</v>
      </c>
      <c r="C326" t="s">
        <v>15</v>
      </c>
      <c r="D326" t="s">
        <v>16</v>
      </c>
      <c r="E326">
        <v>5</v>
      </c>
      <c r="F326" t="s">
        <v>34</v>
      </c>
      <c r="G326" t="s">
        <v>23</v>
      </c>
      <c r="H326">
        <v>73</v>
      </c>
      <c r="I326">
        <v>5304</v>
      </c>
      <c r="J326">
        <v>18.920000000000002</v>
      </c>
      <c r="K326">
        <v>102</v>
      </c>
      <c r="L326">
        <v>3</v>
      </c>
      <c r="M326">
        <v>17359</v>
      </c>
    </row>
    <row r="327" spans="1:13">
      <c r="A327" t="s">
        <v>395</v>
      </c>
      <c r="B327" t="s">
        <v>129</v>
      </c>
      <c r="C327" t="s">
        <v>21</v>
      </c>
      <c r="D327" t="s">
        <v>27</v>
      </c>
      <c r="E327">
        <v>49</v>
      </c>
      <c r="F327" t="s">
        <v>22</v>
      </c>
      <c r="G327" t="s">
        <v>18</v>
      </c>
      <c r="H327">
        <v>76</v>
      </c>
      <c r="I327">
        <v>4497</v>
      </c>
      <c r="J327">
        <v>22.93</v>
      </c>
      <c r="K327">
        <v>86</v>
      </c>
      <c r="L327">
        <v>5</v>
      </c>
      <c r="M327">
        <v>23185</v>
      </c>
    </row>
    <row r="328" spans="1:13">
      <c r="A328" t="s">
        <v>396</v>
      </c>
      <c r="B328" t="s">
        <v>25</v>
      </c>
      <c r="C328" t="s">
        <v>26</v>
      </c>
      <c r="D328" t="s">
        <v>16</v>
      </c>
      <c r="E328">
        <v>27</v>
      </c>
      <c r="F328" t="s">
        <v>17</v>
      </c>
      <c r="G328" t="s">
        <v>70</v>
      </c>
      <c r="H328">
        <v>88</v>
      </c>
      <c r="I328">
        <v>2405</v>
      </c>
      <c r="J328">
        <v>8.69</v>
      </c>
      <c r="K328">
        <v>18</v>
      </c>
      <c r="L328">
        <v>5</v>
      </c>
      <c r="M328">
        <v>10200</v>
      </c>
    </row>
    <row r="329" spans="1:13">
      <c r="A329" t="s">
        <v>397</v>
      </c>
      <c r="B329" t="s">
        <v>38</v>
      </c>
      <c r="C329" t="s">
        <v>39</v>
      </c>
      <c r="D329" t="s">
        <v>27</v>
      </c>
      <c r="E329">
        <v>14</v>
      </c>
      <c r="F329" t="s">
        <v>34</v>
      </c>
      <c r="G329" t="s">
        <v>49</v>
      </c>
      <c r="H329">
        <v>87</v>
      </c>
      <c r="I329">
        <v>2669</v>
      </c>
      <c r="J329">
        <v>3.9</v>
      </c>
      <c r="K329">
        <v>33</v>
      </c>
      <c r="L329">
        <v>5</v>
      </c>
      <c r="M329">
        <v>7337</v>
      </c>
    </row>
    <row r="330" spans="1:13">
      <c r="A330" t="s">
        <v>398</v>
      </c>
      <c r="B330" t="s">
        <v>66</v>
      </c>
      <c r="C330" t="s">
        <v>39</v>
      </c>
      <c r="D330" t="s">
        <v>27</v>
      </c>
      <c r="E330">
        <v>1</v>
      </c>
      <c r="F330" t="s">
        <v>17</v>
      </c>
      <c r="G330" t="s">
        <v>40</v>
      </c>
      <c r="H330">
        <v>88</v>
      </c>
      <c r="I330">
        <v>3262</v>
      </c>
      <c r="J330">
        <v>9.6199999999999992</v>
      </c>
      <c r="K330">
        <v>63</v>
      </c>
      <c r="L330">
        <v>4</v>
      </c>
      <c r="M330">
        <v>16958</v>
      </c>
    </row>
    <row r="331" spans="1:13">
      <c r="A331" t="s">
        <v>399</v>
      </c>
      <c r="B331" t="s">
        <v>51</v>
      </c>
      <c r="C331" t="s">
        <v>52</v>
      </c>
      <c r="D331" t="s">
        <v>27</v>
      </c>
      <c r="E331">
        <v>25</v>
      </c>
      <c r="F331" t="s">
        <v>17</v>
      </c>
      <c r="G331" t="s">
        <v>31</v>
      </c>
      <c r="H331">
        <v>72</v>
      </c>
      <c r="I331">
        <v>8175</v>
      </c>
      <c r="J331">
        <v>18.21</v>
      </c>
      <c r="K331">
        <v>88</v>
      </c>
      <c r="L331">
        <v>3</v>
      </c>
      <c r="M331">
        <v>21512</v>
      </c>
    </row>
    <row r="332" spans="1:13">
      <c r="A332" t="s">
        <v>400</v>
      </c>
      <c r="B332" t="s">
        <v>66</v>
      </c>
      <c r="C332" t="s">
        <v>39</v>
      </c>
      <c r="D332" t="s">
        <v>27</v>
      </c>
      <c r="E332">
        <v>3</v>
      </c>
      <c r="F332" t="s">
        <v>34</v>
      </c>
      <c r="G332" t="s">
        <v>70</v>
      </c>
      <c r="H332">
        <v>79</v>
      </c>
      <c r="I332">
        <v>2594</v>
      </c>
      <c r="J332">
        <v>8.14</v>
      </c>
      <c r="K332">
        <v>50</v>
      </c>
      <c r="L332">
        <v>4</v>
      </c>
      <c r="M332">
        <v>8576</v>
      </c>
    </row>
    <row r="333" spans="1:13">
      <c r="A333" t="s">
        <v>401</v>
      </c>
      <c r="B333" t="s">
        <v>36</v>
      </c>
      <c r="C333" t="s">
        <v>21</v>
      </c>
      <c r="D333" t="s">
        <v>27</v>
      </c>
      <c r="E333">
        <v>69</v>
      </c>
      <c r="F333" t="s">
        <v>17</v>
      </c>
      <c r="G333" t="s">
        <v>23</v>
      </c>
      <c r="H333">
        <v>67</v>
      </c>
      <c r="I333">
        <v>6172</v>
      </c>
      <c r="J333">
        <v>19.53</v>
      </c>
      <c r="K333">
        <v>106</v>
      </c>
      <c r="L333">
        <v>3</v>
      </c>
      <c r="M333">
        <v>30824</v>
      </c>
    </row>
    <row r="334" spans="1:13">
      <c r="A334" t="s">
        <v>402</v>
      </c>
      <c r="B334" t="s">
        <v>64</v>
      </c>
      <c r="C334" t="s">
        <v>30</v>
      </c>
      <c r="D334" t="s">
        <v>27</v>
      </c>
      <c r="E334">
        <v>35</v>
      </c>
      <c r="F334" t="s">
        <v>17</v>
      </c>
      <c r="G334" t="s">
        <v>49</v>
      </c>
      <c r="H334">
        <v>69</v>
      </c>
      <c r="I334">
        <v>4048</v>
      </c>
      <c r="J334">
        <v>16.989999999999998</v>
      </c>
      <c r="K334">
        <v>119</v>
      </c>
      <c r="L334">
        <v>4</v>
      </c>
      <c r="M334">
        <v>18488</v>
      </c>
    </row>
    <row r="335" spans="1:13">
      <c r="A335" t="s">
        <v>403</v>
      </c>
      <c r="B335" t="s">
        <v>25</v>
      </c>
      <c r="C335" t="s">
        <v>26</v>
      </c>
      <c r="D335" t="s">
        <v>16</v>
      </c>
      <c r="E335">
        <v>33</v>
      </c>
      <c r="F335" t="s">
        <v>17</v>
      </c>
      <c r="G335" t="s">
        <v>40</v>
      </c>
      <c r="H335">
        <v>88</v>
      </c>
      <c r="I335">
        <v>3401</v>
      </c>
      <c r="J335">
        <v>6.53</v>
      </c>
      <c r="K335">
        <v>49</v>
      </c>
      <c r="L335">
        <v>4</v>
      </c>
      <c r="M335">
        <v>15451</v>
      </c>
    </row>
    <row r="336" spans="1:13">
      <c r="A336" t="s">
        <v>404</v>
      </c>
      <c r="B336" t="s">
        <v>14</v>
      </c>
      <c r="C336" t="s">
        <v>15</v>
      </c>
      <c r="D336" t="s">
        <v>27</v>
      </c>
      <c r="E336">
        <v>58</v>
      </c>
      <c r="F336" t="s">
        <v>22</v>
      </c>
      <c r="G336" t="s">
        <v>49</v>
      </c>
      <c r="H336">
        <v>80</v>
      </c>
      <c r="I336">
        <v>8472</v>
      </c>
      <c r="J336">
        <v>12.01</v>
      </c>
      <c r="K336">
        <v>54</v>
      </c>
      <c r="L336">
        <v>4</v>
      </c>
      <c r="M336">
        <v>36416</v>
      </c>
    </row>
    <row r="337" spans="1:13">
      <c r="A337" t="s">
        <v>405</v>
      </c>
      <c r="B337" t="s">
        <v>74</v>
      </c>
      <c r="C337" t="s">
        <v>45</v>
      </c>
      <c r="D337" t="s">
        <v>27</v>
      </c>
      <c r="E337">
        <v>1</v>
      </c>
      <c r="F337" t="s">
        <v>34</v>
      </c>
      <c r="G337" t="s">
        <v>49</v>
      </c>
      <c r="H337">
        <v>76</v>
      </c>
      <c r="I337">
        <v>10947</v>
      </c>
      <c r="J337">
        <v>20.98</v>
      </c>
      <c r="K337">
        <v>98</v>
      </c>
      <c r="L337">
        <v>4</v>
      </c>
      <c r="M337">
        <v>53980</v>
      </c>
    </row>
    <row r="338" spans="1:13">
      <c r="A338" t="s">
        <v>406</v>
      </c>
      <c r="B338" t="s">
        <v>29</v>
      </c>
      <c r="C338" t="s">
        <v>30</v>
      </c>
      <c r="D338" t="s">
        <v>16</v>
      </c>
      <c r="E338">
        <v>58</v>
      </c>
      <c r="F338" t="s">
        <v>22</v>
      </c>
      <c r="G338" t="s">
        <v>18</v>
      </c>
      <c r="H338">
        <v>70</v>
      </c>
      <c r="I338">
        <v>4087</v>
      </c>
      <c r="J338">
        <v>15.53</v>
      </c>
      <c r="K338">
        <v>118</v>
      </c>
      <c r="L338">
        <v>3</v>
      </c>
      <c r="M338">
        <v>15018</v>
      </c>
    </row>
    <row r="339" spans="1:13">
      <c r="A339" t="s">
        <v>407</v>
      </c>
      <c r="B339" t="s">
        <v>122</v>
      </c>
      <c r="C339" t="s">
        <v>48</v>
      </c>
      <c r="D339" t="s">
        <v>27</v>
      </c>
      <c r="E339">
        <v>66</v>
      </c>
      <c r="F339" t="s">
        <v>34</v>
      </c>
      <c r="G339" t="s">
        <v>18</v>
      </c>
      <c r="H339">
        <v>65</v>
      </c>
      <c r="I339">
        <v>6760</v>
      </c>
      <c r="J339">
        <v>12.35</v>
      </c>
      <c r="K339">
        <v>93</v>
      </c>
      <c r="L339">
        <v>3</v>
      </c>
      <c r="M339">
        <v>20757</v>
      </c>
    </row>
    <row r="340" spans="1:13">
      <c r="A340" t="s">
        <v>408</v>
      </c>
      <c r="B340" t="s">
        <v>33</v>
      </c>
      <c r="C340" t="s">
        <v>26</v>
      </c>
      <c r="D340" t="s">
        <v>16</v>
      </c>
      <c r="E340">
        <v>58</v>
      </c>
      <c r="F340" t="s">
        <v>17</v>
      </c>
      <c r="G340" t="s">
        <v>49</v>
      </c>
      <c r="H340">
        <v>77</v>
      </c>
      <c r="I340">
        <v>2353</v>
      </c>
      <c r="J340">
        <v>4.71</v>
      </c>
      <c r="K340">
        <v>61</v>
      </c>
      <c r="L340">
        <v>4</v>
      </c>
      <c r="M340">
        <v>11687</v>
      </c>
    </row>
    <row r="341" spans="1:13">
      <c r="A341" t="s">
        <v>409</v>
      </c>
      <c r="B341" t="s">
        <v>38</v>
      </c>
      <c r="C341" t="s">
        <v>39</v>
      </c>
      <c r="D341" t="s">
        <v>16</v>
      </c>
      <c r="E341">
        <v>4</v>
      </c>
      <c r="F341" t="s">
        <v>22</v>
      </c>
      <c r="G341" t="s">
        <v>49</v>
      </c>
      <c r="H341">
        <v>79</v>
      </c>
      <c r="I341">
        <v>4091</v>
      </c>
      <c r="J341">
        <v>8.16</v>
      </c>
      <c r="K341">
        <v>86</v>
      </c>
      <c r="L341">
        <v>4</v>
      </c>
      <c r="M341">
        <v>21682</v>
      </c>
    </row>
    <row r="342" spans="1:13">
      <c r="A342" t="s">
        <v>410</v>
      </c>
      <c r="B342" t="s">
        <v>187</v>
      </c>
      <c r="C342" t="s">
        <v>30</v>
      </c>
      <c r="D342" t="s">
        <v>16</v>
      </c>
      <c r="E342">
        <v>1</v>
      </c>
      <c r="F342" t="s">
        <v>17</v>
      </c>
      <c r="G342" t="s">
        <v>31</v>
      </c>
      <c r="H342">
        <v>75</v>
      </c>
      <c r="I342">
        <v>3164</v>
      </c>
      <c r="J342">
        <v>14.55</v>
      </c>
      <c r="K342">
        <v>131</v>
      </c>
      <c r="L342">
        <v>4</v>
      </c>
      <c r="M342">
        <v>15359</v>
      </c>
    </row>
    <row r="343" spans="1:13">
      <c r="A343" t="s">
        <v>411</v>
      </c>
      <c r="B343" t="s">
        <v>25</v>
      </c>
      <c r="C343" t="s">
        <v>26</v>
      </c>
      <c r="D343" t="s">
        <v>27</v>
      </c>
      <c r="E343">
        <v>32</v>
      </c>
      <c r="F343" t="s">
        <v>17</v>
      </c>
      <c r="G343" t="s">
        <v>40</v>
      </c>
      <c r="H343">
        <v>81</v>
      </c>
      <c r="I343">
        <v>3055</v>
      </c>
      <c r="J343">
        <v>12.74</v>
      </c>
      <c r="K343">
        <v>60</v>
      </c>
      <c r="L343">
        <v>4</v>
      </c>
      <c r="M343">
        <v>10713</v>
      </c>
    </row>
    <row r="344" spans="1:13">
      <c r="A344" t="s">
        <v>412</v>
      </c>
      <c r="B344" t="s">
        <v>80</v>
      </c>
      <c r="C344" t="s">
        <v>15</v>
      </c>
      <c r="D344" t="s">
        <v>27</v>
      </c>
      <c r="E344">
        <v>24</v>
      </c>
      <c r="F344" t="s">
        <v>22</v>
      </c>
      <c r="G344" t="s">
        <v>31</v>
      </c>
      <c r="H344">
        <v>75</v>
      </c>
      <c r="I344">
        <v>4868</v>
      </c>
      <c r="J344">
        <v>20.45</v>
      </c>
      <c r="K344">
        <v>57</v>
      </c>
      <c r="L344">
        <v>4</v>
      </c>
      <c r="M344">
        <v>13334</v>
      </c>
    </row>
    <row r="345" spans="1:13">
      <c r="A345" t="s">
        <v>413</v>
      </c>
      <c r="B345" t="s">
        <v>78</v>
      </c>
      <c r="C345" t="s">
        <v>15</v>
      </c>
      <c r="D345" t="s">
        <v>16</v>
      </c>
      <c r="E345">
        <v>30</v>
      </c>
      <c r="F345" t="s">
        <v>34</v>
      </c>
      <c r="G345" t="s">
        <v>18</v>
      </c>
      <c r="H345">
        <v>73</v>
      </c>
      <c r="I345">
        <v>9538</v>
      </c>
      <c r="J345">
        <v>13.37</v>
      </c>
      <c r="K345">
        <v>103</v>
      </c>
      <c r="L345">
        <v>4</v>
      </c>
      <c r="M345">
        <v>36327</v>
      </c>
    </row>
    <row r="346" spans="1:13">
      <c r="A346" t="s">
        <v>414</v>
      </c>
      <c r="B346" t="s">
        <v>64</v>
      </c>
      <c r="C346" t="s">
        <v>30</v>
      </c>
      <c r="D346" t="s">
        <v>16</v>
      </c>
      <c r="E346">
        <v>48</v>
      </c>
      <c r="F346" t="s">
        <v>22</v>
      </c>
      <c r="G346" t="s">
        <v>18</v>
      </c>
      <c r="H346">
        <v>66</v>
      </c>
      <c r="I346">
        <v>4282</v>
      </c>
      <c r="J346">
        <v>23.79</v>
      </c>
      <c r="K346">
        <v>120</v>
      </c>
      <c r="L346">
        <v>3</v>
      </c>
      <c r="M346">
        <v>21959</v>
      </c>
    </row>
    <row r="347" spans="1:13">
      <c r="A347" t="s">
        <v>415</v>
      </c>
      <c r="B347" t="s">
        <v>168</v>
      </c>
      <c r="C347" t="s">
        <v>45</v>
      </c>
      <c r="D347" t="s">
        <v>16</v>
      </c>
      <c r="E347">
        <v>39</v>
      </c>
      <c r="F347" t="s">
        <v>17</v>
      </c>
      <c r="G347" t="s">
        <v>23</v>
      </c>
      <c r="H347">
        <v>73</v>
      </c>
      <c r="I347">
        <v>8087</v>
      </c>
      <c r="J347">
        <v>10.33</v>
      </c>
      <c r="K347">
        <v>84</v>
      </c>
      <c r="L347">
        <v>4</v>
      </c>
      <c r="M347">
        <v>47692</v>
      </c>
    </row>
    <row r="348" spans="1:13">
      <c r="A348" t="s">
        <v>416</v>
      </c>
      <c r="B348" t="s">
        <v>74</v>
      </c>
      <c r="C348" t="s">
        <v>45</v>
      </c>
      <c r="D348" t="s">
        <v>27</v>
      </c>
      <c r="E348">
        <v>40</v>
      </c>
      <c r="F348" t="s">
        <v>17</v>
      </c>
      <c r="G348" t="s">
        <v>18</v>
      </c>
      <c r="H348">
        <v>66</v>
      </c>
      <c r="I348">
        <v>10602</v>
      </c>
      <c r="J348">
        <v>21.14</v>
      </c>
      <c r="K348">
        <v>76</v>
      </c>
      <c r="L348">
        <v>3</v>
      </c>
      <c r="M348">
        <v>41259</v>
      </c>
    </row>
    <row r="349" spans="1:13">
      <c r="A349" t="s">
        <v>417</v>
      </c>
      <c r="B349" t="s">
        <v>64</v>
      </c>
      <c r="C349" t="s">
        <v>30</v>
      </c>
      <c r="D349" t="s">
        <v>16</v>
      </c>
      <c r="E349">
        <v>28</v>
      </c>
      <c r="F349" t="s">
        <v>22</v>
      </c>
      <c r="G349" t="s">
        <v>70</v>
      </c>
      <c r="H349">
        <v>79</v>
      </c>
      <c r="I349">
        <v>2276</v>
      </c>
      <c r="J349">
        <v>17.489999999999998</v>
      </c>
      <c r="K349">
        <v>96</v>
      </c>
      <c r="L349">
        <v>3</v>
      </c>
      <c r="M349">
        <v>13405</v>
      </c>
    </row>
    <row r="350" spans="1:13">
      <c r="A350" t="s">
        <v>418</v>
      </c>
      <c r="B350" t="s">
        <v>56</v>
      </c>
      <c r="C350" t="s">
        <v>45</v>
      </c>
      <c r="D350" t="s">
        <v>27</v>
      </c>
      <c r="E350">
        <v>30</v>
      </c>
      <c r="F350" t="s">
        <v>22</v>
      </c>
      <c r="G350" t="s">
        <v>18</v>
      </c>
      <c r="H350">
        <v>83</v>
      </c>
      <c r="I350">
        <v>8015</v>
      </c>
      <c r="J350">
        <v>15.91</v>
      </c>
      <c r="K350">
        <v>98</v>
      </c>
      <c r="L350">
        <v>5</v>
      </c>
      <c r="M350">
        <v>38229</v>
      </c>
    </row>
    <row r="351" spans="1:13">
      <c r="A351" t="s">
        <v>419</v>
      </c>
      <c r="B351" t="s">
        <v>150</v>
      </c>
      <c r="C351" t="s">
        <v>48</v>
      </c>
      <c r="D351" t="s">
        <v>16</v>
      </c>
      <c r="E351">
        <v>68</v>
      </c>
      <c r="F351" t="s">
        <v>17</v>
      </c>
      <c r="G351" t="s">
        <v>31</v>
      </c>
      <c r="H351">
        <v>79</v>
      </c>
      <c r="I351">
        <v>4110</v>
      </c>
      <c r="J351">
        <v>15.7</v>
      </c>
      <c r="K351">
        <v>95</v>
      </c>
      <c r="L351">
        <v>3</v>
      </c>
      <c r="M351">
        <v>22733</v>
      </c>
    </row>
    <row r="352" spans="1:13">
      <c r="A352" t="s">
        <v>420</v>
      </c>
      <c r="B352" t="s">
        <v>25</v>
      </c>
      <c r="C352" t="s">
        <v>39</v>
      </c>
      <c r="D352" t="s">
        <v>27</v>
      </c>
      <c r="E352">
        <v>7</v>
      </c>
      <c r="F352" t="s">
        <v>34</v>
      </c>
      <c r="G352" t="s">
        <v>70</v>
      </c>
      <c r="H352">
        <v>91</v>
      </c>
      <c r="I352">
        <v>3234</v>
      </c>
      <c r="J352">
        <v>2.69</v>
      </c>
      <c r="K352">
        <v>66</v>
      </c>
      <c r="L352">
        <v>5</v>
      </c>
      <c r="M352">
        <v>12704</v>
      </c>
    </row>
    <row r="353" spans="1:13">
      <c r="A353" t="s">
        <v>421</v>
      </c>
      <c r="B353" t="s">
        <v>103</v>
      </c>
      <c r="C353" t="s">
        <v>26</v>
      </c>
      <c r="D353" t="s">
        <v>16</v>
      </c>
      <c r="E353">
        <v>45</v>
      </c>
      <c r="F353" t="s">
        <v>34</v>
      </c>
      <c r="G353" t="s">
        <v>40</v>
      </c>
      <c r="H353">
        <v>90</v>
      </c>
      <c r="I353">
        <v>2336</v>
      </c>
      <c r="J353">
        <v>0</v>
      </c>
      <c r="K353">
        <v>39</v>
      </c>
      <c r="L353">
        <v>5</v>
      </c>
      <c r="M353">
        <v>12706</v>
      </c>
    </row>
    <row r="354" spans="1:13">
      <c r="A354" t="s">
        <v>422</v>
      </c>
      <c r="B354" t="s">
        <v>36</v>
      </c>
      <c r="C354" t="s">
        <v>21</v>
      </c>
      <c r="D354" t="s">
        <v>16</v>
      </c>
      <c r="E354">
        <v>56</v>
      </c>
      <c r="F354" t="s">
        <v>34</v>
      </c>
      <c r="G354" t="s">
        <v>49</v>
      </c>
      <c r="H354">
        <v>80</v>
      </c>
      <c r="I354">
        <v>6469</v>
      </c>
      <c r="J354">
        <v>14.3</v>
      </c>
      <c r="K354">
        <v>69</v>
      </c>
      <c r="L354">
        <v>4</v>
      </c>
      <c r="M354">
        <v>36879</v>
      </c>
    </row>
    <row r="355" spans="1:13">
      <c r="A355" t="s">
        <v>423</v>
      </c>
      <c r="B355" t="s">
        <v>58</v>
      </c>
      <c r="C355" t="s">
        <v>48</v>
      </c>
      <c r="D355" t="s">
        <v>16</v>
      </c>
      <c r="E355">
        <v>12</v>
      </c>
      <c r="F355" t="s">
        <v>17</v>
      </c>
      <c r="G355" t="s">
        <v>70</v>
      </c>
      <c r="H355">
        <v>82</v>
      </c>
      <c r="I355">
        <v>8012</v>
      </c>
      <c r="J355">
        <v>10.029999999999999</v>
      </c>
      <c r="K355">
        <v>66</v>
      </c>
      <c r="L355">
        <v>4</v>
      </c>
      <c r="M355">
        <v>37227</v>
      </c>
    </row>
    <row r="356" spans="1:13">
      <c r="A356" t="s">
        <v>424</v>
      </c>
      <c r="B356" t="s">
        <v>84</v>
      </c>
      <c r="C356" t="s">
        <v>21</v>
      </c>
      <c r="D356" t="s">
        <v>27</v>
      </c>
      <c r="E356">
        <v>19</v>
      </c>
      <c r="F356" t="s">
        <v>17</v>
      </c>
      <c r="G356" t="s">
        <v>23</v>
      </c>
      <c r="H356">
        <v>76</v>
      </c>
      <c r="I356">
        <v>5846</v>
      </c>
      <c r="J356">
        <v>16.05</v>
      </c>
      <c r="K356">
        <v>103</v>
      </c>
      <c r="L356">
        <v>4</v>
      </c>
      <c r="M356">
        <v>29730</v>
      </c>
    </row>
    <row r="357" spans="1:13">
      <c r="A357" t="s">
        <v>425</v>
      </c>
      <c r="B357" t="s">
        <v>25</v>
      </c>
      <c r="C357" t="s">
        <v>39</v>
      </c>
      <c r="D357" t="s">
        <v>27</v>
      </c>
      <c r="E357">
        <v>13</v>
      </c>
      <c r="F357" t="s">
        <v>22</v>
      </c>
      <c r="G357" t="s">
        <v>31</v>
      </c>
      <c r="H357">
        <v>94</v>
      </c>
      <c r="I357">
        <v>4023</v>
      </c>
      <c r="J357">
        <v>6.8</v>
      </c>
      <c r="K357">
        <v>42</v>
      </c>
      <c r="L357">
        <v>5</v>
      </c>
      <c r="M357">
        <v>11200</v>
      </c>
    </row>
    <row r="358" spans="1:13">
      <c r="A358" t="s">
        <v>426</v>
      </c>
      <c r="B358" t="s">
        <v>33</v>
      </c>
      <c r="C358" t="s">
        <v>26</v>
      </c>
      <c r="D358" t="s">
        <v>16</v>
      </c>
      <c r="E358">
        <v>54</v>
      </c>
      <c r="F358" t="s">
        <v>34</v>
      </c>
      <c r="G358" t="s">
        <v>70</v>
      </c>
      <c r="H358">
        <v>87</v>
      </c>
      <c r="I358">
        <v>2537</v>
      </c>
      <c r="J358">
        <v>7.97</v>
      </c>
      <c r="K358">
        <v>54</v>
      </c>
      <c r="L358">
        <v>4</v>
      </c>
      <c r="M358">
        <v>12938</v>
      </c>
    </row>
    <row r="359" spans="1:13">
      <c r="A359" t="s">
        <v>427</v>
      </c>
      <c r="B359" t="s">
        <v>64</v>
      </c>
      <c r="C359" t="s">
        <v>30</v>
      </c>
      <c r="D359" t="s">
        <v>16</v>
      </c>
      <c r="E359">
        <v>48</v>
      </c>
      <c r="F359" t="s">
        <v>34</v>
      </c>
      <c r="G359" t="s">
        <v>40</v>
      </c>
      <c r="H359">
        <v>70</v>
      </c>
      <c r="I359">
        <v>3370</v>
      </c>
      <c r="J359">
        <v>15.52</v>
      </c>
      <c r="K359">
        <v>144</v>
      </c>
      <c r="L359">
        <v>4</v>
      </c>
      <c r="M359">
        <v>14774</v>
      </c>
    </row>
    <row r="360" spans="1:13">
      <c r="A360" t="s">
        <v>428</v>
      </c>
      <c r="B360" t="s">
        <v>109</v>
      </c>
      <c r="C360" t="s">
        <v>30</v>
      </c>
      <c r="D360" t="s">
        <v>16</v>
      </c>
      <c r="E360">
        <v>29</v>
      </c>
      <c r="F360" t="s">
        <v>34</v>
      </c>
      <c r="G360" t="s">
        <v>40</v>
      </c>
      <c r="H360">
        <v>73</v>
      </c>
      <c r="I360">
        <v>3712</v>
      </c>
      <c r="J360">
        <v>20.89</v>
      </c>
      <c r="K360">
        <v>82</v>
      </c>
      <c r="L360">
        <v>4</v>
      </c>
      <c r="M360">
        <v>17468</v>
      </c>
    </row>
    <row r="361" spans="1:13">
      <c r="A361" t="s">
        <v>429</v>
      </c>
      <c r="B361" t="s">
        <v>20</v>
      </c>
      <c r="C361" t="s">
        <v>21</v>
      </c>
      <c r="D361" t="s">
        <v>27</v>
      </c>
      <c r="E361">
        <v>61</v>
      </c>
      <c r="F361" t="s">
        <v>22</v>
      </c>
      <c r="G361" t="s">
        <v>31</v>
      </c>
      <c r="H361">
        <v>86</v>
      </c>
      <c r="I361">
        <v>4400</v>
      </c>
      <c r="J361">
        <v>6.86</v>
      </c>
      <c r="K361">
        <v>69</v>
      </c>
      <c r="L361">
        <v>4</v>
      </c>
      <c r="M361">
        <v>11985</v>
      </c>
    </row>
    <row r="362" spans="1:13">
      <c r="A362" t="s">
        <v>430</v>
      </c>
      <c r="B362" t="s">
        <v>74</v>
      </c>
      <c r="C362" t="s">
        <v>45</v>
      </c>
      <c r="D362" t="s">
        <v>27</v>
      </c>
      <c r="E362">
        <v>34</v>
      </c>
      <c r="F362" t="s">
        <v>17</v>
      </c>
      <c r="G362" t="s">
        <v>31</v>
      </c>
      <c r="H362">
        <v>73</v>
      </c>
      <c r="I362">
        <v>8303</v>
      </c>
      <c r="J362">
        <v>16.82</v>
      </c>
      <c r="K362">
        <v>112</v>
      </c>
      <c r="L362">
        <v>3</v>
      </c>
      <c r="M362">
        <v>22390</v>
      </c>
    </row>
    <row r="363" spans="1:13">
      <c r="A363" t="s">
        <v>431</v>
      </c>
      <c r="B363" t="s">
        <v>25</v>
      </c>
      <c r="C363" t="s">
        <v>39</v>
      </c>
      <c r="D363" t="s">
        <v>27</v>
      </c>
      <c r="E363">
        <v>10</v>
      </c>
      <c r="F363" t="s">
        <v>22</v>
      </c>
      <c r="G363" t="s">
        <v>23</v>
      </c>
      <c r="H363">
        <v>93</v>
      </c>
      <c r="I363">
        <v>3151</v>
      </c>
      <c r="J363">
        <v>6.5</v>
      </c>
      <c r="K363">
        <v>59</v>
      </c>
      <c r="L363">
        <v>4</v>
      </c>
      <c r="M363">
        <v>10747</v>
      </c>
    </row>
    <row r="364" spans="1:13">
      <c r="A364" t="s">
        <v>432</v>
      </c>
      <c r="B364" t="s">
        <v>36</v>
      </c>
      <c r="C364" t="s">
        <v>21</v>
      </c>
      <c r="D364" t="s">
        <v>16</v>
      </c>
      <c r="E364">
        <v>39</v>
      </c>
      <c r="F364" t="s">
        <v>34</v>
      </c>
      <c r="G364" t="s">
        <v>70</v>
      </c>
      <c r="H364">
        <v>79</v>
      </c>
      <c r="I364">
        <v>7527</v>
      </c>
      <c r="J364">
        <v>16.36</v>
      </c>
      <c r="K364">
        <v>84</v>
      </c>
      <c r="L364">
        <v>4</v>
      </c>
      <c r="M364">
        <v>21726</v>
      </c>
    </row>
    <row r="365" spans="1:13">
      <c r="A365" t="s">
        <v>433</v>
      </c>
      <c r="B365" t="s">
        <v>78</v>
      </c>
      <c r="C365" t="s">
        <v>15</v>
      </c>
      <c r="D365" t="s">
        <v>27</v>
      </c>
      <c r="E365">
        <v>24</v>
      </c>
      <c r="F365" t="s">
        <v>34</v>
      </c>
      <c r="G365" t="s">
        <v>70</v>
      </c>
      <c r="H365">
        <v>72</v>
      </c>
      <c r="I365">
        <v>7139</v>
      </c>
      <c r="J365">
        <v>9.36</v>
      </c>
      <c r="K365">
        <v>62</v>
      </c>
      <c r="L365">
        <v>4</v>
      </c>
      <c r="M365">
        <v>26687</v>
      </c>
    </row>
    <row r="366" spans="1:13">
      <c r="A366" t="s">
        <v>434</v>
      </c>
      <c r="B366" t="s">
        <v>25</v>
      </c>
      <c r="C366" t="s">
        <v>39</v>
      </c>
      <c r="D366" t="s">
        <v>27</v>
      </c>
      <c r="E366">
        <v>6</v>
      </c>
      <c r="F366" t="s">
        <v>17</v>
      </c>
      <c r="G366" t="s">
        <v>23</v>
      </c>
      <c r="H366">
        <v>82</v>
      </c>
      <c r="I366">
        <v>3329</v>
      </c>
      <c r="J366">
        <v>6.98</v>
      </c>
      <c r="K366">
        <v>70</v>
      </c>
      <c r="L366">
        <v>4</v>
      </c>
      <c r="M366">
        <v>12452</v>
      </c>
    </row>
    <row r="367" spans="1:13">
      <c r="A367" t="s">
        <v>435</v>
      </c>
      <c r="B367" t="s">
        <v>36</v>
      </c>
      <c r="C367" t="s">
        <v>21</v>
      </c>
      <c r="D367" t="s">
        <v>16</v>
      </c>
      <c r="E367">
        <v>59</v>
      </c>
      <c r="F367" t="s">
        <v>22</v>
      </c>
      <c r="G367" t="s">
        <v>23</v>
      </c>
      <c r="H367">
        <v>74</v>
      </c>
      <c r="I367">
        <v>7884</v>
      </c>
      <c r="J367">
        <v>6.44</v>
      </c>
      <c r="K367">
        <v>90</v>
      </c>
      <c r="L367">
        <v>4</v>
      </c>
      <c r="M367">
        <v>43408</v>
      </c>
    </row>
    <row r="368" spans="1:13">
      <c r="A368" t="s">
        <v>436</v>
      </c>
      <c r="B368" t="s">
        <v>150</v>
      </c>
      <c r="C368" t="s">
        <v>48</v>
      </c>
      <c r="D368" t="s">
        <v>16</v>
      </c>
      <c r="E368">
        <v>63</v>
      </c>
      <c r="F368" t="s">
        <v>17</v>
      </c>
      <c r="G368" t="s">
        <v>49</v>
      </c>
      <c r="H368">
        <v>88</v>
      </c>
      <c r="I368">
        <v>6504</v>
      </c>
      <c r="J368">
        <v>14.43</v>
      </c>
      <c r="K368">
        <v>84</v>
      </c>
      <c r="L368">
        <v>4</v>
      </c>
      <c r="M368">
        <v>19910</v>
      </c>
    </row>
    <row r="369" spans="1:13">
      <c r="A369" t="s">
        <v>437</v>
      </c>
      <c r="B369" t="s">
        <v>122</v>
      </c>
      <c r="C369" t="s">
        <v>48</v>
      </c>
      <c r="D369" t="s">
        <v>27</v>
      </c>
      <c r="E369">
        <v>25</v>
      </c>
      <c r="F369" t="s">
        <v>17</v>
      </c>
      <c r="G369" t="s">
        <v>23</v>
      </c>
      <c r="H369">
        <v>77</v>
      </c>
      <c r="I369">
        <v>4755</v>
      </c>
      <c r="J369">
        <v>14.98</v>
      </c>
      <c r="K369">
        <v>85</v>
      </c>
      <c r="L369">
        <v>5</v>
      </c>
      <c r="M369">
        <v>14572</v>
      </c>
    </row>
    <row r="370" spans="1:13">
      <c r="A370" t="s">
        <v>438</v>
      </c>
      <c r="B370" t="s">
        <v>68</v>
      </c>
      <c r="C370" t="s">
        <v>45</v>
      </c>
      <c r="D370" t="s">
        <v>16</v>
      </c>
      <c r="E370">
        <v>30</v>
      </c>
      <c r="F370" t="s">
        <v>34</v>
      </c>
      <c r="G370" t="s">
        <v>23</v>
      </c>
      <c r="H370">
        <v>91</v>
      </c>
      <c r="I370">
        <v>8609</v>
      </c>
      <c r="J370">
        <v>15.77</v>
      </c>
      <c r="K370">
        <v>69</v>
      </c>
      <c r="L370">
        <v>5</v>
      </c>
      <c r="M370">
        <v>28915</v>
      </c>
    </row>
    <row r="371" spans="1:13">
      <c r="A371" t="s">
        <v>439</v>
      </c>
      <c r="B371" t="s">
        <v>25</v>
      </c>
      <c r="C371" t="s">
        <v>39</v>
      </c>
      <c r="D371" t="s">
        <v>16</v>
      </c>
      <c r="E371">
        <v>13</v>
      </c>
      <c r="F371" t="s">
        <v>22</v>
      </c>
      <c r="G371" t="s">
        <v>49</v>
      </c>
      <c r="H371">
        <v>87</v>
      </c>
      <c r="I371">
        <v>2557</v>
      </c>
      <c r="J371">
        <v>5.21</v>
      </c>
      <c r="K371">
        <v>48</v>
      </c>
      <c r="L371">
        <v>5</v>
      </c>
      <c r="M371">
        <v>11376</v>
      </c>
    </row>
    <row r="372" spans="1:13">
      <c r="A372" t="s">
        <v>440</v>
      </c>
      <c r="B372" t="s">
        <v>150</v>
      </c>
      <c r="C372" t="s">
        <v>48</v>
      </c>
      <c r="D372" t="s">
        <v>16</v>
      </c>
      <c r="E372">
        <v>13</v>
      </c>
      <c r="F372" t="s">
        <v>22</v>
      </c>
      <c r="G372" t="s">
        <v>31</v>
      </c>
      <c r="H372">
        <v>79</v>
      </c>
      <c r="I372">
        <v>8245</v>
      </c>
      <c r="J372">
        <v>13.56</v>
      </c>
      <c r="K372">
        <v>37</v>
      </c>
      <c r="L372">
        <v>4</v>
      </c>
      <c r="M372">
        <v>35044</v>
      </c>
    </row>
    <row r="373" spans="1:13">
      <c r="A373" t="s">
        <v>441</v>
      </c>
      <c r="B373" t="s">
        <v>129</v>
      </c>
      <c r="C373" t="s">
        <v>21</v>
      </c>
      <c r="D373" t="s">
        <v>16</v>
      </c>
      <c r="E373">
        <v>65</v>
      </c>
      <c r="F373" t="s">
        <v>17</v>
      </c>
      <c r="G373" t="s">
        <v>18</v>
      </c>
      <c r="H373">
        <v>74</v>
      </c>
      <c r="I373">
        <v>7213</v>
      </c>
      <c r="J373">
        <v>23.88</v>
      </c>
      <c r="K373">
        <v>85</v>
      </c>
      <c r="L373">
        <v>3</v>
      </c>
      <c r="M373">
        <v>20991</v>
      </c>
    </row>
    <row r="374" spans="1:13">
      <c r="A374" t="s">
        <v>442</v>
      </c>
      <c r="B374" t="s">
        <v>143</v>
      </c>
      <c r="C374" t="s">
        <v>21</v>
      </c>
      <c r="D374" t="s">
        <v>16</v>
      </c>
      <c r="E374">
        <v>27</v>
      </c>
      <c r="F374" t="s">
        <v>17</v>
      </c>
      <c r="G374" t="s">
        <v>40</v>
      </c>
      <c r="H374">
        <v>80</v>
      </c>
      <c r="I374">
        <v>5205</v>
      </c>
      <c r="J374">
        <v>17.600000000000001</v>
      </c>
      <c r="K374">
        <v>81</v>
      </c>
      <c r="L374">
        <v>4</v>
      </c>
      <c r="M374">
        <v>16734</v>
      </c>
    </row>
    <row r="375" spans="1:13">
      <c r="A375" t="s">
        <v>443</v>
      </c>
      <c r="B375" t="s">
        <v>54</v>
      </c>
      <c r="C375" t="s">
        <v>39</v>
      </c>
      <c r="D375" t="s">
        <v>16</v>
      </c>
      <c r="E375">
        <v>4</v>
      </c>
      <c r="F375" t="s">
        <v>22</v>
      </c>
      <c r="G375" t="s">
        <v>18</v>
      </c>
      <c r="H375">
        <v>95</v>
      </c>
      <c r="I375">
        <v>2972</v>
      </c>
      <c r="J375">
        <v>4.9400000000000004</v>
      </c>
      <c r="K375">
        <v>65</v>
      </c>
      <c r="L375">
        <v>5</v>
      </c>
      <c r="M375">
        <v>14593</v>
      </c>
    </row>
    <row r="376" spans="1:13">
      <c r="A376" t="s">
        <v>444</v>
      </c>
      <c r="B376" t="s">
        <v>14</v>
      </c>
      <c r="C376" t="s">
        <v>15</v>
      </c>
      <c r="D376" t="s">
        <v>27</v>
      </c>
      <c r="E376">
        <v>50</v>
      </c>
      <c r="F376" t="s">
        <v>22</v>
      </c>
      <c r="G376" t="s">
        <v>31</v>
      </c>
      <c r="H376">
        <v>71</v>
      </c>
      <c r="I376">
        <v>7520</v>
      </c>
      <c r="J376">
        <v>17.559999999999999</v>
      </c>
      <c r="K376">
        <v>120</v>
      </c>
      <c r="L376">
        <v>4</v>
      </c>
      <c r="M376">
        <v>27581</v>
      </c>
    </row>
    <row r="377" spans="1:13">
      <c r="A377" t="s">
        <v>445</v>
      </c>
      <c r="B377" t="s">
        <v>44</v>
      </c>
      <c r="C377" t="s">
        <v>45</v>
      </c>
      <c r="D377" t="s">
        <v>27</v>
      </c>
      <c r="E377">
        <v>40</v>
      </c>
      <c r="F377" t="s">
        <v>34</v>
      </c>
      <c r="G377" t="s">
        <v>49</v>
      </c>
      <c r="H377">
        <v>71</v>
      </c>
      <c r="I377">
        <v>9600</v>
      </c>
      <c r="J377">
        <v>15.81</v>
      </c>
      <c r="K377">
        <v>123</v>
      </c>
      <c r="L377">
        <v>4</v>
      </c>
      <c r="M377">
        <v>26543</v>
      </c>
    </row>
    <row r="378" spans="1:13">
      <c r="A378" t="s">
        <v>446</v>
      </c>
      <c r="B378" t="s">
        <v>54</v>
      </c>
      <c r="C378" t="s">
        <v>15</v>
      </c>
      <c r="D378" t="s">
        <v>72</v>
      </c>
      <c r="E378">
        <v>69</v>
      </c>
      <c r="F378" t="s">
        <v>22</v>
      </c>
      <c r="G378" t="s">
        <v>23</v>
      </c>
      <c r="H378">
        <v>82</v>
      </c>
      <c r="I378">
        <v>6940</v>
      </c>
      <c r="J378">
        <v>16.23</v>
      </c>
      <c r="K378">
        <v>75</v>
      </c>
      <c r="L378">
        <v>3</v>
      </c>
      <c r="M378">
        <v>40864</v>
      </c>
    </row>
    <row r="379" spans="1:13">
      <c r="A379" t="s">
        <v>447</v>
      </c>
      <c r="B379" t="s">
        <v>168</v>
      </c>
      <c r="C379" t="s">
        <v>45</v>
      </c>
      <c r="D379" t="s">
        <v>16</v>
      </c>
      <c r="E379">
        <v>48</v>
      </c>
      <c r="F379" t="s">
        <v>34</v>
      </c>
      <c r="G379" t="s">
        <v>18</v>
      </c>
      <c r="H379">
        <v>76</v>
      </c>
      <c r="I379">
        <v>8650</v>
      </c>
      <c r="J379">
        <v>14.35</v>
      </c>
      <c r="K379">
        <v>83</v>
      </c>
      <c r="L379">
        <v>4</v>
      </c>
      <c r="M379">
        <v>51814</v>
      </c>
    </row>
    <row r="380" spans="1:13">
      <c r="A380" t="s">
        <v>448</v>
      </c>
      <c r="B380" t="s">
        <v>143</v>
      </c>
      <c r="C380" t="s">
        <v>21</v>
      </c>
      <c r="D380" t="s">
        <v>27</v>
      </c>
      <c r="E380">
        <v>7</v>
      </c>
      <c r="F380" t="s">
        <v>17</v>
      </c>
      <c r="G380" t="s">
        <v>23</v>
      </c>
      <c r="H380">
        <v>74</v>
      </c>
      <c r="I380">
        <v>5674</v>
      </c>
      <c r="J380">
        <v>10.24</v>
      </c>
      <c r="K380">
        <v>102</v>
      </c>
      <c r="L380">
        <v>4</v>
      </c>
      <c r="M380">
        <v>21524</v>
      </c>
    </row>
    <row r="381" spans="1:13">
      <c r="A381" t="s">
        <v>449</v>
      </c>
      <c r="B381" t="s">
        <v>129</v>
      </c>
      <c r="C381" t="s">
        <v>21</v>
      </c>
      <c r="D381" t="s">
        <v>27</v>
      </c>
      <c r="E381">
        <v>80</v>
      </c>
      <c r="F381" t="s">
        <v>34</v>
      </c>
      <c r="G381" t="s">
        <v>31</v>
      </c>
      <c r="H381">
        <v>74</v>
      </c>
      <c r="I381">
        <v>8176</v>
      </c>
      <c r="J381">
        <v>18.87</v>
      </c>
      <c r="K381">
        <v>84</v>
      </c>
      <c r="L381">
        <v>5</v>
      </c>
      <c r="M381">
        <v>20592</v>
      </c>
    </row>
    <row r="382" spans="1:13">
      <c r="A382" t="s">
        <v>450</v>
      </c>
      <c r="B382" t="s">
        <v>62</v>
      </c>
      <c r="C382" t="s">
        <v>52</v>
      </c>
      <c r="D382" t="s">
        <v>16</v>
      </c>
      <c r="E382">
        <v>56</v>
      </c>
      <c r="F382" t="s">
        <v>22</v>
      </c>
      <c r="G382" t="s">
        <v>40</v>
      </c>
      <c r="H382">
        <v>78</v>
      </c>
      <c r="I382">
        <v>6825</v>
      </c>
      <c r="J382">
        <v>14.33</v>
      </c>
      <c r="K382">
        <v>93</v>
      </c>
      <c r="L382">
        <v>4</v>
      </c>
      <c r="M382">
        <v>35741</v>
      </c>
    </row>
    <row r="383" spans="1:13">
      <c r="A383" t="s">
        <v>451</v>
      </c>
      <c r="B383" t="s">
        <v>80</v>
      </c>
      <c r="C383" t="s">
        <v>15</v>
      </c>
      <c r="D383" t="s">
        <v>27</v>
      </c>
      <c r="E383">
        <v>60</v>
      </c>
      <c r="F383" t="s">
        <v>22</v>
      </c>
      <c r="G383" t="s">
        <v>40</v>
      </c>
      <c r="H383">
        <v>80</v>
      </c>
      <c r="I383">
        <v>5398</v>
      </c>
      <c r="J383">
        <v>16.23</v>
      </c>
      <c r="K383">
        <v>97</v>
      </c>
      <c r="L383">
        <v>5</v>
      </c>
      <c r="M383">
        <v>27518</v>
      </c>
    </row>
    <row r="384" spans="1:13">
      <c r="A384" t="s">
        <v>452</v>
      </c>
      <c r="B384" t="s">
        <v>129</v>
      </c>
      <c r="C384" t="s">
        <v>21</v>
      </c>
      <c r="D384" t="s">
        <v>16</v>
      </c>
      <c r="E384">
        <v>36</v>
      </c>
      <c r="F384" t="s">
        <v>17</v>
      </c>
      <c r="G384" t="s">
        <v>49</v>
      </c>
      <c r="H384">
        <v>78</v>
      </c>
      <c r="I384">
        <v>6885</v>
      </c>
      <c r="J384">
        <v>16.850000000000001</v>
      </c>
      <c r="K384">
        <v>80</v>
      </c>
      <c r="L384">
        <v>4</v>
      </c>
      <c r="M384">
        <v>31602</v>
      </c>
    </row>
    <row r="385" spans="1:13">
      <c r="A385" t="s">
        <v>453</v>
      </c>
      <c r="B385" t="s">
        <v>84</v>
      </c>
      <c r="C385" t="s">
        <v>21</v>
      </c>
      <c r="D385" t="s">
        <v>16</v>
      </c>
      <c r="E385">
        <v>60</v>
      </c>
      <c r="F385" t="s">
        <v>17</v>
      </c>
      <c r="G385" t="s">
        <v>18</v>
      </c>
      <c r="H385">
        <v>73</v>
      </c>
      <c r="I385">
        <v>8924</v>
      </c>
      <c r="J385">
        <v>19.440000000000001</v>
      </c>
      <c r="K385">
        <v>96</v>
      </c>
      <c r="L385">
        <v>3</v>
      </c>
      <c r="M385">
        <v>44685</v>
      </c>
    </row>
    <row r="386" spans="1:13">
      <c r="A386" t="s">
        <v>454</v>
      </c>
      <c r="B386" t="s">
        <v>42</v>
      </c>
      <c r="C386" t="s">
        <v>39</v>
      </c>
      <c r="D386" t="s">
        <v>27</v>
      </c>
      <c r="E386">
        <v>12</v>
      </c>
      <c r="F386" t="s">
        <v>17</v>
      </c>
      <c r="G386" t="s">
        <v>23</v>
      </c>
      <c r="H386">
        <v>85</v>
      </c>
      <c r="I386">
        <v>2346</v>
      </c>
      <c r="J386">
        <v>4.8600000000000003</v>
      </c>
      <c r="K386">
        <v>46</v>
      </c>
      <c r="L386">
        <v>4</v>
      </c>
      <c r="M386">
        <v>13319</v>
      </c>
    </row>
    <row r="387" spans="1:13">
      <c r="A387" t="s">
        <v>455</v>
      </c>
      <c r="B387" t="s">
        <v>29</v>
      </c>
      <c r="C387" t="s">
        <v>30</v>
      </c>
      <c r="D387" t="s">
        <v>27</v>
      </c>
      <c r="E387">
        <v>17</v>
      </c>
      <c r="F387" t="s">
        <v>17</v>
      </c>
      <c r="G387" t="s">
        <v>49</v>
      </c>
      <c r="H387">
        <v>79</v>
      </c>
      <c r="I387">
        <v>3655</v>
      </c>
      <c r="J387">
        <v>16.079999999999998</v>
      </c>
      <c r="K387">
        <v>110</v>
      </c>
      <c r="L387">
        <v>4</v>
      </c>
      <c r="M387">
        <v>17574</v>
      </c>
    </row>
    <row r="388" spans="1:13">
      <c r="A388" t="s">
        <v>456</v>
      </c>
      <c r="B388" t="s">
        <v>137</v>
      </c>
      <c r="C388" t="s">
        <v>26</v>
      </c>
      <c r="D388" t="s">
        <v>16</v>
      </c>
      <c r="E388">
        <v>31</v>
      </c>
      <c r="F388" t="s">
        <v>34</v>
      </c>
      <c r="G388" t="s">
        <v>31</v>
      </c>
      <c r="H388">
        <v>84</v>
      </c>
      <c r="I388">
        <v>1954</v>
      </c>
      <c r="J388">
        <v>8.56</v>
      </c>
      <c r="K388">
        <v>62</v>
      </c>
      <c r="L388">
        <v>4</v>
      </c>
      <c r="M388">
        <v>7104</v>
      </c>
    </row>
    <row r="389" spans="1:13">
      <c r="A389" t="s">
        <v>457</v>
      </c>
      <c r="B389" t="s">
        <v>150</v>
      </c>
      <c r="C389" t="s">
        <v>48</v>
      </c>
      <c r="D389" t="s">
        <v>16</v>
      </c>
      <c r="E389">
        <v>28</v>
      </c>
      <c r="F389" t="s">
        <v>22</v>
      </c>
      <c r="G389" t="s">
        <v>70</v>
      </c>
      <c r="H389">
        <v>72</v>
      </c>
      <c r="I389">
        <v>4784</v>
      </c>
      <c r="J389">
        <v>14.8</v>
      </c>
      <c r="K389">
        <v>62</v>
      </c>
      <c r="L389">
        <v>4</v>
      </c>
      <c r="M389">
        <v>23044</v>
      </c>
    </row>
    <row r="390" spans="1:13">
      <c r="A390" t="s">
        <v>458</v>
      </c>
      <c r="B390" t="s">
        <v>122</v>
      </c>
      <c r="C390" t="s">
        <v>48</v>
      </c>
      <c r="D390" t="s">
        <v>27</v>
      </c>
      <c r="E390">
        <v>56</v>
      </c>
      <c r="F390" t="s">
        <v>17</v>
      </c>
      <c r="G390" t="s">
        <v>18</v>
      </c>
      <c r="H390">
        <v>78</v>
      </c>
      <c r="I390">
        <v>5163</v>
      </c>
      <c r="J390">
        <v>14.33</v>
      </c>
      <c r="K390">
        <v>87</v>
      </c>
      <c r="L390">
        <v>4</v>
      </c>
      <c r="M390">
        <v>19563</v>
      </c>
    </row>
    <row r="391" spans="1:13">
      <c r="A391" t="s">
        <v>459</v>
      </c>
      <c r="B391" t="s">
        <v>168</v>
      </c>
      <c r="C391" t="s">
        <v>45</v>
      </c>
      <c r="D391" t="s">
        <v>16</v>
      </c>
      <c r="E391">
        <v>35</v>
      </c>
      <c r="F391" t="s">
        <v>17</v>
      </c>
      <c r="G391" t="s">
        <v>40</v>
      </c>
      <c r="H391">
        <v>71</v>
      </c>
      <c r="I391">
        <v>8401</v>
      </c>
      <c r="J391">
        <v>18.97</v>
      </c>
      <c r="K391">
        <v>93</v>
      </c>
      <c r="L391">
        <v>4</v>
      </c>
      <c r="M391">
        <v>40610</v>
      </c>
    </row>
    <row r="392" spans="1:13">
      <c r="A392" t="s">
        <v>460</v>
      </c>
      <c r="B392" t="s">
        <v>129</v>
      </c>
      <c r="C392" t="s">
        <v>21</v>
      </c>
      <c r="D392" t="s">
        <v>16</v>
      </c>
      <c r="E392">
        <v>58</v>
      </c>
      <c r="F392" t="s">
        <v>34</v>
      </c>
      <c r="G392" t="s">
        <v>31</v>
      </c>
      <c r="H392">
        <v>77</v>
      </c>
      <c r="I392">
        <v>6071</v>
      </c>
      <c r="J392">
        <v>17.93</v>
      </c>
      <c r="K392">
        <v>83</v>
      </c>
      <c r="L392">
        <v>4</v>
      </c>
      <c r="M392">
        <v>20468</v>
      </c>
    </row>
    <row r="393" spans="1:13">
      <c r="A393" t="s">
        <v>461</v>
      </c>
      <c r="B393" t="s">
        <v>54</v>
      </c>
      <c r="C393" t="s">
        <v>39</v>
      </c>
      <c r="D393" t="s">
        <v>27</v>
      </c>
      <c r="E393">
        <v>17</v>
      </c>
      <c r="F393" t="s">
        <v>34</v>
      </c>
      <c r="G393" t="s">
        <v>49</v>
      </c>
      <c r="H393">
        <v>87</v>
      </c>
      <c r="I393">
        <v>3696</v>
      </c>
      <c r="J393">
        <v>4.75</v>
      </c>
      <c r="K393">
        <v>62</v>
      </c>
      <c r="L393">
        <v>4</v>
      </c>
      <c r="M393">
        <v>22145</v>
      </c>
    </row>
    <row r="394" spans="1:13">
      <c r="A394" t="s">
        <v>462</v>
      </c>
      <c r="B394" t="s">
        <v>80</v>
      </c>
      <c r="C394" t="s">
        <v>15</v>
      </c>
      <c r="D394" t="s">
        <v>27</v>
      </c>
      <c r="E394">
        <v>24</v>
      </c>
      <c r="F394" t="s">
        <v>17</v>
      </c>
      <c r="G394" t="s">
        <v>40</v>
      </c>
      <c r="H394">
        <v>79</v>
      </c>
      <c r="I394">
        <v>6944</v>
      </c>
      <c r="J394">
        <v>15.46</v>
      </c>
      <c r="K394">
        <v>80</v>
      </c>
      <c r="L394">
        <v>5</v>
      </c>
      <c r="M394">
        <v>24961</v>
      </c>
    </row>
    <row r="395" spans="1:13">
      <c r="A395" t="s">
        <v>463</v>
      </c>
      <c r="B395" t="s">
        <v>68</v>
      </c>
      <c r="C395" t="s">
        <v>45</v>
      </c>
      <c r="D395" t="s">
        <v>27</v>
      </c>
      <c r="E395">
        <v>20</v>
      </c>
      <c r="F395" t="s">
        <v>17</v>
      </c>
      <c r="G395" t="s">
        <v>40</v>
      </c>
      <c r="H395">
        <v>77</v>
      </c>
      <c r="I395">
        <v>11402</v>
      </c>
      <c r="J395">
        <v>19.52</v>
      </c>
      <c r="K395">
        <v>108</v>
      </c>
      <c r="L395">
        <v>5</v>
      </c>
      <c r="M395">
        <v>53431</v>
      </c>
    </row>
    <row r="396" spans="1:13">
      <c r="A396" t="s">
        <v>464</v>
      </c>
      <c r="B396" t="s">
        <v>137</v>
      </c>
      <c r="C396" t="s">
        <v>26</v>
      </c>
      <c r="D396" t="s">
        <v>27</v>
      </c>
      <c r="E396">
        <v>49</v>
      </c>
      <c r="F396" t="s">
        <v>17</v>
      </c>
      <c r="G396" t="s">
        <v>40</v>
      </c>
      <c r="H396">
        <v>83</v>
      </c>
      <c r="I396">
        <v>2572</v>
      </c>
      <c r="J396">
        <v>5.0999999999999996</v>
      </c>
      <c r="K396">
        <v>65</v>
      </c>
      <c r="L396">
        <v>5</v>
      </c>
      <c r="M396">
        <v>12797</v>
      </c>
    </row>
    <row r="397" spans="1:13">
      <c r="A397" t="s">
        <v>465</v>
      </c>
      <c r="B397" t="s">
        <v>66</v>
      </c>
      <c r="C397" t="s">
        <v>39</v>
      </c>
      <c r="D397" t="s">
        <v>16</v>
      </c>
      <c r="E397">
        <v>17</v>
      </c>
      <c r="F397" t="s">
        <v>34</v>
      </c>
      <c r="G397" t="s">
        <v>49</v>
      </c>
      <c r="H397">
        <v>84</v>
      </c>
      <c r="I397">
        <v>3422</v>
      </c>
      <c r="J397">
        <v>8.64</v>
      </c>
      <c r="K397">
        <v>48</v>
      </c>
      <c r="L397">
        <v>4</v>
      </c>
      <c r="M397">
        <v>14874</v>
      </c>
    </row>
    <row r="398" spans="1:13">
      <c r="A398" t="s">
        <v>466</v>
      </c>
      <c r="B398" t="s">
        <v>168</v>
      </c>
      <c r="C398" t="s">
        <v>45</v>
      </c>
      <c r="D398" t="s">
        <v>16</v>
      </c>
      <c r="E398">
        <v>57</v>
      </c>
      <c r="F398" t="s">
        <v>34</v>
      </c>
      <c r="G398" t="s">
        <v>23</v>
      </c>
      <c r="H398">
        <v>82</v>
      </c>
      <c r="I398">
        <v>7933</v>
      </c>
      <c r="J398">
        <v>17.489999999999998</v>
      </c>
      <c r="K398">
        <v>112</v>
      </c>
      <c r="L398">
        <v>4</v>
      </c>
      <c r="M398">
        <v>38644</v>
      </c>
    </row>
    <row r="399" spans="1:13">
      <c r="A399" t="s">
        <v>467</v>
      </c>
      <c r="B399" t="s">
        <v>88</v>
      </c>
      <c r="C399" t="s">
        <v>15</v>
      </c>
      <c r="D399" t="s">
        <v>16</v>
      </c>
      <c r="E399">
        <v>56</v>
      </c>
      <c r="F399" t="s">
        <v>17</v>
      </c>
      <c r="G399" t="s">
        <v>18</v>
      </c>
      <c r="H399">
        <v>85</v>
      </c>
      <c r="I399">
        <v>7001</v>
      </c>
      <c r="J399">
        <v>10.89</v>
      </c>
      <c r="K399">
        <v>81</v>
      </c>
      <c r="L399">
        <v>5</v>
      </c>
      <c r="M399">
        <v>33396</v>
      </c>
    </row>
    <row r="400" spans="1:13">
      <c r="A400" t="s">
        <v>468</v>
      </c>
      <c r="B400" t="s">
        <v>38</v>
      </c>
      <c r="C400" t="s">
        <v>39</v>
      </c>
      <c r="D400" t="s">
        <v>27</v>
      </c>
      <c r="E400">
        <v>18</v>
      </c>
      <c r="F400" t="s">
        <v>34</v>
      </c>
      <c r="G400" t="s">
        <v>49</v>
      </c>
      <c r="H400">
        <v>84</v>
      </c>
      <c r="I400">
        <v>3738</v>
      </c>
      <c r="J400">
        <v>14.74</v>
      </c>
      <c r="K400">
        <v>50</v>
      </c>
      <c r="L400">
        <v>4</v>
      </c>
      <c r="M400">
        <v>15300</v>
      </c>
    </row>
    <row r="401" spans="1:13">
      <c r="A401" t="s">
        <v>469</v>
      </c>
      <c r="B401" t="s">
        <v>56</v>
      </c>
      <c r="C401" t="s">
        <v>45</v>
      </c>
      <c r="D401" t="s">
        <v>16</v>
      </c>
      <c r="E401">
        <v>64</v>
      </c>
      <c r="F401" t="s">
        <v>17</v>
      </c>
      <c r="G401" t="s">
        <v>70</v>
      </c>
      <c r="H401">
        <v>75</v>
      </c>
      <c r="I401">
        <v>9941</v>
      </c>
      <c r="J401">
        <v>22.32</v>
      </c>
      <c r="K401">
        <v>104</v>
      </c>
      <c r="L401">
        <v>4</v>
      </c>
      <c r="M401">
        <v>52785</v>
      </c>
    </row>
    <row r="402" spans="1:13">
      <c r="A402" t="s">
        <v>470</v>
      </c>
      <c r="B402" t="s">
        <v>129</v>
      </c>
      <c r="C402" t="s">
        <v>21</v>
      </c>
      <c r="D402" t="s">
        <v>16</v>
      </c>
      <c r="E402">
        <v>45</v>
      </c>
      <c r="F402" t="s">
        <v>34</v>
      </c>
      <c r="G402" t="s">
        <v>40</v>
      </c>
      <c r="H402">
        <v>77</v>
      </c>
      <c r="I402">
        <v>3211</v>
      </c>
      <c r="J402">
        <v>13.81</v>
      </c>
      <c r="K402">
        <v>101</v>
      </c>
      <c r="L402">
        <v>3</v>
      </c>
      <c r="M402">
        <v>11140</v>
      </c>
    </row>
    <row r="403" spans="1:13">
      <c r="A403" t="s">
        <v>471</v>
      </c>
      <c r="B403" t="s">
        <v>187</v>
      </c>
      <c r="C403" t="s">
        <v>30</v>
      </c>
      <c r="D403" t="s">
        <v>27</v>
      </c>
      <c r="E403">
        <v>48</v>
      </c>
      <c r="F403" t="s">
        <v>22</v>
      </c>
      <c r="G403" t="s">
        <v>18</v>
      </c>
      <c r="H403">
        <v>64</v>
      </c>
      <c r="I403">
        <v>2282</v>
      </c>
      <c r="J403">
        <v>22.45</v>
      </c>
      <c r="K403">
        <v>125</v>
      </c>
      <c r="L403">
        <v>3</v>
      </c>
      <c r="M403">
        <v>10551</v>
      </c>
    </row>
    <row r="404" spans="1:13">
      <c r="A404" t="s">
        <v>472</v>
      </c>
      <c r="B404" t="s">
        <v>42</v>
      </c>
      <c r="C404" t="s">
        <v>39</v>
      </c>
      <c r="D404" t="s">
        <v>27</v>
      </c>
      <c r="E404">
        <v>16</v>
      </c>
      <c r="F404" t="s">
        <v>34</v>
      </c>
      <c r="G404" t="s">
        <v>49</v>
      </c>
      <c r="H404">
        <v>88</v>
      </c>
      <c r="I404">
        <v>3377</v>
      </c>
      <c r="J404">
        <v>4.78</v>
      </c>
      <c r="K404">
        <v>72</v>
      </c>
      <c r="L404">
        <v>4</v>
      </c>
      <c r="M404">
        <v>20229</v>
      </c>
    </row>
    <row r="405" spans="1:13">
      <c r="A405" t="s">
        <v>473</v>
      </c>
      <c r="B405" t="s">
        <v>44</v>
      </c>
      <c r="C405" t="s">
        <v>45</v>
      </c>
      <c r="D405" t="s">
        <v>27</v>
      </c>
      <c r="E405">
        <v>50</v>
      </c>
      <c r="F405" t="s">
        <v>22</v>
      </c>
      <c r="G405" t="s">
        <v>31</v>
      </c>
      <c r="H405">
        <v>74</v>
      </c>
      <c r="I405">
        <v>11146</v>
      </c>
      <c r="J405">
        <v>16.52</v>
      </c>
      <c r="K405">
        <v>96</v>
      </c>
      <c r="L405">
        <v>4</v>
      </c>
      <c r="M405">
        <v>30479</v>
      </c>
    </row>
    <row r="406" spans="1:13">
      <c r="A406" t="s">
        <v>474</v>
      </c>
      <c r="B406" t="s">
        <v>54</v>
      </c>
      <c r="C406" t="s">
        <v>15</v>
      </c>
      <c r="D406" t="s">
        <v>72</v>
      </c>
      <c r="E406">
        <v>40</v>
      </c>
      <c r="F406" t="s">
        <v>34</v>
      </c>
      <c r="G406" t="s">
        <v>40</v>
      </c>
      <c r="H406">
        <v>79</v>
      </c>
      <c r="I406">
        <v>6752</v>
      </c>
      <c r="J406">
        <v>9.81</v>
      </c>
      <c r="K406">
        <v>70</v>
      </c>
      <c r="L406">
        <v>4</v>
      </c>
      <c r="M406">
        <v>20838</v>
      </c>
    </row>
    <row r="407" spans="1:13">
      <c r="A407" t="s">
        <v>475</v>
      </c>
      <c r="B407" t="s">
        <v>42</v>
      </c>
      <c r="C407" t="s">
        <v>39</v>
      </c>
      <c r="D407" t="s">
        <v>16</v>
      </c>
      <c r="E407">
        <v>10</v>
      </c>
      <c r="F407" t="s">
        <v>17</v>
      </c>
      <c r="G407" t="s">
        <v>18</v>
      </c>
      <c r="H407">
        <v>78</v>
      </c>
      <c r="I407">
        <v>2632</v>
      </c>
      <c r="J407">
        <v>12.21</v>
      </c>
      <c r="K407">
        <v>50</v>
      </c>
      <c r="L407">
        <v>4</v>
      </c>
      <c r="M407">
        <v>7774</v>
      </c>
    </row>
    <row r="408" spans="1:13">
      <c r="A408" t="s">
        <v>476</v>
      </c>
      <c r="B408" t="s">
        <v>137</v>
      </c>
      <c r="C408" t="s">
        <v>26</v>
      </c>
      <c r="D408" t="s">
        <v>27</v>
      </c>
      <c r="E408">
        <v>29</v>
      </c>
      <c r="F408" t="s">
        <v>17</v>
      </c>
      <c r="G408" t="s">
        <v>18</v>
      </c>
      <c r="H408">
        <v>93</v>
      </c>
      <c r="I408">
        <v>2271</v>
      </c>
      <c r="J408">
        <v>5.73</v>
      </c>
      <c r="K408">
        <v>19</v>
      </c>
      <c r="L408">
        <v>4</v>
      </c>
      <c r="M408">
        <v>6845</v>
      </c>
    </row>
    <row r="409" spans="1:13">
      <c r="A409" t="s">
        <v>477</v>
      </c>
      <c r="B409" t="s">
        <v>54</v>
      </c>
      <c r="C409" t="s">
        <v>39</v>
      </c>
      <c r="D409" t="s">
        <v>16</v>
      </c>
      <c r="E409">
        <v>16</v>
      </c>
      <c r="F409" t="s">
        <v>17</v>
      </c>
      <c r="G409" t="s">
        <v>49</v>
      </c>
      <c r="H409">
        <v>92</v>
      </c>
      <c r="I409">
        <v>1849</v>
      </c>
      <c r="J409">
        <v>7.4</v>
      </c>
      <c r="K409">
        <v>52</v>
      </c>
      <c r="L409">
        <v>5</v>
      </c>
      <c r="M409">
        <v>5510</v>
      </c>
    </row>
    <row r="410" spans="1:13">
      <c r="A410" t="s">
        <v>478</v>
      </c>
      <c r="B410" t="s">
        <v>129</v>
      </c>
      <c r="C410" t="s">
        <v>21</v>
      </c>
      <c r="D410" t="s">
        <v>16</v>
      </c>
      <c r="E410">
        <v>48</v>
      </c>
      <c r="F410" t="s">
        <v>34</v>
      </c>
      <c r="G410" t="s">
        <v>18</v>
      </c>
      <c r="H410">
        <v>71</v>
      </c>
      <c r="I410">
        <v>6954</v>
      </c>
      <c r="J410">
        <v>10.98</v>
      </c>
      <c r="K410">
        <v>143</v>
      </c>
      <c r="L410">
        <v>3</v>
      </c>
      <c r="M410">
        <v>19387</v>
      </c>
    </row>
    <row r="411" spans="1:13">
      <c r="A411" t="s">
        <v>479</v>
      </c>
      <c r="B411" t="s">
        <v>137</v>
      </c>
      <c r="C411" t="s">
        <v>26</v>
      </c>
      <c r="D411" t="s">
        <v>16</v>
      </c>
      <c r="E411">
        <v>7</v>
      </c>
      <c r="F411" t="s">
        <v>34</v>
      </c>
      <c r="G411" t="s">
        <v>49</v>
      </c>
      <c r="H411">
        <v>93</v>
      </c>
      <c r="I411">
        <v>1907</v>
      </c>
      <c r="J411">
        <v>0</v>
      </c>
      <c r="K411">
        <v>37</v>
      </c>
      <c r="L411">
        <v>5</v>
      </c>
      <c r="M411">
        <v>9220</v>
      </c>
    </row>
    <row r="412" spans="1:13">
      <c r="A412" t="s">
        <v>480</v>
      </c>
      <c r="B412" t="s">
        <v>42</v>
      </c>
      <c r="C412" t="s">
        <v>39</v>
      </c>
      <c r="D412" t="s">
        <v>16</v>
      </c>
      <c r="E412">
        <v>15</v>
      </c>
      <c r="F412" t="s">
        <v>22</v>
      </c>
      <c r="G412" t="s">
        <v>70</v>
      </c>
      <c r="H412">
        <v>85</v>
      </c>
      <c r="I412">
        <v>3236</v>
      </c>
      <c r="J412">
        <v>0.28999999999999998</v>
      </c>
      <c r="K412">
        <v>67</v>
      </c>
      <c r="L412">
        <v>5</v>
      </c>
      <c r="M412">
        <v>10300</v>
      </c>
    </row>
    <row r="413" spans="1:13">
      <c r="A413" t="s">
        <v>481</v>
      </c>
      <c r="B413" t="s">
        <v>122</v>
      </c>
      <c r="C413" t="s">
        <v>48</v>
      </c>
      <c r="D413" t="s">
        <v>16</v>
      </c>
      <c r="E413">
        <v>79</v>
      </c>
      <c r="F413" t="s">
        <v>34</v>
      </c>
      <c r="G413" t="s">
        <v>40</v>
      </c>
      <c r="H413">
        <v>81</v>
      </c>
      <c r="I413">
        <v>2010</v>
      </c>
      <c r="J413">
        <v>6.12</v>
      </c>
      <c r="K413">
        <v>73</v>
      </c>
      <c r="L413">
        <v>4</v>
      </c>
      <c r="M413">
        <v>11073</v>
      </c>
    </row>
    <row r="414" spans="1:13">
      <c r="A414" t="s">
        <v>482</v>
      </c>
      <c r="B414" t="s">
        <v>88</v>
      </c>
      <c r="C414" t="s">
        <v>15</v>
      </c>
      <c r="D414" t="s">
        <v>16</v>
      </c>
      <c r="E414">
        <v>10</v>
      </c>
      <c r="F414" t="s">
        <v>22</v>
      </c>
      <c r="G414" t="s">
        <v>31</v>
      </c>
      <c r="H414">
        <v>78</v>
      </c>
      <c r="I414">
        <v>9188</v>
      </c>
      <c r="J414">
        <v>14.9</v>
      </c>
      <c r="K414">
        <v>66</v>
      </c>
      <c r="L414">
        <v>4</v>
      </c>
      <c r="M414">
        <v>53566</v>
      </c>
    </row>
    <row r="415" spans="1:13">
      <c r="A415" t="s">
        <v>483</v>
      </c>
      <c r="B415" t="s">
        <v>29</v>
      </c>
      <c r="C415" t="s">
        <v>30</v>
      </c>
      <c r="D415" t="s">
        <v>27</v>
      </c>
      <c r="E415">
        <v>50</v>
      </c>
      <c r="F415" t="s">
        <v>22</v>
      </c>
      <c r="G415" t="s">
        <v>49</v>
      </c>
      <c r="H415">
        <v>64</v>
      </c>
      <c r="I415">
        <v>3254</v>
      </c>
      <c r="J415">
        <v>28.74</v>
      </c>
      <c r="K415">
        <v>84</v>
      </c>
      <c r="L415">
        <v>3</v>
      </c>
      <c r="M415">
        <v>14429</v>
      </c>
    </row>
    <row r="416" spans="1:13">
      <c r="A416" t="s">
        <v>484</v>
      </c>
      <c r="B416" t="s">
        <v>51</v>
      </c>
      <c r="C416" t="s">
        <v>52</v>
      </c>
      <c r="D416" t="s">
        <v>16</v>
      </c>
      <c r="E416">
        <v>74</v>
      </c>
      <c r="F416" t="s">
        <v>17</v>
      </c>
      <c r="G416" t="s">
        <v>49</v>
      </c>
      <c r="H416">
        <v>80</v>
      </c>
      <c r="I416">
        <v>8346</v>
      </c>
      <c r="J416">
        <v>9.61</v>
      </c>
      <c r="K416">
        <v>56</v>
      </c>
      <c r="L416">
        <v>4</v>
      </c>
      <c r="M416">
        <v>27253</v>
      </c>
    </row>
    <row r="417" spans="1:13">
      <c r="A417" t="s">
        <v>485</v>
      </c>
      <c r="B417" t="s">
        <v>33</v>
      </c>
      <c r="C417" t="s">
        <v>26</v>
      </c>
      <c r="D417" t="s">
        <v>16</v>
      </c>
      <c r="E417">
        <v>53</v>
      </c>
      <c r="F417" t="s">
        <v>17</v>
      </c>
      <c r="G417" t="s">
        <v>23</v>
      </c>
      <c r="H417">
        <v>89</v>
      </c>
      <c r="I417">
        <v>2690</v>
      </c>
      <c r="J417">
        <v>4.24</v>
      </c>
      <c r="K417">
        <v>36</v>
      </c>
      <c r="L417">
        <v>5</v>
      </c>
      <c r="M417">
        <v>8071</v>
      </c>
    </row>
    <row r="418" spans="1:13">
      <c r="A418" t="s">
        <v>486</v>
      </c>
      <c r="B418" t="s">
        <v>54</v>
      </c>
      <c r="C418" t="s">
        <v>15</v>
      </c>
      <c r="D418" t="s">
        <v>27</v>
      </c>
      <c r="E418">
        <v>69</v>
      </c>
      <c r="F418" t="s">
        <v>34</v>
      </c>
      <c r="G418" t="s">
        <v>70</v>
      </c>
      <c r="H418">
        <v>84</v>
      </c>
      <c r="I418">
        <v>5994</v>
      </c>
      <c r="J418">
        <v>15.08</v>
      </c>
      <c r="K418">
        <v>74</v>
      </c>
      <c r="L418">
        <v>4</v>
      </c>
      <c r="M418">
        <v>31682</v>
      </c>
    </row>
    <row r="419" spans="1:13">
      <c r="A419" t="s">
        <v>487</v>
      </c>
      <c r="B419" t="s">
        <v>36</v>
      </c>
      <c r="C419" t="s">
        <v>21</v>
      </c>
      <c r="D419" t="s">
        <v>16</v>
      </c>
      <c r="E419">
        <v>55</v>
      </c>
      <c r="F419" t="s">
        <v>34</v>
      </c>
      <c r="G419" t="s">
        <v>49</v>
      </c>
      <c r="H419">
        <v>78</v>
      </c>
      <c r="I419">
        <v>5612</v>
      </c>
      <c r="J419">
        <v>12.29</v>
      </c>
      <c r="K419">
        <v>70</v>
      </c>
      <c r="L419">
        <v>4</v>
      </c>
      <c r="M419">
        <v>19200</v>
      </c>
    </row>
    <row r="420" spans="1:13">
      <c r="A420" t="s">
        <v>488</v>
      </c>
      <c r="B420" t="s">
        <v>74</v>
      </c>
      <c r="C420" t="s">
        <v>45</v>
      </c>
      <c r="D420" t="s">
        <v>16</v>
      </c>
      <c r="E420">
        <v>55</v>
      </c>
      <c r="F420" t="s">
        <v>22</v>
      </c>
      <c r="G420" t="s">
        <v>18</v>
      </c>
      <c r="H420">
        <v>60</v>
      </c>
      <c r="I420">
        <v>7852</v>
      </c>
      <c r="J420">
        <v>18.829999999999998</v>
      </c>
      <c r="K420">
        <v>119</v>
      </c>
      <c r="L420">
        <v>3</v>
      </c>
      <c r="M420">
        <v>22207</v>
      </c>
    </row>
    <row r="421" spans="1:13">
      <c r="A421" t="s">
        <v>489</v>
      </c>
      <c r="B421" t="s">
        <v>54</v>
      </c>
      <c r="C421" t="s">
        <v>39</v>
      </c>
      <c r="D421" t="s">
        <v>16</v>
      </c>
      <c r="E421">
        <v>4</v>
      </c>
      <c r="F421" t="s">
        <v>34</v>
      </c>
      <c r="G421" t="s">
        <v>18</v>
      </c>
      <c r="H421">
        <v>85</v>
      </c>
      <c r="I421">
        <v>2606</v>
      </c>
      <c r="J421">
        <v>5.07</v>
      </c>
      <c r="K421">
        <v>59</v>
      </c>
      <c r="L421">
        <v>5</v>
      </c>
      <c r="M421">
        <v>10768</v>
      </c>
    </row>
    <row r="422" spans="1:13">
      <c r="A422" t="s">
        <v>490</v>
      </c>
      <c r="B422" t="s">
        <v>44</v>
      </c>
      <c r="C422" t="s">
        <v>45</v>
      </c>
      <c r="D422" t="s">
        <v>27</v>
      </c>
      <c r="E422">
        <v>32</v>
      </c>
      <c r="F422" t="s">
        <v>34</v>
      </c>
      <c r="G422" t="s">
        <v>31</v>
      </c>
      <c r="H422">
        <v>72</v>
      </c>
      <c r="I422">
        <v>4054</v>
      </c>
      <c r="J422">
        <v>15</v>
      </c>
      <c r="K422">
        <v>104</v>
      </c>
      <c r="L422">
        <v>4</v>
      </c>
      <c r="M422">
        <v>21877</v>
      </c>
    </row>
    <row r="423" spans="1:13">
      <c r="A423" t="s">
        <v>491</v>
      </c>
      <c r="B423" t="s">
        <v>47</v>
      </c>
      <c r="C423" t="s">
        <v>48</v>
      </c>
      <c r="D423" t="s">
        <v>16</v>
      </c>
      <c r="E423">
        <v>33</v>
      </c>
      <c r="F423" t="s">
        <v>17</v>
      </c>
      <c r="G423" t="s">
        <v>40</v>
      </c>
      <c r="H423">
        <v>82</v>
      </c>
      <c r="I423">
        <v>8892</v>
      </c>
      <c r="J423">
        <v>12.89</v>
      </c>
      <c r="K423">
        <v>52</v>
      </c>
      <c r="L423">
        <v>4</v>
      </c>
      <c r="M423">
        <v>37830</v>
      </c>
    </row>
    <row r="424" spans="1:13">
      <c r="A424" t="s">
        <v>492</v>
      </c>
      <c r="B424" t="s">
        <v>135</v>
      </c>
      <c r="C424" t="s">
        <v>48</v>
      </c>
      <c r="D424" t="s">
        <v>16</v>
      </c>
      <c r="E424">
        <v>3</v>
      </c>
      <c r="F424" t="s">
        <v>34</v>
      </c>
      <c r="G424" t="s">
        <v>40</v>
      </c>
      <c r="H424">
        <v>75</v>
      </c>
      <c r="I424">
        <v>5655</v>
      </c>
      <c r="J424">
        <v>13.15</v>
      </c>
      <c r="K424">
        <v>109</v>
      </c>
      <c r="L424">
        <v>4</v>
      </c>
      <c r="M424">
        <v>18837</v>
      </c>
    </row>
    <row r="425" spans="1:13">
      <c r="A425" t="s">
        <v>493</v>
      </c>
      <c r="B425" t="s">
        <v>185</v>
      </c>
      <c r="C425" t="s">
        <v>52</v>
      </c>
      <c r="D425" t="s">
        <v>27</v>
      </c>
      <c r="E425">
        <v>49</v>
      </c>
      <c r="F425" t="s">
        <v>34</v>
      </c>
      <c r="G425" t="s">
        <v>49</v>
      </c>
      <c r="H425">
        <v>87</v>
      </c>
      <c r="I425">
        <v>6696</v>
      </c>
      <c r="J425">
        <v>11.81</v>
      </c>
      <c r="K425">
        <v>62</v>
      </c>
      <c r="L425">
        <v>4</v>
      </c>
      <c r="M425">
        <v>25929</v>
      </c>
    </row>
    <row r="426" spans="1:13">
      <c r="A426" t="s">
        <v>494</v>
      </c>
      <c r="B426" t="s">
        <v>150</v>
      </c>
      <c r="C426" t="s">
        <v>48</v>
      </c>
      <c r="D426" t="s">
        <v>27</v>
      </c>
      <c r="E426">
        <v>34</v>
      </c>
      <c r="F426" t="s">
        <v>22</v>
      </c>
      <c r="G426" t="s">
        <v>49</v>
      </c>
      <c r="H426">
        <v>81</v>
      </c>
      <c r="I426">
        <v>5122</v>
      </c>
      <c r="J426">
        <v>15.03</v>
      </c>
      <c r="K426">
        <v>82</v>
      </c>
      <c r="L426">
        <v>5</v>
      </c>
      <c r="M426">
        <v>29461</v>
      </c>
    </row>
    <row r="427" spans="1:13">
      <c r="A427" t="s">
        <v>495</v>
      </c>
      <c r="B427" t="s">
        <v>103</v>
      </c>
      <c r="C427" t="s">
        <v>26</v>
      </c>
      <c r="D427" t="s">
        <v>16</v>
      </c>
      <c r="E427">
        <v>32</v>
      </c>
      <c r="F427" t="s">
        <v>17</v>
      </c>
      <c r="G427" t="s">
        <v>40</v>
      </c>
      <c r="H427">
        <v>84</v>
      </c>
      <c r="I427">
        <v>3266</v>
      </c>
      <c r="J427">
        <v>5.55</v>
      </c>
      <c r="K427">
        <v>41</v>
      </c>
      <c r="L427">
        <v>4</v>
      </c>
      <c r="M427">
        <v>8509</v>
      </c>
    </row>
    <row r="428" spans="1:13">
      <c r="A428" t="s">
        <v>496</v>
      </c>
      <c r="B428" t="s">
        <v>64</v>
      </c>
      <c r="C428" t="s">
        <v>30</v>
      </c>
      <c r="D428" t="s">
        <v>16</v>
      </c>
      <c r="E428">
        <v>46</v>
      </c>
      <c r="F428" t="s">
        <v>17</v>
      </c>
      <c r="G428" t="s">
        <v>40</v>
      </c>
      <c r="H428">
        <v>79</v>
      </c>
      <c r="I428">
        <v>3418</v>
      </c>
      <c r="J428">
        <v>18.86</v>
      </c>
      <c r="K428">
        <v>115</v>
      </c>
      <c r="L428">
        <v>4</v>
      </c>
      <c r="M428">
        <v>12343</v>
      </c>
    </row>
    <row r="429" spans="1:13">
      <c r="A429" t="s">
        <v>497</v>
      </c>
      <c r="B429" t="s">
        <v>56</v>
      </c>
      <c r="C429" t="s">
        <v>45</v>
      </c>
      <c r="D429" t="s">
        <v>16</v>
      </c>
      <c r="E429">
        <v>51</v>
      </c>
      <c r="F429" t="s">
        <v>17</v>
      </c>
      <c r="G429" t="s">
        <v>18</v>
      </c>
      <c r="H429">
        <v>80</v>
      </c>
      <c r="I429">
        <v>7267</v>
      </c>
      <c r="J429">
        <v>13.08</v>
      </c>
      <c r="K429">
        <v>105</v>
      </c>
      <c r="L429">
        <v>4</v>
      </c>
      <c r="M429">
        <v>34005</v>
      </c>
    </row>
    <row r="430" spans="1:13">
      <c r="A430" t="s">
        <v>498</v>
      </c>
      <c r="B430" t="s">
        <v>47</v>
      </c>
      <c r="C430" t="s">
        <v>48</v>
      </c>
      <c r="D430" t="s">
        <v>16</v>
      </c>
      <c r="E430">
        <v>32</v>
      </c>
      <c r="F430" t="s">
        <v>17</v>
      </c>
      <c r="G430" t="s">
        <v>23</v>
      </c>
      <c r="H430">
        <v>86</v>
      </c>
      <c r="I430">
        <v>4032</v>
      </c>
      <c r="J430">
        <v>10.43</v>
      </c>
      <c r="K430">
        <v>70</v>
      </c>
      <c r="L430">
        <v>4</v>
      </c>
      <c r="M430">
        <v>23281</v>
      </c>
    </row>
    <row r="431" spans="1:13">
      <c r="A431" t="s">
        <v>499</v>
      </c>
      <c r="B431" t="s">
        <v>60</v>
      </c>
      <c r="C431" t="s">
        <v>52</v>
      </c>
      <c r="D431" t="s">
        <v>27</v>
      </c>
      <c r="E431">
        <v>35</v>
      </c>
      <c r="F431" t="s">
        <v>22</v>
      </c>
      <c r="G431" t="s">
        <v>18</v>
      </c>
      <c r="H431">
        <v>80</v>
      </c>
      <c r="I431">
        <v>6247</v>
      </c>
      <c r="J431">
        <v>15.19</v>
      </c>
      <c r="K431">
        <v>56</v>
      </c>
      <c r="L431">
        <v>4</v>
      </c>
      <c r="M431">
        <v>26582</v>
      </c>
    </row>
    <row r="432" spans="1:13">
      <c r="A432" t="s">
        <v>500</v>
      </c>
      <c r="B432" t="s">
        <v>51</v>
      </c>
      <c r="C432" t="s">
        <v>52</v>
      </c>
      <c r="D432" t="s">
        <v>27</v>
      </c>
      <c r="E432">
        <v>41</v>
      </c>
      <c r="F432" t="s">
        <v>34</v>
      </c>
      <c r="G432" t="s">
        <v>31</v>
      </c>
      <c r="H432">
        <v>83</v>
      </c>
      <c r="I432">
        <v>9929</v>
      </c>
      <c r="J432">
        <v>17.11</v>
      </c>
      <c r="K432">
        <v>47</v>
      </c>
      <c r="L432">
        <v>5</v>
      </c>
      <c r="M432">
        <v>56250</v>
      </c>
    </row>
    <row r="433" spans="1:13">
      <c r="A433" t="s">
        <v>501</v>
      </c>
      <c r="B433" t="s">
        <v>74</v>
      </c>
      <c r="C433" t="s">
        <v>45</v>
      </c>
      <c r="D433" t="s">
        <v>16</v>
      </c>
      <c r="E433">
        <v>56</v>
      </c>
      <c r="F433" t="s">
        <v>17</v>
      </c>
      <c r="G433" t="s">
        <v>23</v>
      </c>
      <c r="H433">
        <v>67</v>
      </c>
      <c r="I433">
        <v>10143</v>
      </c>
      <c r="J433">
        <v>12.53</v>
      </c>
      <c r="K433">
        <v>108</v>
      </c>
      <c r="L433">
        <v>3</v>
      </c>
      <c r="M433">
        <v>56760</v>
      </c>
    </row>
    <row r="434" spans="1:13">
      <c r="A434" t="s">
        <v>502</v>
      </c>
      <c r="B434" t="s">
        <v>36</v>
      </c>
      <c r="C434" t="s">
        <v>21</v>
      </c>
      <c r="D434" t="s">
        <v>16</v>
      </c>
      <c r="E434">
        <v>67</v>
      </c>
      <c r="F434" t="s">
        <v>34</v>
      </c>
      <c r="G434" t="s">
        <v>70</v>
      </c>
      <c r="H434">
        <v>78</v>
      </c>
      <c r="I434">
        <v>5428</v>
      </c>
      <c r="J434">
        <v>12.57</v>
      </c>
      <c r="K434">
        <v>67</v>
      </c>
      <c r="L434">
        <v>3</v>
      </c>
      <c r="M434">
        <v>21738</v>
      </c>
    </row>
    <row r="435" spans="1:13">
      <c r="A435" t="s">
        <v>503</v>
      </c>
      <c r="B435" t="s">
        <v>62</v>
      </c>
      <c r="C435" t="s">
        <v>52</v>
      </c>
      <c r="D435" t="s">
        <v>27</v>
      </c>
      <c r="E435">
        <v>49</v>
      </c>
      <c r="F435" t="s">
        <v>22</v>
      </c>
      <c r="G435" t="s">
        <v>23</v>
      </c>
      <c r="H435">
        <v>81</v>
      </c>
      <c r="I435">
        <v>7899</v>
      </c>
      <c r="J435">
        <v>6.6</v>
      </c>
      <c r="K435">
        <v>114</v>
      </c>
      <c r="L435">
        <v>3</v>
      </c>
      <c r="M435">
        <v>31741</v>
      </c>
    </row>
    <row r="436" spans="1:13">
      <c r="A436" t="s">
        <v>504</v>
      </c>
      <c r="B436" t="s">
        <v>78</v>
      </c>
      <c r="C436" t="s">
        <v>15</v>
      </c>
      <c r="D436" t="s">
        <v>27</v>
      </c>
      <c r="E436">
        <v>63</v>
      </c>
      <c r="F436" t="s">
        <v>22</v>
      </c>
      <c r="G436" t="s">
        <v>31</v>
      </c>
      <c r="H436">
        <v>81</v>
      </c>
      <c r="I436">
        <v>8769</v>
      </c>
      <c r="J436">
        <v>12.61</v>
      </c>
      <c r="K436">
        <v>87</v>
      </c>
      <c r="L436">
        <v>4</v>
      </c>
      <c r="M436">
        <v>47119</v>
      </c>
    </row>
    <row r="437" spans="1:13">
      <c r="A437" t="s">
        <v>505</v>
      </c>
      <c r="B437" t="s">
        <v>97</v>
      </c>
      <c r="C437" t="s">
        <v>30</v>
      </c>
      <c r="D437" t="s">
        <v>27</v>
      </c>
      <c r="E437">
        <v>83</v>
      </c>
      <c r="F437" t="s">
        <v>17</v>
      </c>
      <c r="G437" t="s">
        <v>23</v>
      </c>
      <c r="H437">
        <v>71</v>
      </c>
      <c r="I437">
        <v>3348</v>
      </c>
      <c r="J437">
        <v>21.44</v>
      </c>
      <c r="K437">
        <v>126</v>
      </c>
      <c r="L437">
        <v>4</v>
      </c>
      <c r="M437">
        <v>9593</v>
      </c>
    </row>
    <row r="438" spans="1:13">
      <c r="A438" t="s">
        <v>506</v>
      </c>
      <c r="B438" t="s">
        <v>103</v>
      </c>
      <c r="C438" t="s">
        <v>26</v>
      </c>
      <c r="D438" t="s">
        <v>27</v>
      </c>
      <c r="E438">
        <v>22</v>
      </c>
      <c r="F438" t="s">
        <v>22</v>
      </c>
      <c r="G438" t="s">
        <v>40</v>
      </c>
      <c r="H438">
        <v>80</v>
      </c>
      <c r="I438">
        <v>3258</v>
      </c>
      <c r="J438">
        <v>7.41</v>
      </c>
      <c r="K438">
        <v>93</v>
      </c>
      <c r="L438">
        <v>4</v>
      </c>
      <c r="M438">
        <v>14214</v>
      </c>
    </row>
    <row r="439" spans="1:13">
      <c r="A439" t="s">
        <v>507</v>
      </c>
      <c r="B439" t="s">
        <v>109</v>
      </c>
      <c r="C439" t="s">
        <v>30</v>
      </c>
      <c r="D439" t="s">
        <v>27</v>
      </c>
      <c r="E439">
        <v>10</v>
      </c>
      <c r="F439" t="s">
        <v>22</v>
      </c>
      <c r="G439" t="s">
        <v>23</v>
      </c>
      <c r="H439">
        <v>68</v>
      </c>
      <c r="I439">
        <v>3453</v>
      </c>
      <c r="J439">
        <v>19.8</v>
      </c>
      <c r="K439">
        <v>121</v>
      </c>
      <c r="L439">
        <v>3</v>
      </c>
      <c r="M439">
        <v>9270</v>
      </c>
    </row>
    <row r="440" spans="1:13">
      <c r="A440" t="s">
        <v>508</v>
      </c>
      <c r="B440" t="s">
        <v>25</v>
      </c>
      <c r="C440" t="s">
        <v>39</v>
      </c>
      <c r="D440" t="s">
        <v>27</v>
      </c>
      <c r="E440">
        <v>36</v>
      </c>
      <c r="F440" t="s">
        <v>22</v>
      </c>
      <c r="G440" t="s">
        <v>49</v>
      </c>
      <c r="H440">
        <v>84</v>
      </c>
      <c r="I440">
        <v>3333</v>
      </c>
      <c r="J440">
        <v>2.66</v>
      </c>
      <c r="K440">
        <v>97</v>
      </c>
      <c r="L440">
        <v>4</v>
      </c>
      <c r="M440">
        <v>12522</v>
      </c>
    </row>
    <row r="441" spans="1:13">
      <c r="A441" t="s">
        <v>509</v>
      </c>
      <c r="B441" t="s">
        <v>68</v>
      </c>
      <c r="C441" t="s">
        <v>45</v>
      </c>
      <c r="D441" t="s">
        <v>16</v>
      </c>
      <c r="E441">
        <v>53</v>
      </c>
      <c r="F441" t="s">
        <v>34</v>
      </c>
      <c r="G441" t="s">
        <v>40</v>
      </c>
      <c r="H441">
        <v>80</v>
      </c>
      <c r="I441">
        <v>5104</v>
      </c>
      <c r="J441">
        <v>15.69</v>
      </c>
      <c r="K441">
        <v>103</v>
      </c>
      <c r="L441">
        <v>4</v>
      </c>
      <c r="M441">
        <v>18622</v>
      </c>
    </row>
    <row r="442" spans="1:13">
      <c r="A442" t="s">
        <v>510</v>
      </c>
      <c r="B442" t="s">
        <v>51</v>
      </c>
      <c r="C442" t="s">
        <v>52</v>
      </c>
      <c r="D442" t="s">
        <v>27</v>
      </c>
      <c r="E442">
        <v>14</v>
      </c>
      <c r="F442" t="s">
        <v>22</v>
      </c>
      <c r="G442" t="s">
        <v>70</v>
      </c>
      <c r="H442">
        <v>90</v>
      </c>
      <c r="I442">
        <v>7278</v>
      </c>
      <c r="J442">
        <v>16.21</v>
      </c>
      <c r="K442">
        <v>23</v>
      </c>
      <c r="L442">
        <v>4</v>
      </c>
      <c r="M442">
        <v>39175</v>
      </c>
    </row>
    <row r="443" spans="1:13">
      <c r="A443" t="s">
        <v>511</v>
      </c>
      <c r="B443" t="s">
        <v>135</v>
      </c>
      <c r="C443" t="s">
        <v>48</v>
      </c>
      <c r="D443" t="s">
        <v>27</v>
      </c>
      <c r="E443">
        <v>29</v>
      </c>
      <c r="F443" t="s">
        <v>34</v>
      </c>
      <c r="G443" t="s">
        <v>40</v>
      </c>
      <c r="H443">
        <v>87</v>
      </c>
      <c r="I443">
        <v>6492</v>
      </c>
      <c r="J443">
        <v>11.25</v>
      </c>
      <c r="K443">
        <v>30</v>
      </c>
      <c r="L443">
        <v>5</v>
      </c>
      <c r="M443">
        <v>16972</v>
      </c>
    </row>
    <row r="444" spans="1:13">
      <c r="A444" t="s">
        <v>512</v>
      </c>
      <c r="B444" t="s">
        <v>60</v>
      </c>
      <c r="C444" t="s">
        <v>52</v>
      </c>
      <c r="D444" t="s">
        <v>16</v>
      </c>
      <c r="E444">
        <v>1</v>
      </c>
      <c r="F444" t="s">
        <v>22</v>
      </c>
      <c r="G444" t="s">
        <v>70</v>
      </c>
      <c r="H444">
        <v>82</v>
      </c>
      <c r="I444">
        <v>8725</v>
      </c>
      <c r="J444">
        <v>10.07</v>
      </c>
      <c r="K444">
        <v>66</v>
      </c>
      <c r="L444">
        <v>4</v>
      </c>
      <c r="M444">
        <v>43639</v>
      </c>
    </row>
    <row r="445" spans="1:13">
      <c r="A445" t="s">
        <v>513</v>
      </c>
      <c r="B445" t="s">
        <v>137</v>
      </c>
      <c r="C445" t="s">
        <v>26</v>
      </c>
      <c r="D445" t="s">
        <v>27</v>
      </c>
      <c r="E445">
        <v>42</v>
      </c>
      <c r="F445" t="s">
        <v>34</v>
      </c>
      <c r="G445" t="s">
        <v>31</v>
      </c>
      <c r="H445">
        <v>91</v>
      </c>
      <c r="I445">
        <v>2633</v>
      </c>
      <c r="J445">
        <v>1.37</v>
      </c>
      <c r="K445">
        <v>30</v>
      </c>
      <c r="L445">
        <v>5</v>
      </c>
      <c r="M445">
        <v>7290</v>
      </c>
    </row>
    <row r="446" spans="1:13">
      <c r="A446" t="s">
        <v>514</v>
      </c>
      <c r="B446" t="s">
        <v>54</v>
      </c>
      <c r="C446" t="s">
        <v>15</v>
      </c>
      <c r="D446" t="s">
        <v>72</v>
      </c>
      <c r="E446">
        <v>59</v>
      </c>
      <c r="F446" t="s">
        <v>34</v>
      </c>
      <c r="G446" t="s">
        <v>40</v>
      </c>
      <c r="H446">
        <v>84</v>
      </c>
      <c r="I446">
        <v>8622</v>
      </c>
      <c r="J446">
        <v>14.65</v>
      </c>
      <c r="K446">
        <v>44</v>
      </c>
      <c r="L446">
        <v>5</v>
      </c>
      <c r="M446">
        <v>32824</v>
      </c>
    </row>
    <row r="447" spans="1:13">
      <c r="A447" t="s">
        <v>515</v>
      </c>
      <c r="B447" t="s">
        <v>51</v>
      </c>
      <c r="C447" t="s">
        <v>52</v>
      </c>
      <c r="D447" t="s">
        <v>27</v>
      </c>
      <c r="E447">
        <v>35</v>
      </c>
      <c r="F447" t="s">
        <v>17</v>
      </c>
      <c r="G447" t="s">
        <v>70</v>
      </c>
      <c r="H447">
        <v>88</v>
      </c>
      <c r="I447">
        <v>6289</v>
      </c>
      <c r="J447">
        <v>6.85</v>
      </c>
      <c r="K447">
        <v>74</v>
      </c>
      <c r="L447">
        <v>5</v>
      </c>
      <c r="M447">
        <v>17265</v>
      </c>
    </row>
    <row r="448" spans="1:13">
      <c r="A448" t="s">
        <v>516</v>
      </c>
      <c r="B448" t="s">
        <v>150</v>
      </c>
      <c r="C448" t="s">
        <v>48</v>
      </c>
      <c r="D448" t="s">
        <v>27</v>
      </c>
      <c r="E448">
        <v>20</v>
      </c>
      <c r="F448" t="s">
        <v>22</v>
      </c>
      <c r="G448" t="s">
        <v>49</v>
      </c>
      <c r="H448">
        <v>81</v>
      </c>
      <c r="I448">
        <v>6380</v>
      </c>
      <c r="J448">
        <v>10.67</v>
      </c>
      <c r="K448">
        <v>67</v>
      </c>
      <c r="L448">
        <v>4</v>
      </c>
      <c r="M448">
        <v>19705</v>
      </c>
    </row>
    <row r="449" spans="1:13">
      <c r="A449" t="s">
        <v>517</v>
      </c>
      <c r="B449" t="s">
        <v>64</v>
      </c>
      <c r="C449" t="s">
        <v>30</v>
      </c>
      <c r="D449" t="s">
        <v>16</v>
      </c>
      <c r="E449">
        <v>48</v>
      </c>
      <c r="F449" t="s">
        <v>22</v>
      </c>
      <c r="G449" t="s">
        <v>18</v>
      </c>
      <c r="H449">
        <v>75</v>
      </c>
      <c r="I449">
        <v>3509</v>
      </c>
      <c r="J449">
        <v>11.69</v>
      </c>
      <c r="K449">
        <v>130</v>
      </c>
      <c r="L449">
        <v>4</v>
      </c>
      <c r="M449">
        <v>20247</v>
      </c>
    </row>
    <row r="450" spans="1:13">
      <c r="A450" t="s">
        <v>518</v>
      </c>
      <c r="B450" t="s">
        <v>109</v>
      </c>
      <c r="C450" t="s">
        <v>30</v>
      </c>
      <c r="D450" t="s">
        <v>27</v>
      </c>
      <c r="E450">
        <v>49</v>
      </c>
      <c r="F450" t="s">
        <v>17</v>
      </c>
      <c r="G450" t="s">
        <v>70</v>
      </c>
      <c r="H450">
        <v>68</v>
      </c>
      <c r="I450">
        <v>2611</v>
      </c>
      <c r="J450">
        <v>24.81</v>
      </c>
      <c r="K450">
        <v>123</v>
      </c>
      <c r="L450">
        <v>4</v>
      </c>
      <c r="M450">
        <v>12718</v>
      </c>
    </row>
    <row r="451" spans="1:13">
      <c r="A451" t="s">
        <v>519</v>
      </c>
      <c r="B451" t="s">
        <v>58</v>
      </c>
      <c r="C451" t="s">
        <v>48</v>
      </c>
      <c r="D451" t="s">
        <v>16</v>
      </c>
      <c r="E451">
        <v>77</v>
      </c>
      <c r="F451" t="s">
        <v>34</v>
      </c>
      <c r="G451" t="s">
        <v>40</v>
      </c>
      <c r="H451">
        <v>81</v>
      </c>
      <c r="I451">
        <v>5641</v>
      </c>
      <c r="J451">
        <v>13.1</v>
      </c>
      <c r="K451">
        <v>64</v>
      </c>
      <c r="L451">
        <v>5</v>
      </c>
      <c r="M451">
        <v>30779</v>
      </c>
    </row>
    <row r="452" spans="1:13">
      <c r="A452" t="s">
        <v>520</v>
      </c>
      <c r="B452" t="s">
        <v>60</v>
      </c>
      <c r="C452" t="s">
        <v>52</v>
      </c>
      <c r="D452" t="s">
        <v>16</v>
      </c>
      <c r="E452">
        <v>5</v>
      </c>
      <c r="F452" t="s">
        <v>34</v>
      </c>
      <c r="G452" t="s">
        <v>18</v>
      </c>
      <c r="H452">
        <v>80</v>
      </c>
      <c r="I452">
        <v>7702</v>
      </c>
      <c r="J452">
        <v>15.24</v>
      </c>
      <c r="K452">
        <v>57</v>
      </c>
      <c r="L452">
        <v>4</v>
      </c>
      <c r="M452">
        <v>33113</v>
      </c>
    </row>
    <row r="453" spans="1:13">
      <c r="A453" t="s">
        <v>521</v>
      </c>
      <c r="B453" t="s">
        <v>44</v>
      </c>
      <c r="C453" t="s">
        <v>45</v>
      </c>
      <c r="D453" t="s">
        <v>27</v>
      </c>
      <c r="E453">
        <v>58</v>
      </c>
      <c r="F453" t="s">
        <v>22</v>
      </c>
      <c r="G453" t="s">
        <v>49</v>
      </c>
      <c r="H453">
        <v>87</v>
      </c>
      <c r="I453">
        <v>8593</v>
      </c>
      <c r="J453">
        <v>16.66</v>
      </c>
      <c r="K453">
        <v>59</v>
      </c>
      <c r="L453">
        <v>4</v>
      </c>
      <c r="M453">
        <v>31882</v>
      </c>
    </row>
    <row r="454" spans="1:13">
      <c r="A454" t="s">
        <v>522</v>
      </c>
      <c r="B454" t="s">
        <v>44</v>
      </c>
      <c r="C454" t="s">
        <v>45</v>
      </c>
      <c r="D454" t="s">
        <v>16</v>
      </c>
      <c r="E454">
        <v>65</v>
      </c>
      <c r="F454" t="s">
        <v>17</v>
      </c>
      <c r="G454" t="s">
        <v>18</v>
      </c>
      <c r="H454">
        <v>69</v>
      </c>
      <c r="I454">
        <v>8766</v>
      </c>
      <c r="J454">
        <v>19.32</v>
      </c>
      <c r="K454">
        <v>106</v>
      </c>
      <c r="L454">
        <v>4</v>
      </c>
      <c r="M454">
        <v>52299</v>
      </c>
    </row>
    <row r="455" spans="1:13">
      <c r="A455" t="s">
        <v>523</v>
      </c>
      <c r="B455" t="s">
        <v>78</v>
      </c>
      <c r="C455" t="s">
        <v>15</v>
      </c>
      <c r="D455" t="s">
        <v>27</v>
      </c>
      <c r="E455">
        <v>46</v>
      </c>
      <c r="F455" t="s">
        <v>22</v>
      </c>
      <c r="G455" t="s">
        <v>40</v>
      </c>
      <c r="H455">
        <v>77</v>
      </c>
      <c r="I455">
        <v>8795</v>
      </c>
      <c r="J455">
        <v>20.350000000000001</v>
      </c>
      <c r="K455">
        <v>78</v>
      </c>
      <c r="L455">
        <v>3</v>
      </c>
      <c r="M455">
        <v>28842</v>
      </c>
    </row>
    <row r="456" spans="1:13">
      <c r="A456" t="s">
        <v>524</v>
      </c>
      <c r="B456" t="s">
        <v>78</v>
      </c>
      <c r="C456" t="s">
        <v>15</v>
      </c>
      <c r="D456" t="s">
        <v>27</v>
      </c>
      <c r="E456">
        <v>54</v>
      </c>
      <c r="F456" t="s">
        <v>22</v>
      </c>
      <c r="G456" t="s">
        <v>49</v>
      </c>
      <c r="H456">
        <v>80</v>
      </c>
      <c r="I456">
        <v>5373</v>
      </c>
      <c r="J456">
        <v>14.87</v>
      </c>
      <c r="K456">
        <v>47</v>
      </c>
      <c r="L456">
        <v>4</v>
      </c>
      <c r="M456">
        <v>27673</v>
      </c>
    </row>
    <row r="457" spans="1:13">
      <c r="A457" t="s">
        <v>525</v>
      </c>
      <c r="B457" t="s">
        <v>95</v>
      </c>
      <c r="C457" t="s">
        <v>52</v>
      </c>
      <c r="D457" t="s">
        <v>16</v>
      </c>
      <c r="E457">
        <v>28</v>
      </c>
      <c r="F457" t="s">
        <v>17</v>
      </c>
      <c r="G457" t="s">
        <v>40</v>
      </c>
      <c r="H457">
        <v>76</v>
      </c>
      <c r="I457">
        <v>6187</v>
      </c>
      <c r="J457">
        <v>15.38</v>
      </c>
      <c r="K457">
        <v>75</v>
      </c>
      <c r="L457">
        <v>4</v>
      </c>
      <c r="M457">
        <v>34272</v>
      </c>
    </row>
    <row r="458" spans="1:13">
      <c r="A458" t="s">
        <v>526</v>
      </c>
      <c r="B458" t="s">
        <v>74</v>
      </c>
      <c r="C458" t="s">
        <v>45</v>
      </c>
      <c r="D458" t="s">
        <v>16</v>
      </c>
      <c r="E458">
        <v>42</v>
      </c>
      <c r="F458" t="s">
        <v>22</v>
      </c>
      <c r="G458" t="s">
        <v>49</v>
      </c>
      <c r="H458">
        <v>71</v>
      </c>
      <c r="I458">
        <v>5563</v>
      </c>
      <c r="J458">
        <v>22.27</v>
      </c>
      <c r="K458">
        <v>109</v>
      </c>
      <c r="L458">
        <v>3</v>
      </c>
      <c r="M458">
        <v>14127</v>
      </c>
    </row>
    <row r="459" spans="1:13">
      <c r="A459" t="s">
        <v>527</v>
      </c>
      <c r="B459" t="s">
        <v>74</v>
      </c>
      <c r="C459" t="s">
        <v>45</v>
      </c>
      <c r="D459" t="s">
        <v>16</v>
      </c>
      <c r="E459">
        <v>31</v>
      </c>
      <c r="F459" t="s">
        <v>34</v>
      </c>
      <c r="G459" t="s">
        <v>23</v>
      </c>
      <c r="H459">
        <v>75</v>
      </c>
      <c r="I459">
        <v>9174</v>
      </c>
      <c r="J459">
        <v>14.98</v>
      </c>
      <c r="K459">
        <v>115</v>
      </c>
      <c r="L459">
        <v>4</v>
      </c>
      <c r="M459">
        <v>40408</v>
      </c>
    </row>
    <row r="460" spans="1:13">
      <c r="A460" t="s">
        <v>528</v>
      </c>
      <c r="B460" t="s">
        <v>68</v>
      </c>
      <c r="C460" t="s">
        <v>45</v>
      </c>
      <c r="D460" t="s">
        <v>16</v>
      </c>
      <c r="E460">
        <v>64</v>
      </c>
      <c r="F460" t="s">
        <v>34</v>
      </c>
      <c r="G460" t="s">
        <v>49</v>
      </c>
      <c r="H460">
        <v>82</v>
      </c>
      <c r="I460">
        <v>9852</v>
      </c>
      <c r="J460">
        <v>15.93</v>
      </c>
      <c r="K460">
        <v>74</v>
      </c>
      <c r="L460">
        <v>3</v>
      </c>
      <c r="M460">
        <v>26373</v>
      </c>
    </row>
    <row r="461" spans="1:13">
      <c r="A461" t="s">
        <v>529</v>
      </c>
      <c r="B461" t="s">
        <v>29</v>
      </c>
      <c r="C461" t="s">
        <v>30</v>
      </c>
      <c r="D461" t="s">
        <v>27</v>
      </c>
      <c r="E461">
        <v>69</v>
      </c>
      <c r="F461" t="s">
        <v>34</v>
      </c>
      <c r="G461" t="s">
        <v>31</v>
      </c>
      <c r="H461">
        <v>75</v>
      </c>
      <c r="I461">
        <v>3086</v>
      </c>
      <c r="J461">
        <v>20.62</v>
      </c>
      <c r="K461">
        <v>104</v>
      </c>
      <c r="L461">
        <v>4</v>
      </c>
      <c r="M461">
        <v>17764</v>
      </c>
    </row>
    <row r="462" spans="1:13">
      <c r="A462" t="s">
        <v>530</v>
      </c>
      <c r="B462" t="s">
        <v>187</v>
      </c>
      <c r="C462" t="s">
        <v>30</v>
      </c>
      <c r="D462" t="s">
        <v>27</v>
      </c>
      <c r="E462">
        <v>42</v>
      </c>
      <c r="F462" t="s">
        <v>17</v>
      </c>
      <c r="G462" t="s">
        <v>31</v>
      </c>
      <c r="H462">
        <v>61</v>
      </c>
      <c r="I462">
        <v>4089</v>
      </c>
      <c r="J462">
        <v>16.52</v>
      </c>
      <c r="K462">
        <v>92</v>
      </c>
      <c r="L462">
        <v>3</v>
      </c>
      <c r="M462">
        <v>15008</v>
      </c>
    </row>
    <row r="463" spans="1:13">
      <c r="A463" t="s">
        <v>531</v>
      </c>
      <c r="B463" t="s">
        <v>95</v>
      </c>
      <c r="C463" t="s">
        <v>52</v>
      </c>
      <c r="D463" t="s">
        <v>27</v>
      </c>
      <c r="E463">
        <v>58</v>
      </c>
      <c r="F463" t="s">
        <v>34</v>
      </c>
      <c r="G463" t="s">
        <v>40</v>
      </c>
      <c r="H463">
        <v>89</v>
      </c>
      <c r="I463">
        <v>8403</v>
      </c>
      <c r="J463">
        <v>9.26</v>
      </c>
      <c r="K463">
        <v>32</v>
      </c>
      <c r="L463">
        <v>5</v>
      </c>
      <c r="M463">
        <v>25533</v>
      </c>
    </row>
    <row r="464" spans="1:13">
      <c r="A464" t="s">
        <v>532</v>
      </c>
      <c r="B464" t="s">
        <v>78</v>
      </c>
      <c r="C464" t="s">
        <v>15</v>
      </c>
      <c r="D464" t="s">
        <v>72</v>
      </c>
      <c r="E464">
        <v>35</v>
      </c>
      <c r="F464" t="s">
        <v>17</v>
      </c>
      <c r="G464" t="s">
        <v>70</v>
      </c>
      <c r="H464">
        <v>80</v>
      </c>
      <c r="I464">
        <v>5383</v>
      </c>
      <c r="J464">
        <v>8.99</v>
      </c>
      <c r="K464">
        <v>71</v>
      </c>
      <c r="L464">
        <v>4</v>
      </c>
      <c r="M464">
        <v>14110</v>
      </c>
    </row>
    <row r="465" spans="1:13">
      <c r="A465" t="s">
        <v>533</v>
      </c>
      <c r="B465" t="s">
        <v>64</v>
      </c>
      <c r="C465" t="s">
        <v>30</v>
      </c>
      <c r="D465" t="s">
        <v>27</v>
      </c>
      <c r="E465">
        <v>76</v>
      </c>
      <c r="F465" t="s">
        <v>17</v>
      </c>
      <c r="G465" t="s">
        <v>31</v>
      </c>
      <c r="H465">
        <v>79</v>
      </c>
      <c r="I465">
        <v>3867</v>
      </c>
      <c r="J465">
        <v>13.45</v>
      </c>
      <c r="K465">
        <v>92</v>
      </c>
      <c r="L465">
        <v>4</v>
      </c>
      <c r="M465">
        <v>21790</v>
      </c>
    </row>
    <row r="466" spans="1:13">
      <c r="A466" t="s">
        <v>534</v>
      </c>
      <c r="B466" t="s">
        <v>25</v>
      </c>
      <c r="C466" t="s">
        <v>26</v>
      </c>
      <c r="D466" t="s">
        <v>72</v>
      </c>
      <c r="E466">
        <v>24</v>
      </c>
      <c r="F466" t="s">
        <v>34</v>
      </c>
      <c r="G466" t="s">
        <v>70</v>
      </c>
      <c r="H466">
        <v>95</v>
      </c>
      <c r="I466">
        <v>1766</v>
      </c>
      <c r="J466">
        <v>2.99</v>
      </c>
      <c r="K466">
        <v>29</v>
      </c>
      <c r="L466">
        <v>5</v>
      </c>
      <c r="M466">
        <v>8575</v>
      </c>
    </row>
    <row r="467" spans="1:13">
      <c r="A467" t="s">
        <v>535</v>
      </c>
      <c r="B467" t="s">
        <v>103</v>
      </c>
      <c r="C467" t="s">
        <v>26</v>
      </c>
      <c r="D467" t="s">
        <v>27</v>
      </c>
      <c r="E467">
        <v>37</v>
      </c>
      <c r="F467" t="s">
        <v>22</v>
      </c>
      <c r="G467" t="s">
        <v>49</v>
      </c>
      <c r="H467">
        <v>92</v>
      </c>
      <c r="I467">
        <v>2740</v>
      </c>
      <c r="J467">
        <v>2.2200000000000002</v>
      </c>
      <c r="K467">
        <v>68</v>
      </c>
      <c r="L467">
        <v>4</v>
      </c>
      <c r="M467">
        <v>9445</v>
      </c>
    </row>
    <row r="468" spans="1:13">
      <c r="A468" t="s">
        <v>536</v>
      </c>
      <c r="B468" t="s">
        <v>129</v>
      </c>
      <c r="C468" t="s">
        <v>21</v>
      </c>
      <c r="D468" t="s">
        <v>27</v>
      </c>
      <c r="E468">
        <v>62</v>
      </c>
      <c r="F468" t="s">
        <v>22</v>
      </c>
      <c r="G468" t="s">
        <v>70</v>
      </c>
      <c r="H468">
        <v>82</v>
      </c>
      <c r="I468">
        <v>5967</v>
      </c>
      <c r="J468">
        <v>17.850000000000001</v>
      </c>
      <c r="K468">
        <v>126</v>
      </c>
      <c r="L468">
        <v>4</v>
      </c>
      <c r="M468">
        <v>23505</v>
      </c>
    </row>
    <row r="469" spans="1:13">
      <c r="A469" t="s">
        <v>537</v>
      </c>
      <c r="B469" t="s">
        <v>143</v>
      </c>
      <c r="C469" t="s">
        <v>21</v>
      </c>
      <c r="D469" t="s">
        <v>16</v>
      </c>
      <c r="E469">
        <v>8</v>
      </c>
      <c r="F469" t="s">
        <v>17</v>
      </c>
      <c r="G469" t="s">
        <v>40</v>
      </c>
      <c r="H469">
        <v>82</v>
      </c>
      <c r="I469">
        <v>7987</v>
      </c>
      <c r="J469">
        <v>15.84</v>
      </c>
      <c r="K469">
        <v>74</v>
      </c>
      <c r="L469">
        <v>4</v>
      </c>
      <c r="M469">
        <v>35515</v>
      </c>
    </row>
    <row r="470" spans="1:13">
      <c r="A470" t="s">
        <v>538</v>
      </c>
      <c r="B470" t="s">
        <v>44</v>
      </c>
      <c r="C470" t="s">
        <v>45</v>
      </c>
      <c r="D470" t="s">
        <v>27</v>
      </c>
      <c r="E470">
        <v>25</v>
      </c>
      <c r="F470" t="s">
        <v>34</v>
      </c>
      <c r="G470" t="s">
        <v>18</v>
      </c>
      <c r="H470">
        <v>79</v>
      </c>
      <c r="I470">
        <v>7609</v>
      </c>
      <c r="J470">
        <v>20.32</v>
      </c>
      <c r="K470">
        <v>81</v>
      </c>
      <c r="L470">
        <v>4</v>
      </c>
      <c r="M470">
        <v>27659</v>
      </c>
    </row>
    <row r="471" spans="1:13">
      <c r="A471" t="s">
        <v>539</v>
      </c>
      <c r="B471" t="s">
        <v>185</v>
      </c>
      <c r="C471" t="s">
        <v>52</v>
      </c>
      <c r="D471" t="s">
        <v>27</v>
      </c>
      <c r="E471">
        <v>63</v>
      </c>
      <c r="F471" t="s">
        <v>34</v>
      </c>
      <c r="G471" t="s">
        <v>18</v>
      </c>
      <c r="H471">
        <v>63</v>
      </c>
      <c r="I471">
        <v>10597</v>
      </c>
      <c r="J471">
        <v>17.670000000000002</v>
      </c>
      <c r="K471">
        <v>113</v>
      </c>
      <c r="L471">
        <v>4</v>
      </c>
      <c r="M471">
        <v>36726</v>
      </c>
    </row>
    <row r="472" spans="1:13">
      <c r="A472" t="s">
        <v>540</v>
      </c>
      <c r="B472" t="s">
        <v>14</v>
      </c>
      <c r="C472" t="s">
        <v>15</v>
      </c>
      <c r="D472" t="s">
        <v>16</v>
      </c>
      <c r="E472">
        <v>30</v>
      </c>
      <c r="F472" t="s">
        <v>34</v>
      </c>
      <c r="G472" t="s">
        <v>49</v>
      </c>
      <c r="H472">
        <v>80</v>
      </c>
      <c r="I472">
        <v>5529</v>
      </c>
      <c r="J472">
        <v>19.03</v>
      </c>
      <c r="K472">
        <v>99</v>
      </c>
      <c r="L472">
        <v>4</v>
      </c>
      <c r="M472">
        <v>18054</v>
      </c>
    </row>
    <row r="473" spans="1:13">
      <c r="A473" t="s">
        <v>541</v>
      </c>
      <c r="B473" t="s">
        <v>97</v>
      </c>
      <c r="C473" t="s">
        <v>30</v>
      </c>
      <c r="D473" t="s">
        <v>27</v>
      </c>
      <c r="E473">
        <v>66</v>
      </c>
      <c r="F473" t="s">
        <v>17</v>
      </c>
      <c r="G473" t="s">
        <v>49</v>
      </c>
      <c r="H473">
        <v>75</v>
      </c>
      <c r="I473">
        <v>3299</v>
      </c>
      <c r="J473">
        <v>9.5399999999999991</v>
      </c>
      <c r="K473">
        <v>116</v>
      </c>
      <c r="L473">
        <v>4</v>
      </c>
      <c r="M473">
        <v>13620</v>
      </c>
    </row>
    <row r="474" spans="1:13">
      <c r="A474" t="s">
        <v>542</v>
      </c>
      <c r="B474" t="s">
        <v>187</v>
      </c>
      <c r="C474" t="s">
        <v>30</v>
      </c>
      <c r="D474" t="s">
        <v>16</v>
      </c>
      <c r="E474">
        <v>23</v>
      </c>
      <c r="F474" t="s">
        <v>22</v>
      </c>
      <c r="G474" t="s">
        <v>23</v>
      </c>
      <c r="H474">
        <v>72</v>
      </c>
      <c r="I474">
        <v>2603</v>
      </c>
      <c r="J474">
        <v>18.760000000000002</v>
      </c>
      <c r="K474">
        <v>148</v>
      </c>
      <c r="L474">
        <v>3</v>
      </c>
      <c r="M474">
        <v>15301</v>
      </c>
    </row>
    <row r="475" spans="1:13">
      <c r="A475" t="s">
        <v>543</v>
      </c>
      <c r="B475" t="s">
        <v>51</v>
      </c>
      <c r="C475" t="s">
        <v>52</v>
      </c>
      <c r="D475" t="s">
        <v>27</v>
      </c>
      <c r="E475">
        <v>77</v>
      </c>
      <c r="F475" t="s">
        <v>17</v>
      </c>
      <c r="G475" t="s">
        <v>49</v>
      </c>
      <c r="H475">
        <v>74</v>
      </c>
      <c r="I475">
        <v>6763</v>
      </c>
      <c r="J475">
        <v>14</v>
      </c>
      <c r="K475">
        <v>119</v>
      </c>
      <c r="L475">
        <v>3</v>
      </c>
      <c r="M475">
        <v>24978</v>
      </c>
    </row>
    <row r="476" spans="1:13">
      <c r="A476" t="s">
        <v>544</v>
      </c>
      <c r="B476" t="s">
        <v>51</v>
      </c>
      <c r="C476" t="s">
        <v>52</v>
      </c>
      <c r="D476" t="s">
        <v>27</v>
      </c>
      <c r="E476">
        <v>41</v>
      </c>
      <c r="F476" t="s">
        <v>34</v>
      </c>
      <c r="G476" t="s">
        <v>18</v>
      </c>
      <c r="H476">
        <v>79</v>
      </c>
      <c r="I476">
        <v>8706</v>
      </c>
      <c r="J476">
        <v>11.07</v>
      </c>
      <c r="K476">
        <v>95</v>
      </c>
      <c r="L476">
        <v>3</v>
      </c>
      <c r="M476">
        <v>43028</v>
      </c>
    </row>
    <row r="477" spans="1:13">
      <c r="A477" t="s">
        <v>545</v>
      </c>
      <c r="B477" t="s">
        <v>42</v>
      </c>
      <c r="C477" t="s">
        <v>39</v>
      </c>
      <c r="D477" t="s">
        <v>16</v>
      </c>
      <c r="E477">
        <v>16</v>
      </c>
      <c r="F477" t="s">
        <v>22</v>
      </c>
      <c r="G477" t="s">
        <v>40</v>
      </c>
      <c r="H477">
        <v>80</v>
      </c>
      <c r="I477">
        <v>3709</v>
      </c>
      <c r="J477">
        <v>12.64</v>
      </c>
      <c r="K477">
        <v>63</v>
      </c>
      <c r="L477">
        <v>4</v>
      </c>
      <c r="M477">
        <v>9286</v>
      </c>
    </row>
    <row r="478" spans="1:13">
      <c r="A478" t="s">
        <v>546</v>
      </c>
      <c r="B478" t="s">
        <v>62</v>
      </c>
      <c r="C478" t="s">
        <v>52</v>
      </c>
      <c r="D478" t="s">
        <v>16</v>
      </c>
      <c r="E478">
        <v>27</v>
      </c>
      <c r="F478" t="s">
        <v>22</v>
      </c>
      <c r="G478" t="s">
        <v>49</v>
      </c>
      <c r="H478">
        <v>76</v>
      </c>
      <c r="I478">
        <v>9898</v>
      </c>
      <c r="J478">
        <v>19.75</v>
      </c>
      <c r="K478">
        <v>65</v>
      </c>
      <c r="L478">
        <v>4</v>
      </c>
      <c r="M478">
        <v>49992</v>
      </c>
    </row>
    <row r="479" spans="1:13">
      <c r="A479" t="s">
        <v>547</v>
      </c>
      <c r="B479" t="s">
        <v>185</v>
      </c>
      <c r="C479" t="s">
        <v>52</v>
      </c>
      <c r="D479" t="s">
        <v>27</v>
      </c>
      <c r="E479">
        <v>68</v>
      </c>
      <c r="F479" t="s">
        <v>17</v>
      </c>
      <c r="G479" t="s">
        <v>49</v>
      </c>
      <c r="H479">
        <v>76</v>
      </c>
      <c r="I479">
        <v>4847</v>
      </c>
      <c r="J479">
        <v>16.829999999999998</v>
      </c>
      <c r="K479">
        <v>55</v>
      </c>
      <c r="L479">
        <v>4</v>
      </c>
      <c r="M479">
        <v>18937</v>
      </c>
    </row>
    <row r="480" spans="1:13">
      <c r="A480" t="s">
        <v>548</v>
      </c>
      <c r="B480" t="s">
        <v>36</v>
      </c>
      <c r="C480" t="s">
        <v>21</v>
      </c>
      <c r="D480" t="s">
        <v>16</v>
      </c>
      <c r="E480">
        <v>62</v>
      </c>
      <c r="F480" t="s">
        <v>17</v>
      </c>
      <c r="G480" t="s">
        <v>40</v>
      </c>
      <c r="H480">
        <v>78</v>
      </c>
      <c r="I480">
        <v>5308</v>
      </c>
      <c r="J480">
        <v>20.420000000000002</v>
      </c>
      <c r="K480">
        <v>104</v>
      </c>
      <c r="L480">
        <v>4</v>
      </c>
      <c r="M480">
        <v>31060</v>
      </c>
    </row>
    <row r="481" spans="1:13">
      <c r="A481" t="s">
        <v>549</v>
      </c>
      <c r="B481" t="s">
        <v>137</v>
      </c>
      <c r="C481" t="s">
        <v>26</v>
      </c>
      <c r="D481" t="s">
        <v>27</v>
      </c>
      <c r="E481">
        <v>57</v>
      </c>
      <c r="F481" t="s">
        <v>34</v>
      </c>
      <c r="G481" t="s">
        <v>70</v>
      </c>
      <c r="H481">
        <v>89</v>
      </c>
      <c r="I481">
        <v>2549</v>
      </c>
      <c r="J481">
        <v>1.63</v>
      </c>
      <c r="K481">
        <v>100</v>
      </c>
      <c r="L481">
        <v>4</v>
      </c>
      <c r="M481">
        <v>9840</v>
      </c>
    </row>
    <row r="482" spans="1:13">
      <c r="A482" t="s">
        <v>550</v>
      </c>
      <c r="B482" t="s">
        <v>129</v>
      </c>
      <c r="C482" t="s">
        <v>21</v>
      </c>
      <c r="D482" t="s">
        <v>27</v>
      </c>
      <c r="E482">
        <v>38</v>
      </c>
      <c r="F482" t="s">
        <v>22</v>
      </c>
      <c r="G482" t="s">
        <v>70</v>
      </c>
      <c r="H482">
        <v>85</v>
      </c>
      <c r="I482">
        <v>5683</v>
      </c>
      <c r="J482">
        <v>13.85</v>
      </c>
      <c r="K482">
        <v>85</v>
      </c>
      <c r="L482">
        <v>3</v>
      </c>
      <c r="M482">
        <v>31584</v>
      </c>
    </row>
    <row r="483" spans="1:13">
      <c r="A483" t="s">
        <v>551</v>
      </c>
      <c r="B483" t="s">
        <v>60</v>
      </c>
      <c r="C483" t="s">
        <v>52</v>
      </c>
      <c r="D483" t="s">
        <v>27</v>
      </c>
      <c r="E483">
        <v>33</v>
      </c>
      <c r="F483" t="s">
        <v>22</v>
      </c>
      <c r="G483" t="s">
        <v>18</v>
      </c>
      <c r="H483">
        <v>85</v>
      </c>
      <c r="I483">
        <v>6691</v>
      </c>
      <c r="J483">
        <v>7.47</v>
      </c>
      <c r="K483">
        <v>100</v>
      </c>
      <c r="L483">
        <v>5</v>
      </c>
      <c r="M483">
        <v>24109</v>
      </c>
    </row>
    <row r="484" spans="1:13">
      <c r="A484" t="s">
        <v>552</v>
      </c>
      <c r="B484" t="s">
        <v>74</v>
      </c>
      <c r="C484" t="s">
        <v>45</v>
      </c>
      <c r="D484" t="s">
        <v>16</v>
      </c>
      <c r="E484">
        <v>51</v>
      </c>
      <c r="F484" t="s">
        <v>34</v>
      </c>
      <c r="G484" t="s">
        <v>49</v>
      </c>
      <c r="H484">
        <v>85</v>
      </c>
      <c r="I484">
        <v>9389</v>
      </c>
      <c r="J484">
        <v>12.9</v>
      </c>
      <c r="K484">
        <v>76</v>
      </c>
      <c r="L484">
        <v>5</v>
      </c>
      <c r="M484">
        <v>48232</v>
      </c>
    </row>
    <row r="485" spans="1:13">
      <c r="A485" t="s">
        <v>553</v>
      </c>
      <c r="B485" t="s">
        <v>36</v>
      </c>
      <c r="C485" t="s">
        <v>21</v>
      </c>
      <c r="D485" t="s">
        <v>27</v>
      </c>
      <c r="E485">
        <v>44</v>
      </c>
      <c r="F485" t="s">
        <v>17</v>
      </c>
      <c r="G485" t="s">
        <v>40</v>
      </c>
      <c r="H485">
        <v>68</v>
      </c>
      <c r="I485">
        <v>7468</v>
      </c>
      <c r="J485">
        <v>20.76</v>
      </c>
      <c r="K485">
        <v>111</v>
      </c>
      <c r="L485">
        <v>3</v>
      </c>
      <c r="M485">
        <v>34799</v>
      </c>
    </row>
    <row r="486" spans="1:13">
      <c r="A486" t="s">
        <v>554</v>
      </c>
      <c r="B486" t="s">
        <v>88</v>
      </c>
      <c r="C486" t="s">
        <v>15</v>
      </c>
      <c r="D486" t="s">
        <v>16</v>
      </c>
      <c r="E486">
        <v>37</v>
      </c>
      <c r="F486" t="s">
        <v>17</v>
      </c>
      <c r="G486" t="s">
        <v>49</v>
      </c>
      <c r="H486">
        <v>83</v>
      </c>
      <c r="I486">
        <v>6924</v>
      </c>
      <c r="J486">
        <v>12.07</v>
      </c>
      <c r="K486">
        <v>93</v>
      </c>
      <c r="L486">
        <v>5</v>
      </c>
      <c r="M486">
        <v>19394</v>
      </c>
    </row>
    <row r="487" spans="1:13">
      <c r="A487" t="s">
        <v>555</v>
      </c>
      <c r="B487" t="s">
        <v>51</v>
      </c>
      <c r="C487" t="s">
        <v>52</v>
      </c>
      <c r="D487" t="s">
        <v>27</v>
      </c>
      <c r="E487">
        <v>68</v>
      </c>
      <c r="F487" t="s">
        <v>22</v>
      </c>
      <c r="G487" t="s">
        <v>49</v>
      </c>
      <c r="H487">
        <v>85</v>
      </c>
      <c r="I487">
        <v>9051</v>
      </c>
      <c r="J487">
        <v>8.92</v>
      </c>
      <c r="K487">
        <v>125</v>
      </c>
      <c r="L487">
        <v>4</v>
      </c>
      <c r="M487">
        <v>30620</v>
      </c>
    </row>
    <row r="488" spans="1:13">
      <c r="A488" t="s">
        <v>556</v>
      </c>
      <c r="B488" t="s">
        <v>109</v>
      </c>
      <c r="C488" t="s">
        <v>30</v>
      </c>
      <c r="D488" t="s">
        <v>27</v>
      </c>
      <c r="E488">
        <v>63</v>
      </c>
      <c r="F488" t="s">
        <v>22</v>
      </c>
      <c r="G488" t="s">
        <v>31</v>
      </c>
      <c r="H488">
        <v>82</v>
      </c>
      <c r="I488">
        <v>4612</v>
      </c>
      <c r="J488">
        <v>20.3</v>
      </c>
      <c r="K488">
        <v>79</v>
      </c>
      <c r="L488">
        <v>4</v>
      </c>
      <c r="M488">
        <v>19055</v>
      </c>
    </row>
    <row r="489" spans="1:13">
      <c r="A489" t="s">
        <v>557</v>
      </c>
      <c r="B489" t="s">
        <v>185</v>
      </c>
      <c r="C489" t="s">
        <v>52</v>
      </c>
      <c r="D489" t="s">
        <v>27</v>
      </c>
      <c r="E489">
        <v>56</v>
      </c>
      <c r="F489" t="s">
        <v>34</v>
      </c>
      <c r="G489" t="s">
        <v>40</v>
      </c>
      <c r="H489">
        <v>77</v>
      </c>
      <c r="I489">
        <v>4759</v>
      </c>
      <c r="J489">
        <v>17.239999999999998</v>
      </c>
      <c r="K489">
        <v>61</v>
      </c>
      <c r="L489">
        <v>4</v>
      </c>
      <c r="M489">
        <v>24665</v>
      </c>
    </row>
    <row r="490" spans="1:13">
      <c r="A490" t="s">
        <v>558</v>
      </c>
      <c r="B490" t="s">
        <v>97</v>
      </c>
      <c r="C490" t="s">
        <v>30</v>
      </c>
      <c r="D490" t="s">
        <v>16</v>
      </c>
      <c r="E490">
        <v>24</v>
      </c>
      <c r="F490" t="s">
        <v>22</v>
      </c>
      <c r="G490" t="s">
        <v>23</v>
      </c>
      <c r="H490">
        <v>65</v>
      </c>
      <c r="I490">
        <v>2824</v>
      </c>
      <c r="J490">
        <v>24.51</v>
      </c>
      <c r="K490">
        <v>134</v>
      </c>
      <c r="L490">
        <v>4</v>
      </c>
      <c r="M490">
        <v>11134</v>
      </c>
    </row>
    <row r="491" spans="1:13">
      <c r="A491" t="s">
        <v>559</v>
      </c>
      <c r="B491" t="s">
        <v>68</v>
      </c>
      <c r="C491" t="s">
        <v>45</v>
      </c>
      <c r="D491" t="s">
        <v>16</v>
      </c>
      <c r="E491">
        <v>49</v>
      </c>
      <c r="F491" t="s">
        <v>22</v>
      </c>
      <c r="G491" t="s">
        <v>18</v>
      </c>
      <c r="H491">
        <v>76</v>
      </c>
      <c r="I491">
        <v>8841</v>
      </c>
      <c r="J491">
        <v>18.350000000000001</v>
      </c>
      <c r="K491">
        <v>75</v>
      </c>
      <c r="L491">
        <v>4</v>
      </c>
      <c r="M491">
        <v>37757</v>
      </c>
    </row>
    <row r="492" spans="1:13">
      <c r="A492" t="s">
        <v>560</v>
      </c>
      <c r="B492" t="s">
        <v>33</v>
      </c>
      <c r="C492" t="s">
        <v>26</v>
      </c>
      <c r="D492" t="s">
        <v>16</v>
      </c>
      <c r="E492">
        <v>54</v>
      </c>
      <c r="F492" t="s">
        <v>34</v>
      </c>
      <c r="G492" t="s">
        <v>70</v>
      </c>
      <c r="H492">
        <v>83</v>
      </c>
      <c r="I492">
        <v>1923</v>
      </c>
      <c r="J492">
        <v>0</v>
      </c>
      <c r="K492">
        <v>25</v>
      </c>
      <c r="L492">
        <v>4</v>
      </c>
      <c r="M492">
        <v>9247</v>
      </c>
    </row>
    <row r="493" spans="1:13">
      <c r="A493" t="s">
        <v>561</v>
      </c>
      <c r="B493" t="s">
        <v>44</v>
      </c>
      <c r="C493" t="s">
        <v>45</v>
      </c>
      <c r="D493" t="s">
        <v>16</v>
      </c>
      <c r="E493">
        <v>84</v>
      </c>
      <c r="F493" t="s">
        <v>34</v>
      </c>
      <c r="G493" t="s">
        <v>40</v>
      </c>
      <c r="H493">
        <v>88</v>
      </c>
      <c r="I493">
        <v>9310</v>
      </c>
      <c r="J493">
        <v>19.04</v>
      </c>
      <c r="K493">
        <v>79</v>
      </c>
      <c r="L493">
        <v>4</v>
      </c>
      <c r="M493">
        <v>42230</v>
      </c>
    </row>
    <row r="494" spans="1:13">
      <c r="A494" t="s">
        <v>562</v>
      </c>
      <c r="B494" t="s">
        <v>42</v>
      </c>
      <c r="C494" t="s">
        <v>39</v>
      </c>
      <c r="D494" t="s">
        <v>16</v>
      </c>
      <c r="E494">
        <v>11</v>
      </c>
      <c r="F494" t="s">
        <v>34</v>
      </c>
      <c r="G494" t="s">
        <v>23</v>
      </c>
      <c r="H494">
        <v>91</v>
      </c>
      <c r="I494">
        <v>2832</v>
      </c>
      <c r="J494">
        <v>4.1399999999999997</v>
      </c>
      <c r="K494">
        <v>39</v>
      </c>
      <c r="L494">
        <v>4</v>
      </c>
      <c r="M494">
        <v>9149</v>
      </c>
    </row>
    <row r="495" spans="1:13">
      <c r="A495" t="s">
        <v>563</v>
      </c>
      <c r="B495" t="s">
        <v>56</v>
      </c>
      <c r="C495" t="s">
        <v>45</v>
      </c>
      <c r="D495" t="s">
        <v>16</v>
      </c>
      <c r="E495">
        <v>46</v>
      </c>
      <c r="F495" t="s">
        <v>34</v>
      </c>
      <c r="G495" t="s">
        <v>40</v>
      </c>
      <c r="H495">
        <v>67</v>
      </c>
      <c r="I495">
        <v>10792</v>
      </c>
      <c r="J495">
        <v>18.02</v>
      </c>
      <c r="K495">
        <v>81</v>
      </c>
      <c r="L495">
        <v>4</v>
      </c>
      <c r="M495">
        <v>57311</v>
      </c>
    </row>
    <row r="496" spans="1:13">
      <c r="A496" t="s">
        <v>564</v>
      </c>
      <c r="B496" t="s">
        <v>25</v>
      </c>
      <c r="C496" t="s">
        <v>26</v>
      </c>
      <c r="D496" t="s">
        <v>16</v>
      </c>
      <c r="E496">
        <v>28</v>
      </c>
      <c r="F496" t="s">
        <v>17</v>
      </c>
      <c r="G496" t="s">
        <v>31</v>
      </c>
      <c r="H496">
        <v>79</v>
      </c>
      <c r="I496">
        <v>2930</v>
      </c>
      <c r="J496">
        <v>5.56</v>
      </c>
      <c r="K496">
        <v>46</v>
      </c>
      <c r="L496">
        <v>4</v>
      </c>
      <c r="M496">
        <v>8796</v>
      </c>
    </row>
    <row r="497" spans="1:13">
      <c r="A497" t="s">
        <v>565</v>
      </c>
      <c r="B497" t="s">
        <v>20</v>
      </c>
      <c r="C497" t="s">
        <v>21</v>
      </c>
      <c r="D497" t="s">
        <v>27</v>
      </c>
      <c r="E497">
        <v>40</v>
      </c>
      <c r="F497" t="s">
        <v>22</v>
      </c>
      <c r="G497" t="s">
        <v>49</v>
      </c>
      <c r="H497">
        <v>85</v>
      </c>
      <c r="I497">
        <v>5516</v>
      </c>
      <c r="J497">
        <v>15.69</v>
      </c>
      <c r="K497">
        <v>67</v>
      </c>
      <c r="L497">
        <v>4</v>
      </c>
      <c r="M497">
        <v>15338</v>
      </c>
    </row>
    <row r="498" spans="1:13">
      <c r="A498" t="s">
        <v>566</v>
      </c>
      <c r="B498" t="s">
        <v>25</v>
      </c>
      <c r="C498" t="s">
        <v>26</v>
      </c>
      <c r="D498" t="s">
        <v>27</v>
      </c>
      <c r="E498">
        <v>90</v>
      </c>
      <c r="F498" t="s">
        <v>34</v>
      </c>
      <c r="G498" t="s">
        <v>18</v>
      </c>
      <c r="H498">
        <v>88</v>
      </c>
      <c r="I498">
        <v>2745</v>
      </c>
      <c r="J498">
        <v>7.28</v>
      </c>
      <c r="K498">
        <v>36</v>
      </c>
      <c r="L498">
        <v>4</v>
      </c>
      <c r="M498">
        <v>8057</v>
      </c>
    </row>
    <row r="499" spans="1:13">
      <c r="A499" t="s">
        <v>567</v>
      </c>
      <c r="B499" t="s">
        <v>137</v>
      </c>
      <c r="C499" t="s">
        <v>26</v>
      </c>
      <c r="D499" t="s">
        <v>16</v>
      </c>
      <c r="E499">
        <v>56</v>
      </c>
      <c r="F499" t="s">
        <v>34</v>
      </c>
      <c r="G499" t="s">
        <v>49</v>
      </c>
      <c r="H499">
        <v>99</v>
      </c>
      <c r="I499">
        <v>2449</v>
      </c>
      <c r="J499">
        <v>3.03</v>
      </c>
      <c r="K499">
        <v>28</v>
      </c>
      <c r="L499">
        <v>5</v>
      </c>
      <c r="M499">
        <v>14144</v>
      </c>
    </row>
    <row r="500" spans="1:13">
      <c r="A500" t="s">
        <v>568</v>
      </c>
      <c r="B500" t="s">
        <v>25</v>
      </c>
      <c r="C500" t="s">
        <v>39</v>
      </c>
      <c r="D500" t="s">
        <v>16</v>
      </c>
      <c r="E500">
        <v>17</v>
      </c>
      <c r="F500" t="s">
        <v>34</v>
      </c>
      <c r="G500" t="s">
        <v>31</v>
      </c>
      <c r="H500">
        <v>89</v>
      </c>
      <c r="I500">
        <v>2595</v>
      </c>
      <c r="J500">
        <v>6.39</v>
      </c>
      <c r="K500">
        <v>100</v>
      </c>
      <c r="L500">
        <v>4</v>
      </c>
      <c r="M500">
        <v>9947</v>
      </c>
    </row>
    <row r="501" spans="1:13">
      <c r="A501" t="s">
        <v>569</v>
      </c>
      <c r="B501" t="s">
        <v>168</v>
      </c>
      <c r="C501" t="s">
        <v>45</v>
      </c>
      <c r="D501" t="s">
        <v>27</v>
      </c>
      <c r="E501">
        <v>47</v>
      </c>
      <c r="F501" t="s">
        <v>34</v>
      </c>
      <c r="G501" t="s">
        <v>18</v>
      </c>
      <c r="H501">
        <v>73</v>
      </c>
      <c r="I501">
        <v>8578</v>
      </c>
      <c r="J501">
        <v>20.23</v>
      </c>
      <c r="K501">
        <v>83</v>
      </c>
      <c r="L501">
        <v>3</v>
      </c>
      <c r="M501">
        <v>22896</v>
      </c>
    </row>
    <row r="502" spans="1:13">
      <c r="A502" t="s">
        <v>570</v>
      </c>
      <c r="B502" t="s">
        <v>84</v>
      </c>
      <c r="C502" t="s">
        <v>21</v>
      </c>
      <c r="D502" t="s">
        <v>16</v>
      </c>
      <c r="E502">
        <v>53</v>
      </c>
      <c r="F502" t="s">
        <v>22</v>
      </c>
      <c r="G502" t="s">
        <v>31</v>
      </c>
      <c r="H502">
        <v>74</v>
      </c>
      <c r="I502">
        <v>4191</v>
      </c>
      <c r="J502">
        <v>19.260000000000002</v>
      </c>
      <c r="K502">
        <v>98</v>
      </c>
      <c r="L502">
        <v>4</v>
      </c>
      <c r="M502">
        <v>22592</v>
      </c>
    </row>
    <row r="503" spans="1:13">
      <c r="A503" t="s">
        <v>571</v>
      </c>
      <c r="B503" t="s">
        <v>29</v>
      </c>
      <c r="C503" t="s">
        <v>30</v>
      </c>
      <c r="D503" t="s">
        <v>27</v>
      </c>
      <c r="E503">
        <v>69</v>
      </c>
      <c r="F503" t="s">
        <v>17</v>
      </c>
      <c r="G503" t="s">
        <v>31</v>
      </c>
      <c r="H503">
        <v>68</v>
      </c>
      <c r="I503">
        <v>2434</v>
      </c>
      <c r="J503">
        <v>24.99</v>
      </c>
      <c r="K503">
        <v>121</v>
      </c>
      <c r="L503">
        <v>4</v>
      </c>
      <c r="M503">
        <v>11239</v>
      </c>
    </row>
    <row r="504" spans="1:13">
      <c r="A504" t="s">
        <v>572</v>
      </c>
      <c r="B504" t="s">
        <v>109</v>
      </c>
      <c r="C504" t="s">
        <v>30</v>
      </c>
      <c r="D504" t="s">
        <v>27</v>
      </c>
      <c r="E504">
        <v>56</v>
      </c>
      <c r="F504" t="s">
        <v>22</v>
      </c>
      <c r="G504" t="s">
        <v>18</v>
      </c>
      <c r="H504">
        <v>76</v>
      </c>
      <c r="I504">
        <v>2598</v>
      </c>
      <c r="J504">
        <v>19.170000000000002</v>
      </c>
      <c r="K504">
        <v>84</v>
      </c>
      <c r="L504">
        <v>4</v>
      </c>
      <c r="M504">
        <v>13439</v>
      </c>
    </row>
    <row r="505" spans="1:13">
      <c r="A505" t="s">
        <v>573</v>
      </c>
      <c r="B505" t="s">
        <v>54</v>
      </c>
      <c r="C505" t="s">
        <v>15</v>
      </c>
      <c r="D505" t="s">
        <v>27</v>
      </c>
      <c r="E505">
        <v>14</v>
      </c>
      <c r="F505" t="s">
        <v>22</v>
      </c>
      <c r="G505" t="s">
        <v>70</v>
      </c>
      <c r="H505">
        <v>70</v>
      </c>
      <c r="I505">
        <v>6170</v>
      </c>
      <c r="J505">
        <v>16.940000000000001</v>
      </c>
      <c r="K505">
        <v>87</v>
      </c>
      <c r="L505">
        <v>3</v>
      </c>
      <c r="M505">
        <v>19408</v>
      </c>
    </row>
    <row r="506" spans="1:13">
      <c r="A506" t="s">
        <v>574</v>
      </c>
      <c r="B506" t="s">
        <v>38</v>
      </c>
      <c r="C506" t="s">
        <v>39</v>
      </c>
      <c r="D506" t="s">
        <v>16</v>
      </c>
      <c r="E506">
        <v>18</v>
      </c>
      <c r="F506" t="s">
        <v>22</v>
      </c>
      <c r="G506" t="s">
        <v>49</v>
      </c>
      <c r="H506">
        <v>73</v>
      </c>
      <c r="I506">
        <v>2923</v>
      </c>
      <c r="J506">
        <v>5.76</v>
      </c>
      <c r="K506">
        <v>34</v>
      </c>
      <c r="L506">
        <v>4</v>
      </c>
      <c r="M506">
        <v>11223</v>
      </c>
    </row>
    <row r="507" spans="1:13">
      <c r="A507" t="s">
        <v>575</v>
      </c>
      <c r="B507" t="s">
        <v>168</v>
      </c>
      <c r="C507" t="s">
        <v>45</v>
      </c>
      <c r="D507" t="s">
        <v>27</v>
      </c>
      <c r="E507">
        <v>41</v>
      </c>
      <c r="F507" t="s">
        <v>22</v>
      </c>
      <c r="G507" t="s">
        <v>49</v>
      </c>
      <c r="H507">
        <v>75</v>
      </c>
      <c r="I507">
        <v>7690</v>
      </c>
      <c r="J507">
        <v>17.04</v>
      </c>
      <c r="K507">
        <v>98</v>
      </c>
      <c r="L507">
        <v>3</v>
      </c>
      <c r="M507">
        <v>34459</v>
      </c>
    </row>
    <row r="508" spans="1:13">
      <c r="A508" t="s">
        <v>576</v>
      </c>
      <c r="B508" t="s">
        <v>25</v>
      </c>
      <c r="C508" t="s">
        <v>26</v>
      </c>
      <c r="D508" t="s">
        <v>27</v>
      </c>
      <c r="E508">
        <v>48</v>
      </c>
      <c r="F508" t="s">
        <v>22</v>
      </c>
      <c r="G508" t="s">
        <v>40</v>
      </c>
      <c r="H508">
        <v>85</v>
      </c>
      <c r="I508">
        <v>2587</v>
      </c>
      <c r="J508">
        <v>0</v>
      </c>
      <c r="K508">
        <v>65</v>
      </c>
      <c r="L508">
        <v>4</v>
      </c>
      <c r="M508">
        <v>15032</v>
      </c>
    </row>
    <row r="509" spans="1:13">
      <c r="A509" t="s">
        <v>577</v>
      </c>
      <c r="B509" t="s">
        <v>58</v>
      </c>
      <c r="C509" t="s">
        <v>48</v>
      </c>
      <c r="D509" t="s">
        <v>16</v>
      </c>
      <c r="E509">
        <v>35</v>
      </c>
      <c r="F509" t="s">
        <v>22</v>
      </c>
      <c r="G509" t="s">
        <v>31</v>
      </c>
      <c r="H509">
        <v>79</v>
      </c>
      <c r="I509">
        <v>4034</v>
      </c>
      <c r="J509">
        <v>12.48</v>
      </c>
      <c r="K509">
        <v>91</v>
      </c>
      <c r="L509">
        <v>4</v>
      </c>
      <c r="M509">
        <v>12097</v>
      </c>
    </row>
    <row r="510" spans="1:13">
      <c r="A510" t="s">
        <v>578</v>
      </c>
      <c r="B510" t="s">
        <v>33</v>
      </c>
      <c r="C510" t="s">
        <v>26</v>
      </c>
      <c r="D510" t="s">
        <v>27</v>
      </c>
      <c r="E510">
        <v>64</v>
      </c>
      <c r="F510" t="s">
        <v>17</v>
      </c>
      <c r="G510" t="s">
        <v>49</v>
      </c>
      <c r="H510">
        <v>88</v>
      </c>
      <c r="I510">
        <v>3076</v>
      </c>
      <c r="J510">
        <v>10.55</v>
      </c>
      <c r="K510">
        <v>5</v>
      </c>
      <c r="L510">
        <v>3</v>
      </c>
      <c r="M510">
        <v>12162</v>
      </c>
    </row>
    <row r="511" spans="1:13">
      <c r="A511" t="s">
        <v>579</v>
      </c>
      <c r="B511" t="s">
        <v>143</v>
      </c>
      <c r="C511" t="s">
        <v>21</v>
      </c>
      <c r="D511" t="s">
        <v>27</v>
      </c>
      <c r="E511">
        <v>47</v>
      </c>
      <c r="F511" t="s">
        <v>22</v>
      </c>
      <c r="G511" t="s">
        <v>40</v>
      </c>
      <c r="H511">
        <v>66</v>
      </c>
      <c r="I511">
        <v>5309</v>
      </c>
      <c r="J511">
        <v>19.54</v>
      </c>
      <c r="K511">
        <v>100</v>
      </c>
      <c r="L511">
        <v>3</v>
      </c>
      <c r="M511">
        <v>15074</v>
      </c>
    </row>
    <row r="512" spans="1:13">
      <c r="A512" t="s">
        <v>580</v>
      </c>
      <c r="B512" t="s">
        <v>25</v>
      </c>
      <c r="C512" t="s">
        <v>39</v>
      </c>
      <c r="D512" t="s">
        <v>16</v>
      </c>
      <c r="E512">
        <v>6</v>
      </c>
      <c r="F512" t="s">
        <v>17</v>
      </c>
      <c r="G512" t="s">
        <v>40</v>
      </c>
      <c r="H512">
        <v>85</v>
      </c>
      <c r="I512">
        <v>3306</v>
      </c>
      <c r="J512">
        <v>15.74</v>
      </c>
      <c r="K512">
        <v>49</v>
      </c>
      <c r="L512">
        <v>4</v>
      </c>
      <c r="M512">
        <v>9106</v>
      </c>
    </row>
    <row r="513" spans="1:13">
      <c r="A513" t="s">
        <v>581</v>
      </c>
      <c r="B513" t="s">
        <v>103</v>
      </c>
      <c r="C513" t="s">
        <v>26</v>
      </c>
      <c r="D513" t="s">
        <v>16</v>
      </c>
      <c r="E513">
        <v>27</v>
      </c>
      <c r="F513" t="s">
        <v>22</v>
      </c>
      <c r="G513" t="s">
        <v>18</v>
      </c>
      <c r="H513">
        <v>88</v>
      </c>
      <c r="I513">
        <v>2751</v>
      </c>
      <c r="J513">
        <v>3.61</v>
      </c>
      <c r="K513">
        <v>18</v>
      </c>
      <c r="L513">
        <v>5</v>
      </c>
      <c r="M513">
        <v>10722</v>
      </c>
    </row>
    <row r="514" spans="1:13">
      <c r="A514" t="s">
        <v>582</v>
      </c>
      <c r="B514" t="s">
        <v>58</v>
      </c>
      <c r="C514" t="s">
        <v>48</v>
      </c>
      <c r="D514" t="s">
        <v>16</v>
      </c>
      <c r="E514">
        <v>51</v>
      </c>
      <c r="F514" t="s">
        <v>22</v>
      </c>
      <c r="G514" t="s">
        <v>23</v>
      </c>
      <c r="H514">
        <v>87</v>
      </c>
      <c r="I514">
        <v>6600</v>
      </c>
      <c r="J514">
        <v>9.8699999999999992</v>
      </c>
      <c r="K514">
        <v>73</v>
      </c>
      <c r="L514">
        <v>4</v>
      </c>
      <c r="M514">
        <v>26202</v>
      </c>
    </row>
    <row r="515" spans="1:13">
      <c r="A515" t="s">
        <v>583</v>
      </c>
      <c r="B515" t="s">
        <v>88</v>
      </c>
      <c r="C515" t="s">
        <v>15</v>
      </c>
      <c r="D515" t="s">
        <v>27</v>
      </c>
      <c r="E515">
        <v>69</v>
      </c>
      <c r="F515" t="s">
        <v>22</v>
      </c>
      <c r="G515" t="s">
        <v>70</v>
      </c>
      <c r="H515">
        <v>76</v>
      </c>
      <c r="I515">
        <v>7475</v>
      </c>
      <c r="J515">
        <v>17.13</v>
      </c>
      <c r="K515">
        <v>90</v>
      </c>
      <c r="L515">
        <v>4</v>
      </c>
      <c r="M515">
        <v>22349</v>
      </c>
    </row>
    <row r="516" spans="1:13">
      <c r="A516" t="s">
        <v>584</v>
      </c>
      <c r="B516" t="s">
        <v>109</v>
      </c>
      <c r="C516" t="s">
        <v>30</v>
      </c>
      <c r="D516" t="s">
        <v>16</v>
      </c>
      <c r="E516">
        <v>70</v>
      </c>
      <c r="F516" t="s">
        <v>17</v>
      </c>
      <c r="G516" t="s">
        <v>70</v>
      </c>
      <c r="H516">
        <v>78</v>
      </c>
      <c r="I516">
        <v>3851</v>
      </c>
      <c r="J516">
        <v>8.0299999999999994</v>
      </c>
      <c r="K516">
        <v>65</v>
      </c>
      <c r="L516">
        <v>5</v>
      </c>
      <c r="M516">
        <v>11420</v>
      </c>
    </row>
    <row r="517" spans="1:13">
      <c r="A517" t="s">
        <v>585</v>
      </c>
      <c r="B517" t="s">
        <v>25</v>
      </c>
      <c r="C517" t="s">
        <v>26</v>
      </c>
      <c r="D517" t="s">
        <v>16</v>
      </c>
      <c r="E517">
        <v>72</v>
      </c>
      <c r="F517" t="s">
        <v>17</v>
      </c>
      <c r="G517" t="s">
        <v>49</v>
      </c>
      <c r="H517">
        <v>97</v>
      </c>
      <c r="I517">
        <v>1186</v>
      </c>
      <c r="J517">
        <v>2.91</v>
      </c>
      <c r="K517">
        <v>21</v>
      </c>
      <c r="L517">
        <v>4</v>
      </c>
      <c r="M517">
        <v>5354</v>
      </c>
    </row>
    <row r="518" spans="1:13">
      <c r="A518" t="s">
        <v>586</v>
      </c>
      <c r="B518" t="s">
        <v>97</v>
      </c>
      <c r="C518" t="s">
        <v>30</v>
      </c>
      <c r="D518" t="s">
        <v>27</v>
      </c>
      <c r="E518">
        <v>42</v>
      </c>
      <c r="F518" t="s">
        <v>22</v>
      </c>
      <c r="G518" t="s">
        <v>49</v>
      </c>
      <c r="H518">
        <v>76</v>
      </c>
      <c r="I518">
        <v>4967</v>
      </c>
      <c r="J518">
        <v>24.38</v>
      </c>
      <c r="K518">
        <v>85</v>
      </c>
      <c r="L518">
        <v>3</v>
      </c>
      <c r="M518">
        <v>12855</v>
      </c>
    </row>
    <row r="519" spans="1:13">
      <c r="A519" t="s">
        <v>587</v>
      </c>
      <c r="B519" t="s">
        <v>56</v>
      </c>
      <c r="C519" t="s">
        <v>45</v>
      </c>
      <c r="D519" t="s">
        <v>27</v>
      </c>
      <c r="E519">
        <v>69</v>
      </c>
      <c r="F519" t="s">
        <v>17</v>
      </c>
      <c r="G519" t="s">
        <v>31</v>
      </c>
      <c r="H519">
        <v>78</v>
      </c>
      <c r="I519">
        <v>6081</v>
      </c>
      <c r="J519">
        <v>18.73</v>
      </c>
      <c r="K519">
        <v>82</v>
      </c>
      <c r="L519">
        <v>5</v>
      </c>
      <c r="M519">
        <v>32149</v>
      </c>
    </row>
    <row r="520" spans="1:13">
      <c r="A520" t="s">
        <v>588</v>
      </c>
      <c r="B520" t="s">
        <v>47</v>
      </c>
      <c r="C520" t="s">
        <v>48</v>
      </c>
      <c r="D520" t="s">
        <v>16</v>
      </c>
      <c r="E520">
        <v>58</v>
      </c>
      <c r="F520" t="s">
        <v>17</v>
      </c>
      <c r="G520" t="s">
        <v>18</v>
      </c>
      <c r="H520">
        <v>73</v>
      </c>
      <c r="I520">
        <v>4666</v>
      </c>
      <c r="J520">
        <v>11.86</v>
      </c>
      <c r="K520">
        <v>104</v>
      </c>
      <c r="L520">
        <v>3</v>
      </c>
      <c r="M520">
        <v>21452</v>
      </c>
    </row>
    <row r="521" spans="1:13">
      <c r="A521" t="s">
        <v>589</v>
      </c>
      <c r="B521" t="s">
        <v>38</v>
      </c>
      <c r="C521" t="s">
        <v>39</v>
      </c>
      <c r="D521" t="s">
        <v>72</v>
      </c>
      <c r="E521">
        <v>18</v>
      </c>
      <c r="F521" t="s">
        <v>22</v>
      </c>
      <c r="G521" t="s">
        <v>18</v>
      </c>
      <c r="H521">
        <v>89</v>
      </c>
      <c r="I521">
        <v>2998</v>
      </c>
      <c r="J521">
        <v>7.09</v>
      </c>
      <c r="K521">
        <v>62</v>
      </c>
      <c r="L521">
        <v>4</v>
      </c>
      <c r="M521">
        <v>7746</v>
      </c>
    </row>
    <row r="522" spans="1:13">
      <c r="A522" t="s">
        <v>590</v>
      </c>
      <c r="B522" t="s">
        <v>25</v>
      </c>
      <c r="C522" t="s">
        <v>26</v>
      </c>
      <c r="D522" t="s">
        <v>27</v>
      </c>
      <c r="E522">
        <v>57</v>
      </c>
      <c r="F522" t="s">
        <v>22</v>
      </c>
      <c r="G522" t="s">
        <v>18</v>
      </c>
      <c r="H522">
        <v>90</v>
      </c>
      <c r="I522">
        <v>2443</v>
      </c>
      <c r="J522">
        <v>0</v>
      </c>
      <c r="K522">
        <v>47</v>
      </c>
      <c r="L522">
        <v>4</v>
      </c>
      <c r="M522">
        <v>10814</v>
      </c>
    </row>
    <row r="523" spans="1:13">
      <c r="A523" t="s">
        <v>591</v>
      </c>
      <c r="B523" t="s">
        <v>137</v>
      </c>
      <c r="C523" t="s">
        <v>26</v>
      </c>
      <c r="D523" t="s">
        <v>27</v>
      </c>
      <c r="E523">
        <v>56</v>
      </c>
      <c r="F523" t="s">
        <v>22</v>
      </c>
      <c r="G523" t="s">
        <v>18</v>
      </c>
      <c r="H523">
        <v>96</v>
      </c>
      <c r="I523">
        <v>2480</v>
      </c>
      <c r="J523">
        <v>5.2</v>
      </c>
      <c r="K523">
        <v>5</v>
      </c>
      <c r="L523">
        <v>5</v>
      </c>
      <c r="M523">
        <v>11381</v>
      </c>
    </row>
    <row r="524" spans="1:13">
      <c r="A524" t="s">
        <v>592</v>
      </c>
      <c r="B524" t="s">
        <v>78</v>
      </c>
      <c r="C524" t="s">
        <v>15</v>
      </c>
      <c r="D524" t="s">
        <v>16</v>
      </c>
      <c r="E524">
        <v>39</v>
      </c>
      <c r="F524" t="s">
        <v>34</v>
      </c>
      <c r="G524" t="s">
        <v>23</v>
      </c>
      <c r="H524">
        <v>66</v>
      </c>
      <c r="I524">
        <v>7449</v>
      </c>
      <c r="J524">
        <v>16.78</v>
      </c>
      <c r="K524">
        <v>111</v>
      </c>
      <c r="L524">
        <v>3</v>
      </c>
      <c r="M524">
        <v>25630</v>
      </c>
    </row>
    <row r="525" spans="1:13">
      <c r="A525" t="s">
        <v>593</v>
      </c>
      <c r="B525" t="s">
        <v>88</v>
      </c>
      <c r="C525" t="s">
        <v>15</v>
      </c>
      <c r="D525" t="s">
        <v>27</v>
      </c>
      <c r="E525">
        <v>32</v>
      </c>
      <c r="F525" t="s">
        <v>17</v>
      </c>
      <c r="G525" t="s">
        <v>40</v>
      </c>
      <c r="H525">
        <v>74</v>
      </c>
      <c r="I525">
        <v>7731</v>
      </c>
      <c r="J525">
        <v>8.66</v>
      </c>
      <c r="K525">
        <v>70</v>
      </c>
      <c r="L525">
        <v>4</v>
      </c>
      <c r="M525">
        <v>35979</v>
      </c>
    </row>
    <row r="526" spans="1:13">
      <c r="A526" t="s">
        <v>594</v>
      </c>
      <c r="B526" t="s">
        <v>25</v>
      </c>
      <c r="C526" t="s">
        <v>26</v>
      </c>
      <c r="D526" t="s">
        <v>27</v>
      </c>
      <c r="E526">
        <v>46</v>
      </c>
      <c r="F526" t="s">
        <v>34</v>
      </c>
      <c r="G526" t="s">
        <v>70</v>
      </c>
      <c r="H526">
        <v>98</v>
      </c>
      <c r="I526">
        <v>2152</v>
      </c>
      <c r="J526">
        <v>1.33</v>
      </c>
      <c r="K526">
        <v>19</v>
      </c>
      <c r="L526">
        <v>5</v>
      </c>
      <c r="M526">
        <v>5484</v>
      </c>
    </row>
    <row r="527" spans="1:13">
      <c r="A527" t="s">
        <v>595</v>
      </c>
      <c r="B527" t="s">
        <v>68</v>
      </c>
      <c r="C527" t="s">
        <v>45</v>
      </c>
      <c r="D527" t="s">
        <v>27</v>
      </c>
      <c r="E527">
        <v>71</v>
      </c>
      <c r="F527" t="s">
        <v>34</v>
      </c>
      <c r="G527" t="s">
        <v>70</v>
      </c>
      <c r="H527">
        <v>79</v>
      </c>
      <c r="I527">
        <v>8806</v>
      </c>
      <c r="J527">
        <v>21</v>
      </c>
      <c r="K527">
        <v>118</v>
      </c>
      <c r="L527">
        <v>4</v>
      </c>
      <c r="M527">
        <v>42944</v>
      </c>
    </row>
    <row r="528" spans="1:13">
      <c r="A528" t="s">
        <v>596</v>
      </c>
      <c r="B528" t="s">
        <v>84</v>
      </c>
      <c r="C528" t="s">
        <v>21</v>
      </c>
      <c r="D528" t="s">
        <v>16</v>
      </c>
      <c r="E528">
        <v>25</v>
      </c>
      <c r="F528" t="s">
        <v>17</v>
      </c>
      <c r="G528" t="s">
        <v>49</v>
      </c>
      <c r="H528">
        <v>70</v>
      </c>
      <c r="I528">
        <v>6936</v>
      </c>
      <c r="J528">
        <v>14.09</v>
      </c>
      <c r="K528">
        <v>110</v>
      </c>
      <c r="L528">
        <v>3</v>
      </c>
      <c r="M528">
        <v>20693</v>
      </c>
    </row>
    <row r="529" spans="1:13">
      <c r="A529" t="s">
        <v>597</v>
      </c>
      <c r="B529" t="s">
        <v>135</v>
      </c>
      <c r="C529" t="s">
        <v>48</v>
      </c>
      <c r="D529" t="s">
        <v>16</v>
      </c>
      <c r="E529">
        <v>45</v>
      </c>
      <c r="F529" t="s">
        <v>17</v>
      </c>
      <c r="G529" t="s">
        <v>40</v>
      </c>
      <c r="H529">
        <v>79</v>
      </c>
      <c r="I529">
        <v>4640</v>
      </c>
      <c r="J529">
        <v>15.04</v>
      </c>
      <c r="K529">
        <v>98</v>
      </c>
      <c r="L529">
        <v>4</v>
      </c>
      <c r="M529">
        <v>16676</v>
      </c>
    </row>
    <row r="530" spans="1:13">
      <c r="A530" t="s">
        <v>598</v>
      </c>
      <c r="B530" t="s">
        <v>36</v>
      </c>
      <c r="C530" t="s">
        <v>21</v>
      </c>
      <c r="D530" t="s">
        <v>16</v>
      </c>
      <c r="E530">
        <v>18</v>
      </c>
      <c r="F530" t="s">
        <v>22</v>
      </c>
      <c r="G530" t="s">
        <v>18</v>
      </c>
      <c r="H530">
        <v>76</v>
      </c>
      <c r="I530">
        <v>6544</v>
      </c>
      <c r="J530">
        <v>15.45</v>
      </c>
      <c r="K530">
        <v>81</v>
      </c>
      <c r="L530">
        <v>4</v>
      </c>
      <c r="M530">
        <v>34268</v>
      </c>
    </row>
    <row r="531" spans="1:13">
      <c r="A531" t="s">
        <v>599</v>
      </c>
      <c r="B531" t="s">
        <v>25</v>
      </c>
      <c r="C531" t="s">
        <v>26</v>
      </c>
      <c r="D531" t="s">
        <v>27</v>
      </c>
      <c r="E531">
        <v>60</v>
      </c>
      <c r="F531" t="s">
        <v>17</v>
      </c>
      <c r="G531" t="s">
        <v>23</v>
      </c>
      <c r="H531">
        <v>85</v>
      </c>
      <c r="I531">
        <v>2452</v>
      </c>
      <c r="J531">
        <v>6.67</v>
      </c>
      <c r="K531">
        <v>66</v>
      </c>
      <c r="L531">
        <v>4</v>
      </c>
      <c r="M531">
        <v>12388</v>
      </c>
    </row>
    <row r="532" spans="1:13">
      <c r="A532" t="s">
        <v>600</v>
      </c>
      <c r="B532" t="s">
        <v>122</v>
      </c>
      <c r="C532" t="s">
        <v>48</v>
      </c>
      <c r="D532" t="s">
        <v>27</v>
      </c>
      <c r="E532">
        <v>17</v>
      </c>
      <c r="F532" t="s">
        <v>34</v>
      </c>
      <c r="G532" t="s">
        <v>23</v>
      </c>
      <c r="H532">
        <v>88</v>
      </c>
      <c r="I532">
        <v>3626</v>
      </c>
      <c r="J532">
        <v>12.19</v>
      </c>
      <c r="K532">
        <v>82</v>
      </c>
      <c r="L532">
        <v>4</v>
      </c>
      <c r="M532">
        <v>18522</v>
      </c>
    </row>
    <row r="533" spans="1:13">
      <c r="A533" t="s">
        <v>601</v>
      </c>
      <c r="B533" t="s">
        <v>20</v>
      </c>
      <c r="C533" t="s">
        <v>21</v>
      </c>
      <c r="D533" t="s">
        <v>27</v>
      </c>
      <c r="E533">
        <v>34</v>
      </c>
      <c r="F533" t="s">
        <v>34</v>
      </c>
      <c r="G533" t="s">
        <v>49</v>
      </c>
      <c r="H533">
        <v>82</v>
      </c>
      <c r="I533">
        <v>5416</v>
      </c>
      <c r="J533">
        <v>12.45</v>
      </c>
      <c r="K533">
        <v>61</v>
      </c>
      <c r="L533">
        <v>4</v>
      </c>
      <c r="M533">
        <v>20558</v>
      </c>
    </row>
    <row r="534" spans="1:13">
      <c r="A534" t="s">
        <v>602</v>
      </c>
      <c r="B534" t="s">
        <v>25</v>
      </c>
      <c r="C534" t="s">
        <v>26</v>
      </c>
      <c r="D534" t="s">
        <v>27</v>
      </c>
      <c r="E534">
        <v>53</v>
      </c>
      <c r="F534" t="s">
        <v>34</v>
      </c>
      <c r="G534" t="s">
        <v>49</v>
      </c>
      <c r="H534">
        <v>85</v>
      </c>
      <c r="I534">
        <v>2330</v>
      </c>
      <c r="J534">
        <v>6.48</v>
      </c>
      <c r="K534">
        <v>50</v>
      </c>
      <c r="L534">
        <v>4</v>
      </c>
      <c r="M534">
        <v>8591</v>
      </c>
    </row>
    <row r="535" spans="1:13">
      <c r="A535" t="s">
        <v>603</v>
      </c>
      <c r="B535" t="s">
        <v>78</v>
      </c>
      <c r="C535" t="s">
        <v>15</v>
      </c>
      <c r="D535" t="s">
        <v>16</v>
      </c>
      <c r="E535">
        <v>44</v>
      </c>
      <c r="F535" t="s">
        <v>34</v>
      </c>
      <c r="G535" t="s">
        <v>70</v>
      </c>
      <c r="H535">
        <v>84</v>
      </c>
      <c r="I535">
        <v>6591</v>
      </c>
      <c r="J535">
        <v>14.18</v>
      </c>
      <c r="K535">
        <v>70</v>
      </c>
      <c r="L535">
        <v>4</v>
      </c>
      <c r="M535">
        <v>36673</v>
      </c>
    </row>
    <row r="536" spans="1:13">
      <c r="A536" t="s">
        <v>604</v>
      </c>
      <c r="B536" t="s">
        <v>64</v>
      </c>
      <c r="C536" t="s">
        <v>30</v>
      </c>
      <c r="D536" t="s">
        <v>27</v>
      </c>
      <c r="E536">
        <v>60</v>
      </c>
      <c r="F536" t="s">
        <v>17</v>
      </c>
      <c r="G536" t="s">
        <v>31</v>
      </c>
      <c r="H536">
        <v>74</v>
      </c>
      <c r="I536">
        <v>3785</v>
      </c>
      <c r="J536">
        <v>20.2</v>
      </c>
      <c r="K536">
        <v>101</v>
      </c>
      <c r="L536">
        <v>3</v>
      </c>
      <c r="M536">
        <v>21981</v>
      </c>
    </row>
    <row r="537" spans="1:13">
      <c r="A537" t="s">
        <v>605</v>
      </c>
      <c r="B537" t="s">
        <v>95</v>
      </c>
      <c r="C537" t="s">
        <v>52</v>
      </c>
      <c r="D537" t="s">
        <v>16</v>
      </c>
      <c r="E537">
        <v>22</v>
      </c>
      <c r="F537" t="s">
        <v>22</v>
      </c>
      <c r="G537" t="s">
        <v>70</v>
      </c>
      <c r="H537">
        <v>70</v>
      </c>
      <c r="I537">
        <v>11553</v>
      </c>
      <c r="J537">
        <v>14.04</v>
      </c>
      <c r="K537">
        <v>104</v>
      </c>
      <c r="L537">
        <v>4</v>
      </c>
      <c r="M537">
        <v>41500</v>
      </c>
    </row>
    <row r="538" spans="1:13">
      <c r="A538" t="s">
        <v>606</v>
      </c>
      <c r="B538" t="s">
        <v>143</v>
      </c>
      <c r="C538" t="s">
        <v>21</v>
      </c>
      <c r="D538" t="s">
        <v>27</v>
      </c>
      <c r="E538">
        <v>52</v>
      </c>
      <c r="F538" t="s">
        <v>34</v>
      </c>
      <c r="G538" t="s">
        <v>70</v>
      </c>
      <c r="H538">
        <v>82</v>
      </c>
      <c r="I538">
        <v>8050</v>
      </c>
      <c r="J538">
        <v>9.9700000000000006</v>
      </c>
      <c r="K538">
        <v>96</v>
      </c>
      <c r="L538">
        <v>4</v>
      </c>
      <c r="M538">
        <v>46771</v>
      </c>
    </row>
    <row r="539" spans="1:13">
      <c r="A539" t="s">
        <v>607</v>
      </c>
      <c r="B539" t="s">
        <v>20</v>
      </c>
      <c r="C539" t="s">
        <v>21</v>
      </c>
      <c r="D539" t="s">
        <v>27</v>
      </c>
      <c r="E539">
        <v>61</v>
      </c>
      <c r="F539" t="s">
        <v>34</v>
      </c>
      <c r="G539" t="s">
        <v>70</v>
      </c>
      <c r="H539">
        <v>83</v>
      </c>
      <c r="I539">
        <v>7022</v>
      </c>
      <c r="J539">
        <v>12.11</v>
      </c>
      <c r="K539">
        <v>81</v>
      </c>
      <c r="L539">
        <v>5</v>
      </c>
      <c r="M539">
        <v>23756</v>
      </c>
    </row>
    <row r="540" spans="1:13">
      <c r="A540" t="s">
        <v>608</v>
      </c>
      <c r="B540" t="s">
        <v>122</v>
      </c>
      <c r="C540" t="s">
        <v>48</v>
      </c>
      <c r="D540" t="s">
        <v>16</v>
      </c>
      <c r="E540">
        <v>43</v>
      </c>
      <c r="F540" t="s">
        <v>34</v>
      </c>
      <c r="G540" t="s">
        <v>40</v>
      </c>
      <c r="H540">
        <v>86</v>
      </c>
      <c r="I540">
        <v>6087</v>
      </c>
      <c r="J540">
        <v>11.4</v>
      </c>
      <c r="K540">
        <v>76</v>
      </c>
      <c r="L540">
        <v>4</v>
      </c>
      <c r="M540">
        <v>23385</v>
      </c>
    </row>
    <row r="541" spans="1:13">
      <c r="A541" t="s">
        <v>609</v>
      </c>
      <c r="B541" t="s">
        <v>185</v>
      </c>
      <c r="C541" t="s">
        <v>52</v>
      </c>
      <c r="D541" t="s">
        <v>16</v>
      </c>
      <c r="E541">
        <v>51</v>
      </c>
      <c r="F541" t="s">
        <v>17</v>
      </c>
      <c r="G541" t="s">
        <v>70</v>
      </c>
      <c r="H541">
        <v>79</v>
      </c>
      <c r="I541">
        <v>5848</v>
      </c>
      <c r="J541">
        <v>14.85</v>
      </c>
      <c r="K541">
        <v>73</v>
      </c>
      <c r="L541">
        <v>5</v>
      </c>
      <c r="M541">
        <v>26989</v>
      </c>
    </row>
    <row r="542" spans="1:13">
      <c r="A542" t="s">
        <v>610</v>
      </c>
      <c r="B542" t="s">
        <v>54</v>
      </c>
      <c r="C542" t="s">
        <v>15</v>
      </c>
      <c r="D542" t="s">
        <v>27</v>
      </c>
      <c r="E542">
        <v>70</v>
      </c>
      <c r="F542" t="s">
        <v>34</v>
      </c>
      <c r="G542" t="s">
        <v>40</v>
      </c>
      <c r="H542">
        <v>81</v>
      </c>
      <c r="I542">
        <v>7746</v>
      </c>
      <c r="J542">
        <v>19.36</v>
      </c>
      <c r="K542">
        <v>81</v>
      </c>
      <c r="L542">
        <v>4</v>
      </c>
      <c r="M542">
        <v>29205</v>
      </c>
    </row>
    <row r="543" spans="1:13">
      <c r="A543" t="s">
        <v>611</v>
      </c>
      <c r="B543" t="s">
        <v>25</v>
      </c>
      <c r="C543" t="s">
        <v>26</v>
      </c>
      <c r="D543" t="s">
        <v>27</v>
      </c>
      <c r="E543">
        <v>52</v>
      </c>
      <c r="F543" t="s">
        <v>34</v>
      </c>
      <c r="G543" t="s">
        <v>31</v>
      </c>
      <c r="H543">
        <v>88</v>
      </c>
      <c r="I543">
        <v>2389</v>
      </c>
      <c r="J543">
        <v>1.29</v>
      </c>
      <c r="K543">
        <v>57</v>
      </c>
      <c r="L543">
        <v>4</v>
      </c>
      <c r="M543">
        <v>11251</v>
      </c>
    </row>
    <row r="544" spans="1:13">
      <c r="A544" t="s">
        <v>612</v>
      </c>
      <c r="B544" t="s">
        <v>129</v>
      </c>
      <c r="C544" t="s">
        <v>21</v>
      </c>
      <c r="D544" t="s">
        <v>27</v>
      </c>
      <c r="E544">
        <v>26</v>
      </c>
      <c r="F544" t="s">
        <v>22</v>
      </c>
      <c r="G544" t="s">
        <v>18</v>
      </c>
      <c r="H544">
        <v>75</v>
      </c>
      <c r="I544">
        <v>6317</v>
      </c>
      <c r="J544">
        <v>16.23</v>
      </c>
      <c r="K544">
        <v>73</v>
      </c>
      <c r="L544">
        <v>4</v>
      </c>
      <c r="M544">
        <v>18871</v>
      </c>
    </row>
    <row r="545" spans="1:13">
      <c r="A545" t="s">
        <v>613</v>
      </c>
      <c r="B545" t="s">
        <v>56</v>
      </c>
      <c r="C545" t="s">
        <v>45</v>
      </c>
      <c r="D545" t="s">
        <v>27</v>
      </c>
      <c r="E545">
        <v>45</v>
      </c>
      <c r="F545" t="s">
        <v>34</v>
      </c>
      <c r="G545" t="s">
        <v>40</v>
      </c>
      <c r="H545">
        <v>68</v>
      </c>
      <c r="I545">
        <v>8890</v>
      </c>
      <c r="J545">
        <v>17.89</v>
      </c>
      <c r="K545">
        <v>89</v>
      </c>
      <c r="L545">
        <v>3</v>
      </c>
      <c r="M545">
        <v>38421</v>
      </c>
    </row>
    <row r="546" spans="1:13">
      <c r="A546" t="s">
        <v>614</v>
      </c>
      <c r="B546" t="s">
        <v>122</v>
      </c>
      <c r="C546" t="s">
        <v>48</v>
      </c>
      <c r="D546" t="s">
        <v>72</v>
      </c>
      <c r="E546">
        <v>65</v>
      </c>
      <c r="F546" t="s">
        <v>17</v>
      </c>
      <c r="G546" t="s">
        <v>40</v>
      </c>
      <c r="H546">
        <v>75</v>
      </c>
      <c r="I546">
        <v>9891</v>
      </c>
      <c r="J546">
        <v>21.23</v>
      </c>
      <c r="K546">
        <v>71</v>
      </c>
      <c r="L546">
        <v>4</v>
      </c>
      <c r="M546">
        <v>47684</v>
      </c>
    </row>
    <row r="547" spans="1:13">
      <c r="A547" t="s">
        <v>615</v>
      </c>
      <c r="B547" t="s">
        <v>25</v>
      </c>
      <c r="C547" t="s">
        <v>26</v>
      </c>
      <c r="D547" t="s">
        <v>16</v>
      </c>
      <c r="E547">
        <v>13</v>
      </c>
      <c r="F547" t="s">
        <v>34</v>
      </c>
      <c r="G547" t="s">
        <v>40</v>
      </c>
      <c r="H547">
        <v>86</v>
      </c>
      <c r="I547">
        <v>3199</v>
      </c>
      <c r="J547">
        <v>3.47</v>
      </c>
      <c r="K547">
        <v>79</v>
      </c>
      <c r="L547">
        <v>4</v>
      </c>
      <c r="M547">
        <v>15261</v>
      </c>
    </row>
    <row r="548" spans="1:13">
      <c r="A548" t="s">
        <v>616</v>
      </c>
      <c r="B548" t="s">
        <v>78</v>
      </c>
      <c r="C548" t="s">
        <v>15</v>
      </c>
      <c r="D548" t="s">
        <v>27</v>
      </c>
      <c r="E548">
        <v>21</v>
      </c>
      <c r="F548" t="s">
        <v>22</v>
      </c>
      <c r="G548" t="s">
        <v>18</v>
      </c>
      <c r="H548">
        <v>74</v>
      </c>
      <c r="I548">
        <v>8201</v>
      </c>
      <c r="J548">
        <v>12.69</v>
      </c>
      <c r="K548">
        <v>38</v>
      </c>
      <c r="L548">
        <v>4</v>
      </c>
      <c r="M548">
        <v>37611</v>
      </c>
    </row>
    <row r="549" spans="1:13">
      <c r="A549" t="s">
        <v>617</v>
      </c>
      <c r="B549" t="s">
        <v>187</v>
      </c>
      <c r="C549" t="s">
        <v>30</v>
      </c>
      <c r="D549" t="s">
        <v>16</v>
      </c>
      <c r="E549">
        <v>44</v>
      </c>
      <c r="F549" t="s">
        <v>17</v>
      </c>
      <c r="G549" t="s">
        <v>70</v>
      </c>
      <c r="H549">
        <v>64</v>
      </c>
      <c r="I549">
        <v>3340</v>
      </c>
      <c r="J549">
        <v>20.48</v>
      </c>
      <c r="K549">
        <v>110</v>
      </c>
      <c r="L549">
        <v>3</v>
      </c>
      <c r="M549">
        <v>8352</v>
      </c>
    </row>
    <row r="550" spans="1:13">
      <c r="A550" t="s">
        <v>618</v>
      </c>
      <c r="B550" t="s">
        <v>58</v>
      </c>
      <c r="C550" t="s">
        <v>48</v>
      </c>
      <c r="D550" t="s">
        <v>16</v>
      </c>
      <c r="E550">
        <v>30</v>
      </c>
      <c r="F550" t="s">
        <v>34</v>
      </c>
      <c r="G550" t="s">
        <v>31</v>
      </c>
      <c r="H550">
        <v>73</v>
      </c>
      <c r="I550">
        <v>6386</v>
      </c>
      <c r="J550">
        <v>12.67</v>
      </c>
      <c r="K550">
        <v>85</v>
      </c>
      <c r="L550">
        <v>4</v>
      </c>
      <c r="M550">
        <v>27417</v>
      </c>
    </row>
    <row r="551" spans="1:13">
      <c r="A551" t="s">
        <v>619</v>
      </c>
      <c r="B551" t="s">
        <v>68</v>
      </c>
      <c r="C551" t="s">
        <v>45</v>
      </c>
      <c r="D551" t="s">
        <v>16</v>
      </c>
      <c r="E551">
        <v>20</v>
      </c>
      <c r="F551" t="s">
        <v>17</v>
      </c>
      <c r="G551" t="s">
        <v>40</v>
      </c>
      <c r="H551">
        <v>76</v>
      </c>
      <c r="I551">
        <v>11620</v>
      </c>
      <c r="J551">
        <v>20.23</v>
      </c>
      <c r="K551">
        <v>65</v>
      </c>
      <c r="L551">
        <v>4</v>
      </c>
      <c r="M551">
        <v>61683</v>
      </c>
    </row>
    <row r="552" spans="1:13">
      <c r="A552" t="s">
        <v>620</v>
      </c>
      <c r="B552" t="s">
        <v>36</v>
      </c>
      <c r="C552" t="s">
        <v>21</v>
      </c>
      <c r="D552" t="s">
        <v>16</v>
      </c>
      <c r="E552">
        <v>31</v>
      </c>
      <c r="F552" t="s">
        <v>17</v>
      </c>
      <c r="G552" t="s">
        <v>70</v>
      </c>
      <c r="H552">
        <v>79</v>
      </c>
      <c r="I552">
        <v>6634</v>
      </c>
      <c r="J552">
        <v>23.17</v>
      </c>
      <c r="K552">
        <v>50</v>
      </c>
      <c r="L552">
        <v>4</v>
      </c>
      <c r="M552">
        <v>27805</v>
      </c>
    </row>
    <row r="553" spans="1:13">
      <c r="A553" t="s">
        <v>621</v>
      </c>
      <c r="B553" t="s">
        <v>44</v>
      </c>
      <c r="C553" t="s">
        <v>45</v>
      </c>
      <c r="D553" t="s">
        <v>27</v>
      </c>
      <c r="E553">
        <v>49</v>
      </c>
      <c r="F553" t="s">
        <v>22</v>
      </c>
      <c r="G553" t="s">
        <v>31</v>
      </c>
      <c r="H553">
        <v>73</v>
      </c>
      <c r="I553">
        <v>9519</v>
      </c>
      <c r="J553">
        <v>14.75</v>
      </c>
      <c r="K553">
        <v>62</v>
      </c>
      <c r="L553">
        <v>3</v>
      </c>
      <c r="M553">
        <v>51079</v>
      </c>
    </row>
    <row r="554" spans="1:13">
      <c r="A554" t="s">
        <v>622</v>
      </c>
      <c r="B554" t="s">
        <v>137</v>
      </c>
      <c r="C554" t="s">
        <v>26</v>
      </c>
      <c r="D554" t="s">
        <v>27</v>
      </c>
      <c r="E554">
        <v>65</v>
      </c>
      <c r="F554" t="s">
        <v>34</v>
      </c>
      <c r="G554" t="s">
        <v>31</v>
      </c>
      <c r="H554">
        <v>81</v>
      </c>
      <c r="I554">
        <v>2108</v>
      </c>
      <c r="J554">
        <v>1.96</v>
      </c>
      <c r="K554">
        <v>35</v>
      </c>
      <c r="L554">
        <v>4</v>
      </c>
      <c r="M554">
        <v>8349</v>
      </c>
    </row>
    <row r="555" spans="1:13">
      <c r="A555" t="s">
        <v>623</v>
      </c>
      <c r="B555" t="s">
        <v>14</v>
      </c>
      <c r="C555" t="s">
        <v>15</v>
      </c>
      <c r="D555" t="s">
        <v>16</v>
      </c>
      <c r="E555">
        <v>63</v>
      </c>
      <c r="F555" t="s">
        <v>22</v>
      </c>
      <c r="G555" t="s">
        <v>31</v>
      </c>
      <c r="H555">
        <v>72</v>
      </c>
      <c r="I555">
        <v>6977</v>
      </c>
      <c r="J555">
        <v>19.66</v>
      </c>
      <c r="K555">
        <v>78</v>
      </c>
      <c r="L555">
        <v>3</v>
      </c>
      <c r="M555">
        <v>40724</v>
      </c>
    </row>
    <row r="556" spans="1:13">
      <c r="A556" t="s">
        <v>624</v>
      </c>
      <c r="B556" t="s">
        <v>66</v>
      </c>
      <c r="C556" t="s">
        <v>39</v>
      </c>
      <c r="D556" t="s">
        <v>16</v>
      </c>
      <c r="E556">
        <v>13</v>
      </c>
      <c r="F556" t="s">
        <v>17</v>
      </c>
      <c r="G556" t="s">
        <v>49</v>
      </c>
      <c r="H556">
        <v>89</v>
      </c>
      <c r="I556">
        <v>2374</v>
      </c>
      <c r="J556">
        <v>3.31</v>
      </c>
      <c r="K556">
        <v>53</v>
      </c>
      <c r="L556">
        <v>4</v>
      </c>
      <c r="M556">
        <v>6952</v>
      </c>
    </row>
    <row r="557" spans="1:13">
      <c r="A557" t="s">
        <v>625</v>
      </c>
      <c r="B557" t="s">
        <v>25</v>
      </c>
      <c r="C557" t="s">
        <v>26</v>
      </c>
      <c r="D557" t="s">
        <v>72</v>
      </c>
      <c r="E557">
        <v>27</v>
      </c>
      <c r="F557" t="s">
        <v>34</v>
      </c>
      <c r="G557" t="s">
        <v>23</v>
      </c>
      <c r="H557">
        <v>83</v>
      </c>
      <c r="I557">
        <v>2742</v>
      </c>
      <c r="J557">
        <v>3.13</v>
      </c>
      <c r="K557">
        <v>51</v>
      </c>
      <c r="L557">
        <v>4</v>
      </c>
      <c r="M557">
        <v>16024</v>
      </c>
    </row>
    <row r="558" spans="1:13">
      <c r="A558" t="s">
        <v>626</v>
      </c>
      <c r="B558" t="s">
        <v>109</v>
      </c>
      <c r="C558" t="s">
        <v>30</v>
      </c>
      <c r="D558" t="s">
        <v>27</v>
      </c>
      <c r="E558">
        <v>56</v>
      </c>
      <c r="F558" t="s">
        <v>22</v>
      </c>
      <c r="G558" t="s">
        <v>31</v>
      </c>
      <c r="H558">
        <v>74</v>
      </c>
      <c r="I558">
        <v>3680</v>
      </c>
      <c r="J558">
        <v>17.04</v>
      </c>
      <c r="K558">
        <v>101</v>
      </c>
      <c r="L558">
        <v>4</v>
      </c>
      <c r="M558">
        <v>19110</v>
      </c>
    </row>
    <row r="559" spans="1:13">
      <c r="A559" t="s">
        <v>627</v>
      </c>
      <c r="B559" t="s">
        <v>185</v>
      </c>
      <c r="C559" t="s">
        <v>52</v>
      </c>
      <c r="D559" t="s">
        <v>27</v>
      </c>
      <c r="E559">
        <v>32</v>
      </c>
      <c r="F559" t="s">
        <v>34</v>
      </c>
      <c r="G559" t="s">
        <v>31</v>
      </c>
      <c r="H559">
        <v>88</v>
      </c>
      <c r="I559">
        <v>6636</v>
      </c>
      <c r="J559">
        <v>8.15</v>
      </c>
      <c r="K559">
        <v>62</v>
      </c>
      <c r="L559">
        <v>4</v>
      </c>
      <c r="M559">
        <v>20303</v>
      </c>
    </row>
    <row r="560" spans="1:13">
      <c r="A560" t="s">
        <v>628</v>
      </c>
      <c r="B560" t="s">
        <v>129</v>
      </c>
      <c r="C560" t="s">
        <v>21</v>
      </c>
      <c r="D560" t="s">
        <v>72</v>
      </c>
      <c r="E560">
        <v>27</v>
      </c>
      <c r="F560" t="s">
        <v>34</v>
      </c>
      <c r="G560" t="s">
        <v>23</v>
      </c>
      <c r="H560">
        <v>82</v>
      </c>
      <c r="I560">
        <v>6545</v>
      </c>
      <c r="J560">
        <v>7.13</v>
      </c>
      <c r="K560">
        <v>100</v>
      </c>
      <c r="L560">
        <v>4</v>
      </c>
      <c r="M560">
        <v>31150</v>
      </c>
    </row>
    <row r="561" spans="1:13">
      <c r="A561" t="s">
        <v>629</v>
      </c>
      <c r="B561" t="s">
        <v>122</v>
      </c>
      <c r="C561" t="s">
        <v>48</v>
      </c>
      <c r="D561" t="s">
        <v>16</v>
      </c>
      <c r="E561">
        <v>48</v>
      </c>
      <c r="F561" t="s">
        <v>17</v>
      </c>
      <c r="G561" t="s">
        <v>23</v>
      </c>
      <c r="H561">
        <v>82</v>
      </c>
      <c r="I561">
        <v>5735</v>
      </c>
      <c r="J561">
        <v>9.0299999999999994</v>
      </c>
      <c r="K561">
        <v>51</v>
      </c>
      <c r="L561">
        <v>4</v>
      </c>
      <c r="M561">
        <v>19837</v>
      </c>
    </row>
    <row r="562" spans="1:13">
      <c r="A562" t="s">
        <v>630</v>
      </c>
      <c r="B562" t="s">
        <v>129</v>
      </c>
      <c r="C562" t="s">
        <v>21</v>
      </c>
      <c r="D562" t="s">
        <v>27</v>
      </c>
      <c r="E562">
        <v>37</v>
      </c>
      <c r="F562" t="s">
        <v>34</v>
      </c>
      <c r="G562" t="s">
        <v>18</v>
      </c>
      <c r="H562">
        <v>77</v>
      </c>
      <c r="I562">
        <v>5983</v>
      </c>
      <c r="J562">
        <v>10.26</v>
      </c>
      <c r="K562">
        <v>87</v>
      </c>
      <c r="L562">
        <v>4</v>
      </c>
      <c r="M562">
        <v>35505</v>
      </c>
    </row>
    <row r="563" spans="1:13">
      <c r="A563" t="s">
        <v>631</v>
      </c>
      <c r="B563" t="s">
        <v>56</v>
      </c>
      <c r="C563" t="s">
        <v>45</v>
      </c>
      <c r="D563" t="s">
        <v>27</v>
      </c>
      <c r="E563">
        <v>71</v>
      </c>
      <c r="F563" t="s">
        <v>34</v>
      </c>
      <c r="G563" t="s">
        <v>31</v>
      </c>
      <c r="H563">
        <v>77</v>
      </c>
      <c r="I563">
        <v>11154</v>
      </c>
      <c r="J563">
        <v>11.1</v>
      </c>
      <c r="K563">
        <v>83</v>
      </c>
      <c r="L563">
        <v>4</v>
      </c>
      <c r="M563">
        <v>64506</v>
      </c>
    </row>
    <row r="564" spans="1:13">
      <c r="A564" t="s">
        <v>632</v>
      </c>
      <c r="B564" t="s">
        <v>56</v>
      </c>
      <c r="C564" t="s">
        <v>45</v>
      </c>
      <c r="D564" t="s">
        <v>27</v>
      </c>
      <c r="E564">
        <v>68</v>
      </c>
      <c r="F564" t="s">
        <v>17</v>
      </c>
      <c r="G564" t="s">
        <v>31</v>
      </c>
      <c r="H564">
        <v>80</v>
      </c>
      <c r="I564">
        <v>8635</v>
      </c>
      <c r="J564">
        <v>14.89</v>
      </c>
      <c r="K564">
        <v>104</v>
      </c>
      <c r="L564">
        <v>3</v>
      </c>
      <c r="M564">
        <v>32345</v>
      </c>
    </row>
    <row r="565" spans="1:13">
      <c r="A565" t="s">
        <v>633</v>
      </c>
      <c r="B565" t="s">
        <v>14</v>
      </c>
      <c r="C565" t="s">
        <v>15</v>
      </c>
      <c r="D565" t="s">
        <v>16</v>
      </c>
      <c r="E565">
        <v>50</v>
      </c>
      <c r="F565" t="s">
        <v>22</v>
      </c>
      <c r="G565" t="s">
        <v>23</v>
      </c>
      <c r="H565">
        <v>75</v>
      </c>
      <c r="I565">
        <v>6379</v>
      </c>
      <c r="J565">
        <v>20.73</v>
      </c>
      <c r="K565">
        <v>63</v>
      </c>
      <c r="L565">
        <v>4</v>
      </c>
      <c r="M565">
        <v>21249</v>
      </c>
    </row>
    <row r="566" spans="1:13">
      <c r="A566" t="s">
        <v>634</v>
      </c>
      <c r="B566" t="s">
        <v>143</v>
      </c>
      <c r="C566" t="s">
        <v>21</v>
      </c>
      <c r="D566" t="s">
        <v>16</v>
      </c>
      <c r="E566">
        <v>64</v>
      </c>
      <c r="F566" t="s">
        <v>22</v>
      </c>
      <c r="G566" t="s">
        <v>18</v>
      </c>
      <c r="H566">
        <v>84</v>
      </c>
      <c r="I566">
        <v>8591</v>
      </c>
      <c r="J566">
        <v>18.309999999999999</v>
      </c>
      <c r="K566">
        <v>62</v>
      </c>
      <c r="L566">
        <v>4</v>
      </c>
      <c r="M566">
        <v>27614</v>
      </c>
    </row>
    <row r="567" spans="1:13">
      <c r="A567" t="s">
        <v>635</v>
      </c>
      <c r="B567" t="s">
        <v>42</v>
      </c>
      <c r="C567" t="s">
        <v>39</v>
      </c>
      <c r="D567" t="s">
        <v>27</v>
      </c>
      <c r="E567">
        <v>12</v>
      </c>
      <c r="F567" t="s">
        <v>34</v>
      </c>
      <c r="G567" t="s">
        <v>18</v>
      </c>
      <c r="H567">
        <v>77</v>
      </c>
      <c r="I567">
        <v>2803</v>
      </c>
      <c r="J567">
        <v>11.2</v>
      </c>
      <c r="K567">
        <v>57</v>
      </c>
      <c r="L567">
        <v>4</v>
      </c>
      <c r="M567">
        <v>7554</v>
      </c>
    </row>
    <row r="568" spans="1:13">
      <c r="A568" t="s">
        <v>636</v>
      </c>
      <c r="B568" t="s">
        <v>33</v>
      </c>
      <c r="C568" t="s">
        <v>26</v>
      </c>
      <c r="D568" t="s">
        <v>27</v>
      </c>
      <c r="E568">
        <v>17</v>
      </c>
      <c r="F568" t="s">
        <v>22</v>
      </c>
      <c r="G568" t="s">
        <v>70</v>
      </c>
      <c r="H568">
        <v>84</v>
      </c>
      <c r="I568">
        <v>2138</v>
      </c>
      <c r="J568">
        <v>4.22</v>
      </c>
      <c r="K568">
        <v>56</v>
      </c>
      <c r="L568">
        <v>4</v>
      </c>
      <c r="M568">
        <v>6016</v>
      </c>
    </row>
    <row r="569" spans="1:13">
      <c r="A569" t="s">
        <v>637</v>
      </c>
      <c r="B569" t="s">
        <v>25</v>
      </c>
      <c r="C569" t="s">
        <v>26</v>
      </c>
      <c r="D569" t="s">
        <v>16</v>
      </c>
      <c r="E569">
        <v>23</v>
      </c>
      <c r="F569" t="s">
        <v>17</v>
      </c>
      <c r="G569" t="s">
        <v>70</v>
      </c>
      <c r="H569">
        <v>91</v>
      </c>
      <c r="I569">
        <v>2736</v>
      </c>
      <c r="J569">
        <v>4.1500000000000004</v>
      </c>
      <c r="K569">
        <v>44</v>
      </c>
      <c r="L569">
        <v>4</v>
      </c>
      <c r="M569">
        <v>12074</v>
      </c>
    </row>
    <row r="570" spans="1:13">
      <c r="A570" t="s">
        <v>638</v>
      </c>
      <c r="B570" t="s">
        <v>103</v>
      </c>
      <c r="C570" t="s">
        <v>26</v>
      </c>
      <c r="D570" t="s">
        <v>27</v>
      </c>
      <c r="E570">
        <v>47</v>
      </c>
      <c r="F570" t="s">
        <v>17</v>
      </c>
      <c r="G570" t="s">
        <v>18</v>
      </c>
      <c r="H570">
        <v>79</v>
      </c>
      <c r="I570">
        <v>1804</v>
      </c>
      <c r="J570">
        <v>5.63</v>
      </c>
      <c r="K570">
        <v>64</v>
      </c>
      <c r="L570">
        <v>3</v>
      </c>
      <c r="M570">
        <v>9307</v>
      </c>
    </row>
    <row r="571" spans="1:13">
      <c r="A571" t="s">
        <v>639</v>
      </c>
      <c r="B571" t="s">
        <v>58</v>
      </c>
      <c r="C571" t="s">
        <v>48</v>
      </c>
      <c r="D571" t="s">
        <v>16</v>
      </c>
      <c r="E571">
        <v>52</v>
      </c>
      <c r="F571" t="s">
        <v>22</v>
      </c>
      <c r="G571" t="s">
        <v>18</v>
      </c>
      <c r="H571">
        <v>76</v>
      </c>
      <c r="I571">
        <v>6741</v>
      </c>
      <c r="J571">
        <v>18.04</v>
      </c>
      <c r="K571">
        <v>72</v>
      </c>
      <c r="L571">
        <v>3</v>
      </c>
      <c r="M571">
        <v>22207</v>
      </c>
    </row>
    <row r="572" spans="1:13">
      <c r="A572" t="s">
        <v>640</v>
      </c>
      <c r="B572" t="s">
        <v>25</v>
      </c>
      <c r="C572" t="s">
        <v>39</v>
      </c>
      <c r="D572" t="s">
        <v>27</v>
      </c>
      <c r="E572">
        <v>3</v>
      </c>
      <c r="F572" t="s">
        <v>17</v>
      </c>
      <c r="G572" t="s">
        <v>40</v>
      </c>
      <c r="H572">
        <v>85</v>
      </c>
      <c r="I572">
        <v>1893</v>
      </c>
      <c r="J572">
        <v>4.4400000000000004</v>
      </c>
      <c r="K572">
        <v>63</v>
      </c>
      <c r="L572">
        <v>4</v>
      </c>
      <c r="M572">
        <v>7972</v>
      </c>
    </row>
    <row r="573" spans="1:13">
      <c r="A573" t="s">
        <v>641</v>
      </c>
      <c r="B573" t="s">
        <v>44</v>
      </c>
      <c r="C573" t="s">
        <v>45</v>
      </c>
      <c r="D573" t="s">
        <v>72</v>
      </c>
      <c r="E573">
        <v>58</v>
      </c>
      <c r="F573" t="s">
        <v>34</v>
      </c>
      <c r="G573" t="s">
        <v>49</v>
      </c>
      <c r="H573">
        <v>72</v>
      </c>
      <c r="I573">
        <v>11724</v>
      </c>
      <c r="J573">
        <v>18.59</v>
      </c>
      <c r="K573">
        <v>89</v>
      </c>
      <c r="L573">
        <v>4</v>
      </c>
      <c r="M573">
        <v>47106</v>
      </c>
    </row>
    <row r="574" spans="1:13">
      <c r="A574" t="s">
        <v>642</v>
      </c>
      <c r="B574" t="s">
        <v>137</v>
      </c>
      <c r="C574" t="s">
        <v>26</v>
      </c>
      <c r="D574" t="s">
        <v>27</v>
      </c>
      <c r="E574">
        <v>37</v>
      </c>
      <c r="F574" t="s">
        <v>17</v>
      </c>
      <c r="G574" t="s">
        <v>40</v>
      </c>
      <c r="H574">
        <v>85</v>
      </c>
      <c r="I574">
        <v>3196</v>
      </c>
      <c r="J574">
        <v>7.84</v>
      </c>
      <c r="K574">
        <v>65</v>
      </c>
      <c r="L574">
        <v>4</v>
      </c>
      <c r="M574">
        <v>12409</v>
      </c>
    </row>
    <row r="575" spans="1:13">
      <c r="A575" t="s">
        <v>643</v>
      </c>
      <c r="B575" t="s">
        <v>54</v>
      </c>
      <c r="C575" t="s">
        <v>39</v>
      </c>
      <c r="D575" t="s">
        <v>16</v>
      </c>
      <c r="E575">
        <v>7</v>
      </c>
      <c r="F575" t="s">
        <v>22</v>
      </c>
      <c r="G575" t="s">
        <v>31</v>
      </c>
      <c r="H575">
        <v>77</v>
      </c>
      <c r="I575">
        <v>2667</v>
      </c>
      <c r="J575">
        <v>15.76</v>
      </c>
      <c r="K575">
        <v>48</v>
      </c>
      <c r="L575">
        <v>4</v>
      </c>
      <c r="M575">
        <v>12592</v>
      </c>
    </row>
    <row r="576" spans="1:13">
      <c r="A576" t="s">
        <v>644</v>
      </c>
      <c r="B576" t="s">
        <v>47</v>
      </c>
      <c r="C576" t="s">
        <v>48</v>
      </c>
      <c r="D576" t="s">
        <v>16</v>
      </c>
      <c r="E576">
        <v>56</v>
      </c>
      <c r="F576" t="s">
        <v>22</v>
      </c>
      <c r="G576" t="s">
        <v>18</v>
      </c>
      <c r="H576">
        <v>86</v>
      </c>
      <c r="I576">
        <v>4301</v>
      </c>
      <c r="J576">
        <v>12.87</v>
      </c>
      <c r="K576">
        <v>60</v>
      </c>
      <c r="L576">
        <v>4</v>
      </c>
      <c r="M576">
        <v>18017</v>
      </c>
    </row>
    <row r="577" spans="1:13">
      <c r="A577" t="s">
        <v>645</v>
      </c>
      <c r="B577" t="s">
        <v>38</v>
      </c>
      <c r="C577" t="s">
        <v>39</v>
      </c>
      <c r="D577" t="s">
        <v>27</v>
      </c>
      <c r="E577">
        <v>17</v>
      </c>
      <c r="F577" t="s">
        <v>17</v>
      </c>
      <c r="G577" t="s">
        <v>18</v>
      </c>
      <c r="H577">
        <v>83</v>
      </c>
      <c r="I577">
        <v>3035</v>
      </c>
      <c r="J577">
        <v>11.8</v>
      </c>
      <c r="K577">
        <v>8</v>
      </c>
      <c r="L577">
        <v>4</v>
      </c>
      <c r="M577">
        <v>12332</v>
      </c>
    </row>
    <row r="578" spans="1:13">
      <c r="A578" t="s">
        <v>646</v>
      </c>
      <c r="B578" t="s">
        <v>66</v>
      </c>
      <c r="C578" t="s">
        <v>39</v>
      </c>
      <c r="D578" t="s">
        <v>16</v>
      </c>
      <c r="E578">
        <v>17</v>
      </c>
      <c r="F578" t="s">
        <v>34</v>
      </c>
      <c r="G578" t="s">
        <v>49</v>
      </c>
      <c r="H578">
        <v>78</v>
      </c>
      <c r="I578">
        <v>3576</v>
      </c>
      <c r="J578">
        <v>9.85</v>
      </c>
      <c r="K578">
        <v>53</v>
      </c>
      <c r="L578">
        <v>4</v>
      </c>
      <c r="M578">
        <v>18053</v>
      </c>
    </row>
    <row r="579" spans="1:13">
      <c r="A579" t="s">
        <v>647</v>
      </c>
      <c r="B579" t="s">
        <v>84</v>
      </c>
      <c r="C579" t="s">
        <v>21</v>
      </c>
      <c r="D579" t="s">
        <v>27</v>
      </c>
      <c r="E579">
        <v>75</v>
      </c>
      <c r="F579" t="s">
        <v>17</v>
      </c>
      <c r="G579" t="s">
        <v>70</v>
      </c>
      <c r="H579">
        <v>70</v>
      </c>
      <c r="I579">
        <v>4081</v>
      </c>
      <c r="J579">
        <v>18.46</v>
      </c>
      <c r="K579">
        <v>103</v>
      </c>
      <c r="L579">
        <v>4</v>
      </c>
      <c r="M579">
        <v>23020</v>
      </c>
    </row>
    <row r="580" spans="1:13">
      <c r="A580" t="s">
        <v>648</v>
      </c>
      <c r="B580" t="s">
        <v>84</v>
      </c>
      <c r="C580" t="s">
        <v>21</v>
      </c>
      <c r="D580" t="s">
        <v>27</v>
      </c>
      <c r="E580">
        <v>38</v>
      </c>
      <c r="F580" t="s">
        <v>34</v>
      </c>
      <c r="G580" t="s">
        <v>18</v>
      </c>
      <c r="H580">
        <v>73</v>
      </c>
      <c r="I580">
        <v>6992</v>
      </c>
      <c r="J580">
        <v>19.920000000000002</v>
      </c>
      <c r="K580">
        <v>74</v>
      </c>
      <c r="L580">
        <v>3</v>
      </c>
      <c r="M580">
        <v>38392</v>
      </c>
    </row>
    <row r="581" spans="1:13">
      <c r="A581" t="s">
        <v>649</v>
      </c>
      <c r="B581" t="s">
        <v>129</v>
      </c>
      <c r="C581" t="s">
        <v>21</v>
      </c>
      <c r="D581" t="s">
        <v>16</v>
      </c>
      <c r="E581">
        <v>62</v>
      </c>
      <c r="F581" t="s">
        <v>22</v>
      </c>
      <c r="G581" t="s">
        <v>23</v>
      </c>
      <c r="H581">
        <v>76</v>
      </c>
      <c r="I581">
        <v>6626</v>
      </c>
      <c r="J581">
        <v>14.42</v>
      </c>
      <c r="K581">
        <v>82</v>
      </c>
      <c r="L581">
        <v>4</v>
      </c>
      <c r="M581">
        <v>26545</v>
      </c>
    </row>
    <row r="582" spans="1:13">
      <c r="A582" t="s">
        <v>650</v>
      </c>
      <c r="B582" t="s">
        <v>38</v>
      </c>
      <c r="C582" t="s">
        <v>39</v>
      </c>
      <c r="D582" t="s">
        <v>16</v>
      </c>
      <c r="E582">
        <v>55</v>
      </c>
      <c r="F582" t="s">
        <v>17</v>
      </c>
      <c r="G582" t="s">
        <v>70</v>
      </c>
      <c r="H582">
        <v>82</v>
      </c>
      <c r="I582">
        <v>4310</v>
      </c>
      <c r="J582">
        <v>10.28</v>
      </c>
      <c r="K582">
        <v>43</v>
      </c>
      <c r="L582">
        <v>4</v>
      </c>
      <c r="M582">
        <v>11400</v>
      </c>
    </row>
    <row r="583" spans="1:13">
      <c r="A583" t="s">
        <v>651</v>
      </c>
      <c r="B583" t="s">
        <v>168</v>
      </c>
      <c r="C583" t="s">
        <v>45</v>
      </c>
      <c r="D583" t="s">
        <v>16</v>
      </c>
      <c r="E583">
        <v>57</v>
      </c>
      <c r="F583" t="s">
        <v>34</v>
      </c>
      <c r="G583" t="s">
        <v>31</v>
      </c>
      <c r="H583">
        <v>81</v>
      </c>
      <c r="I583">
        <v>9738</v>
      </c>
      <c r="J583">
        <v>20.52</v>
      </c>
      <c r="K583">
        <v>57</v>
      </c>
      <c r="L583">
        <v>4</v>
      </c>
      <c r="M583">
        <v>48859</v>
      </c>
    </row>
    <row r="584" spans="1:13">
      <c r="A584" t="s">
        <v>652</v>
      </c>
      <c r="B584" t="s">
        <v>168</v>
      </c>
      <c r="C584" t="s">
        <v>45</v>
      </c>
      <c r="D584" t="s">
        <v>27</v>
      </c>
      <c r="E584">
        <v>45</v>
      </c>
      <c r="F584" t="s">
        <v>22</v>
      </c>
      <c r="G584" t="s">
        <v>23</v>
      </c>
      <c r="H584">
        <v>74</v>
      </c>
      <c r="I584">
        <v>7905</v>
      </c>
      <c r="J584">
        <v>18.45</v>
      </c>
      <c r="K584">
        <v>110</v>
      </c>
      <c r="L584">
        <v>3</v>
      </c>
      <c r="M584">
        <v>35378</v>
      </c>
    </row>
    <row r="585" spans="1:13">
      <c r="A585" t="s">
        <v>653</v>
      </c>
      <c r="B585" t="s">
        <v>62</v>
      </c>
      <c r="C585" t="s">
        <v>52</v>
      </c>
      <c r="D585" t="s">
        <v>27</v>
      </c>
      <c r="E585">
        <v>21</v>
      </c>
      <c r="F585" t="s">
        <v>17</v>
      </c>
      <c r="G585" t="s">
        <v>49</v>
      </c>
      <c r="H585">
        <v>81</v>
      </c>
      <c r="I585">
        <v>10332</v>
      </c>
      <c r="J585">
        <v>8.02</v>
      </c>
      <c r="K585">
        <v>86</v>
      </c>
      <c r="L585">
        <v>4</v>
      </c>
      <c r="M585">
        <v>47227</v>
      </c>
    </row>
    <row r="586" spans="1:13">
      <c r="A586" t="s">
        <v>654</v>
      </c>
      <c r="B586" t="s">
        <v>135</v>
      </c>
      <c r="C586" t="s">
        <v>48</v>
      </c>
      <c r="D586" t="s">
        <v>16</v>
      </c>
      <c r="E586">
        <v>56</v>
      </c>
      <c r="F586" t="s">
        <v>22</v>
      </c>
      <c r="G586" t="s">
        <v>31</v>
      </c>
      <c r="H586">
        <v>95</v>
      </c>
      <c r="I586">
        <v>7635</v>
      </c>
      <c r="J586">
        <v>18.559999999999999</v>
      </c>
      <c r="K586">
        <v>54</v>
      </c>
      <c r="L586">
        <v>4</v>
      </c>
      <c r="M586">
        <v>28024</v>
      </c>
    </row>
    <row r="587" spans="1:13">
      <c r="A587" t="s">
        <v>655</v>
      </c>
      <c r="B587" t="s">
        <v>44</v>
      </c>
      <c r="C587" t="s">
        <v>45</v>
      </c>
      <c r="D587" t="s">
        <v>16</v>
      </c>
      <c r="E587">
        <v>16</v>
      </c>
      <c r="F587" t="s">
        <v>22</v>
      </c>
      <c r="G587" t="s">
        <v>23</v>
      </c>
      <c r="H587">
        <v>73</v>
      </c>
      <c r="I587">
        <v>8060</v>
      </c>
      <c r="J587">
        <v>19.03</v>
      </c>
      <c r="K587">
        <v>96</v>
      </c>
      <c r="L587">
        <v>3</v>
      </c>
      <c r="M587">
        <v>38720</v>
      </c>
    </row>
    <row r="588" spans="1:13">
      <c r="A588" t="s">
        <v>656</v>
      </c>
      <c r="B588" t="s">
        <v>47</v>
      </c>
      <c r="C588" t="s">
        <v>48</v>
      </c>
      <c r="D588" t="s">
        <v>16</v>
      </c>
      <c r="E588">
        <v>11</v>
      </c>
      <c r="F588" t="s">
        <v>34</v>
      </c>
      <c r="G588" t="s">
        <v>49</v>
      </c>
      <c r="H588">
        <v>69</v>
      </c>
      <c r="I588">
        <v>3629</v>
      </c>
      <c r="J588">
        <v>15</v>
      </c>
      <c r="K588">
        <v>65</v>
      </c>
      <c r="L588">
        <v>3</v>
      </c>
      <c r="M588">
        <v>18435</v>
      </c>
    </row>
    <row r="589" spans="1:13">
      <c r="A589" t="s">
        <v>657</v>
      </c>
      <c r="B589" t="s">
        <v>187</v>
      </c>
      <c r="C589" t="s">
        <v>30</v>
      </c>
      <c r="D589" t="s">
        <v>16</v>
      </c>
      <c r="E589">
        <v>44</v>
      </c>
      <c r="F589" t="s">
        <v>34</v>
      </c>
      <c r="G589" t="s">
        <v>23</v>
      </c>
      <c r="H589">
        <v>74</v>
      </c>
      <c r="I589">
        <v>3917</v>
      </c>
      <c r="J589">
        <v>17.07</v>
      </c>
      <c r="K589">
        <v>99</v>
      </c>
      <c r="L589">
        <v>4</v>
      </c>
      <c r="M589">
        <v>19946</v>
      </c>
    </row>
    <row r="590" spans="1:13">
      <c r="A590" t="s">
        <v>658</v>
      </c>
      <c r="B590" t="s">
        <v>62</v>
      </c>
      <c r="C590" t="s">
        <v>52</v>
      </c>
      <c r="D590" t="s">
        <v>16</v>
      </c>
      <c r="E590">
        <v>27</v>
      </c>
      <c r="F590" t="s">
        <v>17</v>
      </c>
      <c r="G590" t="s">
        <v>70</v>
      </c>
      <c r="H590">
        <v>70</v>
      </c>
      <c r="I590">
        <v>8028</v>
      </c>
      <c r="J590">
        <v>15.89</v>
      </c>
      <c r="K590">
        <v>79</v>
      </c>
      <c r="L590">
        <v>4</v>
      </c>
      <c r="M590">
        <v>33655</v>
      </c>
    </row>
    <row r="591" spans="1:13">
      <c r="A591" t="s">
        <v>659</v>
      </c>
      <c r="B591" t="s">
        <v>150</v>
      </c>
      <c r="C591" t="s">
        <v>48</v>
      </c>
      <c r="D591" t="s">
        <v>16</v>
      </c>
      <c r="E591">
        <v>29</v>
      </c>
      <c r="F591" t="s">
        <v>17</v>
      </c>
      <c r="G591" t="s">
        <v>70</v>
      </c>
      <c r="H591">
        <v>89</v>
      </c>
      <c r="I591">
        <v>5141</v>
      </c>
      <c r="J591">
        <v>9.56</v>
      </c>
      <c r="K591">
        <v>72</v>
      </c>
      <c r="L591">
        <v>4</v>
      </c>
      <c r="M591">
        <v>13967</v>
      </c>
    </row>
    <row r="592" spans="1:13">
      <c r="A592" t="s">
        <v>660</v>
      </c>
      <c r="B592" t="s">
        <v>54</v>
      </c>
      <c r="C592" t="s">
        <v>15</v>
      </c>
      <c r="D592" t="s">
        <v>27</v>
      </c>
      <c r="E592">
        <v>25</v>
      </c>
      <c r="F592" t="s">
        <v>22</v>
      </c>
      <c r="G592" t="s">
        <v>49</v>
      </c>
      <c r="H592">
        <v>75</v>
      </c>
      <c r="I592">
        <v>6889</v>
      </c>
      <c r="J592">
        <v>13.68</v>
      </c>
      <c r="K592">
        <v>88</v>
      </c>
      <c r="L592">
        <v>4</v>
      </c>
      <c r="M592">
        <v>27390</v>
      </c>
    </row>
    <row r="593" spans="1:13">
      <c r="A593" t="s">
        <v>661</v>
      </c>
      <c r="B593" t="s">
        <v>42</v>
      </c>
      <c r="C593" t="s">
        <v>39</v>
      </c>
      <c r="D593" t="s">
        <v>16</v>
      </c>
      <c r="E593">
        <v>16</v>
      </c>
      <c r="F593" t="s">
        <v>17</v>
      </c>
      <c r="G593" t="s">
        <v>49</v>
      </c>
      <c r="H593">
        <v>75</v>
      </c>
      <c r="I593">
        <v>4010</v>
      </c>
      <c r="J593">
        <v>15.38</v>
      </c>
      <c r="K593">
        <v>48</v>
      </c>
      <c r="L593">
        <v>3</v>
      </c>
      <c r="M593">
        <v>11521</v>
      </c>
    </row>
    <row r="594" spans="1:13">
      <c r="A594" t="s">
        <v>662</v>
      </c>
      <c r="B594" t="s">
        <v>143</v>
      </c>
      <c r="C594" t="s">
        <v>21</v>
      </c>
      <c r="D594" t="s">
        <v>16</v>
      </c>
      <c r="E594">
        <v>29</v>
      </c>
      <c r="F594" t="s">
        <v>17</v>
      </c>
      <c r="G594" t="s">
        <v>49</v>
      </c>
      <c r="H594">
        <v>80</v>
      </c>
      <c r="I594">
        <v>8578</v>
      </c>
      <c r="J594">
        <v>18.21</v>
      </c>
      <c r="K594">
        <v>84</v>
      </c>
      <c r="L594">
        <v>3</v>
      </c>
      <c r="M594">
        <v>35124</v>
      </c>
    </row>
    <row r="595" spans="1:13">
      <c r="A595" t="s">
        <v>663</v>
      </c>
      <c r="B595" t="s">
        <v>42</v>
      </c>
      <c r="C595" t="s">
        <v>39</v>
      </c>
      <c r="D595" t="s">
        <v>27</v>
      </c>
      <c r="E595">
        <v>12</v>
      </c>
      <c r="F595" t="s">
        <v>22</v>
      </c>
      <c r="G595" t="s">
        <v>18</v>
      </c>
      <c r="H595">
        <v>91</v>
      </c>
      <c r="I595">
        <v>2421</v>
      </c>
      <c r="J595">
        <v>3.38</v>
      </c>
      <c r="K595">
        <v>57</v>
      </c>
      <c r="L595">
        <v>5</v>
      </c>
      <c r="M595">
        <v>11224</v>
      </c>
    </row>
    <row r="596" spans="1:13">
      <c r="A596" t="s">
        <v>664</v>
      </c>
      <c r="B596" t="s">
        <v>25</v>
      </c>
      <c r="C596" t="s">
        <v>39</v>
      </c>
      <c r="D596" t="s">
        <v>27</v>
      </c>
      <c r="E596">
        <v>12</v>
      </c>
      <c r="F596" t="s">
        <v>34</v>
      </c>
      <c r="G596" t="s">
        <v>49</v>
      </c>
      <c r="H596">
        <v>87</v>
      </c>
      <c r="I596">
        <v>3559</v>
      </c>
      <c r="J596">
        <v>6.34</v>
      </c>
      <c r="K596">
        <v>65</v>
      </c>
      <c r="L596">
        <v>5</v>
      </c>
      <c r="M596">
        <v>10137</v>
      </c>
    </row>
    <row r="597" spans="1:13">
      <c r="A597" t="s">
        <v>665</v>
      </c>
      <c r="B597" t="s">
        <v>54</v>
      </c>
      <c r="C597" t="s">
        <v>15</v>
      </c>
      <c r="D597" t="s">
        <v>72</v>
      </c>
      <c r="E597">
        <v>72</v>
      </c>
      <c r="F597" t="s">
        <v>34</v>
      </c>
      <c r="G597" t="s">
        <v>23</v>
      </c>
      <c r="H597">
        <v>82</v>
      </c>
      <c r="I597">
        <v>7329</v>
      </c>
      <c r="J597">
        <v>13.84</v>
      </c>
      <c r="K597">
        <v>52</v>
      </c>
      <c r="L597">
        <v>4</v>
      </c>
      <c r="M597">
        <v>21557</v>
      </c>
    </row>
    <row r="598" spans="1:13">
      <c r="A598" t="s">
        <v>666</v>
      </c>
      <c r="B598" t="s">
        <v>135</v>
      </c>
      <c r="C598" t="s">
        <v>48</v>
      </c>
      <c r="D598" t="s">
        <v>16</v>
      </c>
      <c r="E598">
        <v>74</v>
      </c>
      <c r="F598" t="s">
        <v>17</v>
      </c>
      <c r="G598" t="s">
        <v>18</v>
      </c>
      <c r="H598">
        <v>83</v>
      </c>
      <c r="I598">
        <v>7154</v>
      </c>
      <c r="J598">
        <v>11.05</v>
      </c>
      <c r="K598">
        <v>83</v>
      </c>
      <c r="L598">
        <v>4</v>
      </c>
      <c r="M598">
        <v>33496</v>
      </c>
    </row>
    <row r="599" spans="1:13">
      <c r="A599" t="s">
        <v>667</v>
      </c>
      <c r="B599" t="s">
        <v>129</v>
      </c>
      <c r="C599" t="s">
        <v>21</v>
      </c>
      <c r="D599" t="s">
        <v>16</v>
      </c>
      <c r="E599">
        <v>37</v>
      </c>
      <c r="F599" t="s">
        <v>22</v>
      </c>
      <c r="G599" t="s">
        <v>70</v>
      </c>
      <c r="H599">
        <v>71</v>
      </c>
      <c r="I599">
        <v>7492</v>
      </c>
      <c r="J599">
        <v>19.510000000000002</v>
      </c>
      <c r="K599">
        <v>74</v>
      </c>
      <c r="L599">
        <v>3</v>
      </c>
      <c r="M599">
        <v>38565</v>
      </c>
    </row>
    <row r="600" spans="1:13">
      <c r="A600" t="s">
        <v>668</v>
      </c>
      <c r="B600" t="s">
        <v>68</v>
      </c>
      <c r="C600" t="s">
        <v>45</v>
      </c>
      <c r="D600" t="s">
        <v>16</v>
      </c>
      <c r="E600">
        <v>14</v>
      </c>
      <c r="F600" t="s">
        <v>34</v>
      </c>
      <c r="G600" t="s">
        <v>31</v>
      </c>
      <c r="H600">
        <v>73</v>
      </c>
      <c r="I600">
        <v>8197</v>
      </c>
      <c r="J600">
        <v>17.45</v>
      </c>
      <c r="K600">
        <v>92</v>
      </c>
      <c r="L600">
        <v>3</v>
      </c>
      <c r="M600">
        <v>24737</v>
      </c>
    </row>
    <row r="601" spans="1:13">
      <c r="A601" t="s">
        <v>669</v>
      </c>
      <c r="B601" t="s">
        <v>103</v>
      </c>
      <c r="C601" t="s">
        <v>26</v>
      </c>
      <c r="D601" t="s">
        <v>27</v>
      </c>
      <c r="E601">
        <v>39</v>
      </c>
      <c r="F601" t="s">
        <v>22</v>
      </c>
      <c r="G601" t="s">
        <v>23</v>
      </c>
      <c r="H601">
        <v>83</v>
      </c>
      <c r="I601">
        <v>2296</v>
      </c>
      <c r="J601">
        <v>10.89</v>
      </c>
      <c r="K601">
        <v>37</v>
      </c>
      <c r="L601">
        <v>4</v>
      </c>
      <c r="M601">
        <v>6016</v>
      </c>
    </row>
    <row r="602" spans="1:13">
      <c r="A602" t="s">
        <v>670</v>
      </c>
      <c r="B602" t="s">
        <v>137</v>
      </c>
      <c r="C602" t="s">
        <v>26</v>
      </c>
      <c r="D602" t="s">
        <v>16</v>
      </c>
      <c r="E602">
        <v>71</v>
      </c>
      <c r="F602" t="s">
        <v>22</v>
      </c>
      <c r="G602" t="s">
        <v>40</v>
      </c>
      <c r="H602">
        <v>93</v>
      </c>
      <c r="I602">
        <v>2929</v>
      </c>
      <c r="J602">
        <v>5.32</v>
      </c>
      <c r="K602">
        <v>40</v>
      </c>
      <c r="L602">
        <v>4</v>
      </c>
      <c r="M602">
        <v>8693</v>
      </c>
    </row>
    <row r="603" spans="1:13">
      <c r="A603" t="s">
        <v>671</v>
      </c>
      <c r="B603" t="s">
        <v>168</v>
      </c>
      <c r="C603" t="s">
        <v>45</v>
      </c>
      <c r="D603" t="s">
        <v>27</v>
      </c>
      <c r="E603">
        <v>48</v>
      </c>
      <c r="F603" t="s">
        <v>17</v>
      </c>
      <c r="G603" t="s">
        <v>31</v>
      </c>
      <c r="H603">
        <v>69</v>
      </c>
      <c r="I603">
        <v>10005</v>
      </c>
      <c r="J603">
        <v>16.3</v>
      </c>
      <c r="K603">
        <v>103</v>
      </c>
      <c r="L603">
        <v>3</v>
      </c>
      <c r="M603">
        <v>49553</v>
      </c>
    </row>
    <row r="604" spans="1:13">
      <c r="A604" t="s">
        <v>672</v>
      </c>
      <c r="B604" t="s">
        <v>88</v>
      </c>
      <c r="C604" t="s">
        <v>15</v>
      </c>
      <c r="D604" t="s">
        <v>16</v>
      </c>
      <c r="E604">
        <v>56</v>
      </c>
      <c r="F604" t="s">
        <v>22</v>
      </c>
      <c r="G604" t="s">
        <v>40</v>
      </c>
      <c r="H604">
        <v>70</v>
      </c>
      <c r="I604">
        <v>6814</v>
      </c>
      <c r="J604">
        <v>16.29</v>
      </c>
      <c r="K604">
        <v>73</v>
      </c>
      <c r="L604">
        <v>3</v>
      </c>
      <c r="M604">
        <v>24296</v>
      </c>
    </row>
    <row r="605" spans="1:13">
      <c r="A605" t="s">
        <v>673</v>
      </c>
      <c r="B605" t="s">
        <v>78</v>
      </c>
      <c r="C605" t="s">
        <v>15</v>
      </c>
      <c r="D605" t="s">
        <v>27</v>
      </c>
      <c r="E605">
        <v>69</v>
      </c>
      <c r="F605" t="s">
        <v>34</v>
      </c>
      <c r="G605" t="s">
        <v>18</v>
      </c>
      <c r="H605">
        <v>75</v>
      </c>
      <c r="I605">
        <v>8476</v>
      </c>
      <c r="J605">
        <v>15.25</v>
      </c>
      <c r="K605">
        <v>75</v>
      </c>
      <c r="L605">
        <v>3</v>
      </c>
      <c r="M605">
        <v>43623</v>
      </c>
    </row>
    <row r="606" spans="1:13">
      <c r="A606" t="s">
        <v>674</v>
      </c>
      <c r="B606" t="s">
        <v>56</v>
      </c>
      <c r="C606" t="s">
        <v>45</v>
      </c>
      <c r="D606" t="s">
        <v>27</v>
      </c>
      <c r="E606">
        <v>76</v>
      </c>
      <c r="F606" t="s">
        <v>34</v>
      </c>
      <c r="G606" t="s">
        <v>40</v>
      </c>
      <c r="H606">
        <v>78</v>
      </c>
      <c r="I606">
        <v>11933</v>
      </c>
      <c r="J606">
        <v>15.51</v>
      </c>
      <c r="K606">
        <v>64</v>
      </c>
      <c r="L606">
        <v>3</v>
      </c>
      <c r="M606">
        <v>36849</v>
      </c>
    </row>
    <row r="607" spans="1:13">
      <c r="A607" t="s">
        <v>675</v>
      </c>
      <c r="B607" t="s">
        <v>84</v>
      </c>
      <c r="C607" t="s">
        <v>21</v>
      </c>
      <c r="D607" t="s">
        <v>16</v>
      </c>
      <c r="E607">
        <v>21</v>
      </c>
      <c r="F607" t="s">
        <v>34</v>
      </c>
      <c r="G607" t="s">
        <v>31</v>
      </c>
      <c r="H607">
        <v>90</v>
      </c>
      <c r="I607">
        <v>6655</v>
      </c>
      <c r="J607">
        <v>12.46</v>
      </c>
      <c r="K607">
        <v>56</v>
      </c>
      <c r="L607">
        <v>5</v>
      </c>
      <c r="M607">
        <v>26404</v>
      </c>
    </row>
    <row r="608" spans="1:13">
      <c r="A608" t="s">
        <v>676</v>
      </c>
      <c r="B608" t="s">
        <v>109</v>
      </c>
      <c r="C608" t="s">
        <v>30</v>
      </c>
      <c r="D608" t="s">
        <v>27</v>
      </c>
      <c r="E608">
        <v>30</v>
      </c>
      <c r="F608" t="s">
        <v>34</v>
      </c>
      <c r="G608" t="s">
        <v>23</v>
      </c>
      <c r="H608">
        <v>73</v>
      </c>
      <c r="I608">
        <v>3329</v>
      </c>
      <c r="J608">
        <v>18.010000000000002</v>
      </c>
      <c r="K608">
        <v>143</v>
      </c>
      <c r="L608">
        <v>4</v>
      </c>
      <c r="M608">
        <v>8769</v>
      </c>
    </row>
    <row r="609" spans="1:13">
      <c r="A609" t="s">
        <v>677</v>
      </c>
      <c r="B609" t="s">
        <v>54</v>
      </c>
      <c r="C609" t="s">
        <v>15</v>
      </c>
      <c r="D609" t="s">
        <v>27</v>
      </c>
      <c r="E609">
        <v>48</v>
      </c>
      <c r="F609" t="s">
        <v>17</v>
      </c>
      <c r="G609" t="s">
        <v>70</v>
      </c>
      <c r="H609">
        <v>83</v>
      </c>
      <c r="I609">
        <v>7093</v>
      </c>
      <c r="J609">
        <v>5.15</v>
      </c>
      <c r="K609">
        <v>84</v>
      </c>
      <c r="L609">
        <v>4</v>
      </c>
      <c r="M609">
        <v>32182</v>
      </c>
    </row>
    <row r="610" spans="1:13">
      <c r="A610" t="s">
        <v>678</v>
      </c>
      <c r="B610" t="s">
        <v>60</v>
      </c>
      <c r="C610" t="s">
        <v>52</v>
      </c>
      <c r="D610" t="s">
        <v>16</v>
      </c>
      <c r="E610">
        <v>52</v>
      </c>
      <c r="F610" t="s">
        <v>34</v>
      </c>
      <c r="G610" t="s">
        <v>18</v>
      </c>
      <c r="H610">
        <v>84</v>
      </c>
      <c r="I610">
        <v>5569</v>
      </c>
      <c r="J610">
        <v>3.48</v>
      </c>
      <c r="K610">
        <v>86</v>
      </c>
      <c r="L610">
        <v>4</v>
      </c>
      <c r="M610">
        <v>27511</v>
      </c>
    </row>
    <row r="611" spans="1:13">
      <c r="A611" t="s">
        <v>679</v>
      </c>
      <c r="B611" t="s">
        <v>58</v>
      </c>
      <c r="C611" t="s">
        <v>48</v>
      </c>
      <c r="D611" t="s">
        <v>16</v>
      </c>
      <c r="E611">
        <v>29</v>
      </c>
      <c r="F611" t="s">
        <v>34</v>
      </c>
      <c r="G611" t="s">
        <v>23</v>
      </c>
      <c r="H611">
        <v>76</v>
      </c>
      <c r="I611">
        <v>3361</v>
      </c>
      <c r="J611">
        <v>17.28</v>
      </c>
      <c r="K611">
        <v>74</v>
      </c>
      <c r="L611">
        <v>4</v>
      </c>
      <c r="M611">
        <v>18124</v>
      </c>
    </row>
    <row r="612" spans="1:13">
      <c r="A612" t="s">
        <v>680</v>
      </c>
      <c r="B612" t="s">
        <v>66</v>
      </c>
      <c r="C612" t="s">
        <v>39</v>
      </c>
      <c r="D612" t="s">
        <v>27</v>
      </c>
      <c r="E612">
        <v>16</v>
      </c>
      <c r="F612" t="s">
        <v>22</v>
      </c>
      <c r="G612" t="s">
        <v>40</v>
      </c>
      <c r="H612">
        <v>81</v>
      </c>
      <c r="I612">
        <v>3007</v>
      </c>
      <c r="J612">
        <v>9.92</v>
      </c>
      <c r="K612">
        <v>61</v>
      </c>
      <c r="L612">
        <v>3</v>
      </c>
      <c r="M612">
        <v>16546</v>
      </c>
    </row>
    <row r="613" spans="1:13">
      <c r="A613" t="s">
        <v>681</v>
      </c>
      <c r="B613" t="s">
        <v>185</v>
      </c>
      <c r="C613" t="s">
        <v>52</v>
      </c>
      <c r="D613" t="s">
        <v>16</v>
      </c>
      <c r="E613">
        <v>25</v>
      </c>
      <c r="F613" t="s">
        <v>22</v>
      </c>
      <c r="G613" t="s">
        <v>23</v>
      </c>
      <c r="H613">
        <v>80</v>
      </c>
      <c r="I613">
        <v>7371</v>
      </c>
      <c r="J613">
        <v>11.12</v>
      </c>
      <c r="K613">
        <v>67</v>
      </c>
      <c r="L613">
        <v>5</v>
      </c>
      <c r="M613">
        <v>24296</v>
      </c>
    </row>
    <row r="614" spans="1:13">
      <c r="A614" t="s">
        <v>682</v>
      </c>
      <c r="B614" t="s">
        <v>97</v>
      </c>
      <c r="C614" t="s">
        <v>30</v>
      </c>
      <c r="D614" t="s">
        <v>27</v>
      </c>
      <c r="E614">
        <v>35</v>
      </c>
      <c r="F614" t="s">
        <v>17</v>
      </c>
      <c r="G614" t="s">
        <v>49</v>
      </c>
      <c r="H614">
        <v>74</v>
      </c>
      <c r="I614">
        <v>3377</v>
      </c>
      <c r="J614">
        <v>19.97</v>
      </c>
      <c r="K614">
        <v>90</v>
      </c>
      <c r="L614">
        <v>4</v>
      </c>
      <c r="M614">
        <v>10560</v>
      </c>
    </row>
    <row r="615" spans="1:13">
      <c r="A615" t="s">
        <v>683</v>
      </c>
      <c r="B615" t="s">
        <v>95</v>
      </c>
      <c r="C615" t="s">
        <v>52</v>
      </c>
      <c r="D615" t="s">
        <v>16</v>
      </c>
      <c r="E615">
        <v>43</v>
      </c>
      <c r="F615" t="s">
        <v>17</v>
      </c>
      <c r="G615" t="s">
        <v>23</v>
      </c>
      <c r="H615">
        <v>73</v>
      </c>
      <c r="I615">
        <v>6444</v>
      </c>
      <c r="J615">
        <v>17.93</v>
      </c>
      <c r="K615">
        <v>99</v>
      </c>
      <c r="L615">
        <v>3</v>
      </c>
      <c r="M615">
        <v>29775</v>
      </c>
    </row>
    <row r="616" spans="1:13">
      <c r="A616" t="s">
        <v>684</v>
      </c>
      <c r="B616" t="s">
        <v>38</v>
      </c>
      <c r="C616" t="s">
        <v>39</v>
      </c>
      <c r="D616" t="s">
        <v>72</v>
      </c>
      <c r="E616">
        <v>18</v>
      </c>
      <c r="F616" t="s">
        <v>34</v>
      </c>
      <c r="G616" t="s">
        <v>31</v>
      </c>
      <c r="H616">
        <v>90</v>
      </c>
      <c r="I616">
        <v>3237</v>
      </c>
      <c r="J616">
        <v>9.0500000000000007</v>
      </c>
      <c r="K616">
        <v>58</v>
      </c>
      <c r="L616">
        <v>4</v>
      </c>
      <c r="M616">
        <v>13496</v>
      </c>
    </row>
    <row r="617" spans="1:13">
      <c r="A617" t="s">
        <v>685</v>
      </c>
      <c r="B617" t="s">
        <v>36</v>
      </c>
      <c r="C617" t="s">
        <v>21</v>
      </c>
      <c r="D617" t="s">
        <v>27</v>
      </c>
      <c r="E617">
        <v>62</v>
      </c>
      <c r="F617" t="s">
        <v>34</v>
      </c>
      <c r="G617" t="s">
        <v>23</v>
      </c>
      <c r="H617">
        <v>79</v>
      </c>
      <c r="I617">
        <v>6101</v>
      </c>
      <c r="J617">
        <v>17.940000000000001</v>
      </c>
      <c r="K617">
        <v>84</v>
      </c>
      <c r="L617">
        <v>4</v>
      </c>
      <c r="M617">
        <v>35795</v>
      </c>
    </row>
    <row r="618" spans="1:13">
      <c r="A618" t="s">
        <v>686</v>
      </c>
      <c r="B618" t="s">
        <v>14</v>
      </c>
      <c r="C618" t="s">
        <v>15</v>
      </c>
      <c r="D618" t="s">
        <v>27</v>
      </c>
      <c r="E618">
        <v>1</v>
      </c>
      <c r="F618" t="s">
        <v>34</v>
      </c>
      <c r="G618" t="s">
        <v>18</v>
      </c>
      <c r="H618">
        <v>72</v>
      </c>
      <c r="I618">
        <v>7341</v>
      </c>
      <c r="J618">
        <v>11.64</v>
      </c>
      <c r="K618">
        <v>96</v>
      </c>
      <c r="L618">
        <v>3</v>
      </c>
      <c r="M618">
        <v>28757</v>
      </c>
    </row>
    <row r="619" spans="1:13">
      <c r="A619" t="s">
        <v>687</v>
      </c>
      <c r="B619" t="s">
        <v>33</v>
      </c>
      <c r="C619" t="s">
        <v>26</v>
      </c>
      <c r="D619" t="s">
        <v>16</v>
      </c>
      <c r="E619">
        <v>29</v>
      </c>
      <c r="F619" t="s">
        <v>22</v>
      </c>
      <c r="G619" t="s">
        <v>18</v>
      </c>
      <c r="H619">
        <v>80</v>
      </c>
      <c r="I619">
        <v>2397</v>
      </c>
      <c r="J619">
        <v>0.31</v>
      </c>
      <c r="K619">
        <v>47</v>
      </c>
      <c r="L619">
        <v>4</v>
      </c>
      <c r="M619">
        <v>8647</v>
      </c>
    </row>
    <row r="620" spans="1:13">
      <c r="A620" t="s">
        <v>688</v>
      </c>
      <c r="B620" t="s">
        <v>78</v>
      </c>
      <c r="C620" t="s">
        <v>15</v>
      </c>
      <c r="D620" t="s">
        <v>16</v>
      </c>
      <c r="E620">
        <v>39</v>
      </c>
      <c r="F620" t="s">
        <v>22</v>
      </c>
      <c r="G620" t="s">
        <v>31</v>
      </c>
      <c r="H620">
        <v>82</v>
      </c>
      <c r="I620">
        <v>8116</v>
      </c>
      <c r="J620">
        <v>8.56</v>
      </c>
      <c r="K620">
        <v>74</v>
      </c>
      <c r="L620">
        <v>4</v>
      </c>
      <c r="M620">
        <v>20693</v>
      </c>
    </row>
    <row r="621" spans="1:13">
      <c r="A621" t="s">
        <v>689</v>
      </c>
      <c r="B621" t="s">
        <v>36</v>
      </c>
      <c r="C621" t="s">
        <v>21</v>
      </c>
      <c r="D621" t="s">
        <v>27</v>
      </c>
      <c r="E621">
        <v>38</v>
      </c>
      <c r="F621" t="s">
        <v>17</v>
      </c>
      <c r="G621" t="s">
        <v>31</v>
      </c>
      <c r="H621">
        <v>89</v>
      </c>
      <c r="I621">
        <v>7919</v>
      </c>
      <c r="J621">
        <v>18.61</v>
      </c>
      <c r="K621">
        <v>57</v>
      </c>
      <c r="L621">
        <v>5</v>
      </c>
      <c r="M621">
        <v>31040</v>
      </c>
    </row>
    <row r="622" spans="1:13">
      <c r="A622" t="s">
        <v>690</v>
      </c>
      <c r="B622" t="s">
        <v>36</v>
      </c>
      <c r="C622" t="s">
        <v>21</v>
      </c>
      <c r="D622" t="s">
        <v>16</v>
      </c>
      <c r="E622">
        <v>44</v>
      </c>
      <c r="F622" t="s">
        <v>34</v>
      </c>
      <c r="G622" t="s">
        <v>18</v>
      </c>
      <c r="H622">
        <v>82</v>
      </c>
      <c r="I622">
        <v>4714</v>
      </c>
      <c r="J622">
        <v>17.079999999999998</v>
      </c>
      <c r="K622">
        <v>113</v>
      </c>
      <c r="L622">
        <v>4</v>
      </c>
      <c r="M622">
        <v>20284</v>
      </c>
    </row>
    <row r="623" spans="1:13">
      <c r="A623" t="s">
        <v>691</v>
      </c>
      <c r="B623" t="s">
        <v>14</v>
      </c>
      <c r="C623" t="s">
        <v>15</v>
      </c>
      <c r="D623" t="s">
        <v>27</v>
      </c>
      <c r="E623">
        <v>70</v>
      </c>
      <c r="F623" t="s">
        <v>17</v>
      </c>
      <c r="G623" t="s">
        <v>49</v>
      </c>
      <c r="H623">
        <v>76</v>
      </c>
      <c r="I623">
        <v>6445</v>
      </c>
      <c r="J623">
        <v>11.48</v>
      </c>
      <c r="K623">
        <v>72</v>
      </c>
      <c r="L623">
        <v>3</v>
      </c>
      <c r="M623">
        <v>33747</v>
      </c>
    </row>
    <row r="624" spans="1:13">
      <c r="A624" t="s">
        <v>692</v>
      </c>
      <c r="B624" t="s">
        <v>25</v>
      </c>
      <c r="C624" t="s">
        <v>26</v>
      </c>
      <c r="D624" t="s">
        <v>72</v>
      </c>
      <c r="E624">
        <v>74</v>
      </c>
      <c r="F624" t="s">
        <v>34</v>
      </c>
      <c r="G624" t="s">
        <v>18</v>
      </c>
      <c r="H624">
        <v>82</v>
      </c>
      <c r="I624">
        <v>1579</v>
      </c>
      <c r="J624">
        <v>8.57</v>
      </c>
      <c r="K624">
        <v>43</v>
      </c>
      <c r="L624">
        <v>4</v>
      </c>
      <c r="M624">
        <v>5187</v>
      </c>
    </row>
    <row r="625" spans="1:13">
      <c r="A625" t="s">
        <v>693</v>
      </c>
      <c r="B625" t="s">
        <v>62</v>
      </c>
      <c r="C625" t="s">
        <v>52</v>
      </c>
      <c r="D625" t="s">
        <v>16</v>
      </c>
      <c r="E625">
        <v>10</v>
      </c>
      <c r="F625" t="s">
        <v>17</v>
      </c>
      <c r="G625" t="s">
        <v>49</v>
      </c>
      <c r="H625">
        <v>77</v>
      </c>
      <c r="I625">
        <v>3352</v>
      </c>
      <c r="J625">
        <v>16.37</v>
      </c>
      <c r="K625">
        <v>80</v>
      </c>
      <c r="L625">
        <v>4</v>
      </c>
      <c r="M625">
        <v>18509</v>
      </c>
    </row>
    <row r="626" spans="1:13">
      <c r="A626" t="s">
        <v>694</v>
      </c>
      <c r="B626" t="s">
        <v>58</v>
      </c>
      <c r="C626" t="s">
        <v>48</v>
      </c>
      <c r="D626" t="s">
        <v>16</v>
      </c>
      <c r="E626">
        <v>49</v>
      </c>
      <c r="F626" t="s">
        <v>22</v>
      </c>
      <c r="G626" t="s">
        <v>40</v>
      </c>
      <c r="H626">
        <v>76</v>
      </c>
      <c r="I626">
        <v>6280</v>
      </c>
      <c r="J626">
        <v>16.14</v>
      </c>
      <c r="K626">
        <v>53</v>
      </c>
      <c r="L626">
        <v>4</v>
      </c>
      <c r="M626">
        <v>17732</v>
      </c>
    </row>
    <row r="627" spans="1:13">
      <c r="A627" t="s">
        <v>695</v>
      </c>
      <c r="B627" t="s">
        <v>95</v>
      </c>
      <c r="C627" t="s">
        <v>52</v>
      </c>
      <c r="D627" t="s">
        <v>16</v>
      </c>
      <c r="E627">
        <v>1</v>
      </c>
      <c r="F627" t="s">
        <v>17</v>
      </c>
      <c r="G627" t="s">
        <v>31</v>
      </c>
      <c r="H627">
        <v>76</v>
      </c>
      <c r="I627">
        <v>7390</v>
      </c>
      <c r="J627">
        <v>16.190000000000001</v>
      </c>
      <c r="K627">
        <v>61</v>
      </c>
      <c r="L627">
        <v>3</v>
      </c>
      <c r="M627">
        <v>41638</v>
      </c>
    </row>
    <row r="628" spans="1:13">
      <c r="A628" t="s">
        <v>696</v>
      </c>
      <c r="B628" t="s">
        <v>25</v>
      </c>
      <c r="C628" t="s">
        <v>26</v>
      </c>
      <c r="D628" t="s">
        <v>16</v>
      </c>
      <c r="E628">
        <v>43</v>
      </c>
      <c r="F628" t="s">
        <v>17</v>
      </c>
      <c r="G628" t="s">
        <v>70</v>
      </c>
      <c r="H628">
        <v>83</v>
      </c>
      <c r="I628">
        <v>2645</v>
      </c>
      <c r="J628">
        <v>0</v>
      </c>
      <c r="K628">
        <v>54</v>
      </c>
      <c r="L628">
        <v>5</v>
      </c>
      <c r="M628">
        <v>13430</v>
      </c>
    </row>
    <row r="629" spans="1:13">
      <c r="A629" t="s">
        <v>697</v>
      </c>
      <c r="B629" t="s">
        <v>25</v>
      </c>
      <c r="C629" t="s">
        <v>26</v>
      </c>
      <c r="D629" t="s">
        <v>27</v>
      </c>
      <c r="E629">
        <v>13</v>
      </c>
      <c r="F629" t="s">
        <v>22</v>
      </c>
      <c r="G629" t="s">
        <v>49</v>
      </c>
      <c r="H629">
        <v>87</v>
      </c>
      <c r="I629">
        <v>2451</v>
      </c>
      <c r="J629">
        <v>0</v>
      </c>
      <c r="K629">
        <v>20</v>
      </c>
      <c r="L629">
        <v>4</v>
      </c>
      <c r="M629">
        <v>8782</v>
      </c>
    </row>
    <row r="630" spans="1:13">
      <c r="A630" t="s">
        <v>698</v>
      </c>
      <c r="B630" t="s">
        <v>78</v>
      </c>
      <c r="C630" t="s">
        <v>15</v>
      </c>
      <c r="D630" t="s">
        <v>16</v>
      </c>
      <c r="E630">
        <v>43</v>
      </c>
      <c r="F630" t="s">
        <v>17</v>
      </c>
      <c r="G630" t="s">
        <v>40</v>
      </c>
      <c r="H630">
        <v>84</v>
      </c>
      <c r="I630">
        <v>9930</v>
      </c>
      <c r="J630">
        <v>9.9499999999999993</v>
      </c>
      <c r="K630">
        <v>92</v>
      </c>
      <c r="L630">
        <v>5</v>
      </c>
      <c r="M630">
        <v>45932</v>
      </c>
    </row>
    <row r="631" spans="1:13">
      <c r="A631" t="s">
        <v>699</v>
      </c>
      <c r="B631" t="s">
        <v>66</v>
      </c>
      <c r="C631" t="s">
        <v>39</v>
      </c>
      <c r="D631" t="s">
        <v>27</v>
      </c>
      <c r="E631">
        <v>16</v>
      </c>
      <c r="F631" t="s">
        <v>22</v>
      </c>
      <c r="G631" t="s">
        <v>70</v>
      </c>
      <c r="H631">
        <v>82</v>
      </c>
      <c r="I631">
        <v>3087</v>
      </c>
      <c r="J631">
        <v>5.37</v>
      </c>
      <c r="K631">
        <v>47</v>
      </c>
      <c r="L631">
        <v>4</v>
      </c>
      <c r="M631">
        <v>16810</v>
      </c>
    </row>
    <row r="632" spans="1:13">
      <c r="A632" t="s">
        <v>700</v>
      </c>
      <c r="B632" t="s">
        <v>42</v>
      </c>
      <c r="C632" t="s">
        <v>39</v>
      </c>
      <c r="D632" t="s">
        <v>16</v>
      </c>
      <c r="E632">
        <v>15</v>
      </c>
      <c r="F632" t="s">
        <v>34</v>
      </c>
      <c r="G632" t="s">
        <v>23</v>
      </c>
      <c r="H632">
        <v>82</v>
      </c>
      <c r="I632">
        <v>3723</v>
      </c>
      <c r="J632">
        <v>1.89</v>
      </c>
      <c r="K632">
        <v>55</v>
      </c>
      <c r="L632">
        <v>4</v>
      </c>
      <c r="M632">
        <v>13082</v>
      </c>
    </row>
    <row r="633" spans="1:13">
      <c r="A633" t="s">
        <v>701</v>
      </c>
      <c r="B633" t="s">
        <v>29</v>
      </c>
      <c r="C633" t="s">
        <v>30</v>
      </c>
      <c r="D633" t="s">
        <v>27</v>
      </c>
      <c r="E633">
        <v>30</v>
      </c>
      <c r="F633" t="s">
        <v>34</v>
      </c>
      <c r="G633" t="s">
        <v>18</v>
      </c>
      <c r="H633">
        <v>73</v>
      </c>
      <c r="I633">
        <v>4654</v>
      </c>
      <c r="J633">
        <v>15.13</v>
      </c>
      <c r="K633">
        <v>96</v>
      </c>
      <c r="L633">
        <v>3</v>
      </c>
      <c r="M633">
        <v>18002</v>
      </c>
    </row>
    <row r="634" spans="1:13">
      <c r="A634" t="s">
        <v>702</v>
      </c>
      <c r="B634" t="s">
        <v>109</v>
      </c>
      <c r="C634" t="s">
        <v>30</v>
      </c>
      <c r="D634" t="s">
        <v>16</v>
      </c>
      <c r="E634">
        <v>32</v>
      </c>
      <c r="F634" t="s">
        <v>34</v>
      </c>
      <c r="G634" t="s">
        <v>49</v>
      </c>
      <c r="H634">
        <v>72</v>
      </c>
      <c r="I634">
        <v>3362</v>
      </c>
      <c r="J634">
        <v>16.14</v>
      </c>
      <c r="K634">
        <v>124</v>
      </c>
      <c r="L634">
        <v>3</v>
      </c>
      <c r="M634">
        <v>17556</v>
      </c>
    </row>
    <row r="635" spans="1:13">
      <c r="A635" t="s">
        <v>703</v>
      </c>
      <c r="B635" t="s">
        <v>47</v>
      </c>
      <c r="C635" t="s">
        <v>48</v>
      </c>
      <c r="D635" t="s">
        <v>16</v>
      </c>
      <c r="E635">
        <v>47</v>
      </c>
      <c r="F635" t="s">
        <v>34</v>
      </c>
      <c r="G635" t="s">
        <v>31</v>
      </c>
      <c r="H635">
        <v>79</v>
      </c>
      <c r="I635">
        <v>7673</v>
      </c>
      <c r="J635">
        <v>7.82</v>
      </c>
      <c r="K635">
        <v>77</v>
      </c>
      <c r="L635">
        <v>4</v>
      </c>
      <c r="M635">
        <v>38023</v>
      </c>
    </row>
    <row r="636" spans="1:13">
      <c r="A636" t="s">
        <v>704</v>
      </c>
      <c r="B636" t="s">
        <v>25</v>
      </c>
      <c r="C636" t="s">
        <v>26</v>
      </c>
      <c r="D636" t="s">
        <v>16</v>
      </c>
      <c r="E636">
        <v>44</v>
      </c>
      <c r="F636" t="s">
        <v>22</v>
      </c>
      <c r="G636" t="s">
        <v>49</v>
      </c>
      <c r="H636">
        <v>86</v>
      </c>
      <c r="I636">
        <v>3110</v>
      </c>
      <c r="J636">
        <v>0.69</v>
      </c>
      <c r="K636">
        <v>42</v>
      </c>
      <c r="L636">
        <v>5</v>
      </c>
      <c r="M636">
        <v>16609</v>
      </c>
    </row>
    <row r="637" spans="1:13">
      <c r="A637" t="s">
        <v>705</v>
      </c>
      <c r="B637" t="s">
        <v>129</v>
      </c>
      <c r="C637" t="s">
        <v>21</v>
      </c>
      <c r="D637" t="s">
        <v>27</v>
      </c>
      <c r="E637">
        <v>35</v>
      </c>
      <c r="F637" t="s">
        <v>17</v>
      </c>
      <c r="G637" t="s">
        <v>49</v>
      </c>
      <c r="H637">
        <v>84</v>
      </c>
      <c r="I637">
        <v>7711</v>
      </c>
      <c r="J637">
        <v>19.39</v>
      </c>
      <c r="K637">
        <v>54</v>
      </c>
      <c r="L637">
        <v>5</v>
      </c>
      <c r="M637">
        <v>43974</v>
      </c>
    </row>
    <row r="638" spans="1:13">
      <c r="A638" t="s">
        <v>706</v>
      </c>
      <c r="B638" t="s">
        <v>60</v>
      </c>
      <c r="C638" t="s">
        <v>52</v>
      </c>
      <c r="D638" t="s">
        <v>16</v>
      </c>
      <c r="E638">
        <v>54</v>
      </c>
      <c r="F638" t="s">
        <v>34</v>
      </c>
      <c r="G638" t="s">
        <v>49</v>
      </c>
      <c r="H638">
        <v>68</v>
      </c>
      <c r="I638">
        <v>5342</v>
      </c>
      <c r="J638">
        <v>16.010000000000002</v>
      </c>
      <c r="K638">
        <v>67</v>
      </c>
      <c r="L638">
        <v>3</v>
      </c>
      <c r="M638">
        <v>24186</v>
      </c>
    </row>
    <row r="639" spans="1:13">
      <c r="A639" t="s">
        <v>707</v>
      </c>
      <c r="B639" t="s">
        <v>80</v>
      </c>
      <c r="C639" t="s">
        <v>15</v>
      </c>
      <c r="D639" t="s">
        <v>16</v>
      </c>
      <c r="E639">
        <v>48</v>
      </c>
      <c r="F639" t="s">
        <v>22</v>
      </c>
      <c r="G639" t="s">
        <v>18</v>
      </c>
      <c r="H639">
        <v>60</v>
      </c>
      <c r="I639">
        <v>7453</v>
      </c>
      <c r="J639">
        <v>25.11</v>
      </c>
      <c r="K639">
        <v>104</v>
      </c>
      <c r="L639">
        <v>3</v>
      </c>
      <c r="M639">
        <v>23373</v>
      </c>
    </row>
    <row r="640" spans="1:13">
      <c r="A640" t="s">
        <v>708</v>
      </c>
      <c r="B640" t="s">
        <v>97</v>
      </c>
      <c r="C640" t="s">
        <v>30</v>
      </c>
      <c r="D640" t="s">
        <v>27</v>
      </c>
      <c r="E640">
        <v>4</v>
      </c>
      <c r="F640" t="s">
        <v>34</v>
      </c>
      <c r="G640" t="s">
        <v>23</v>
      </c>
      <c r="H640">
        <v>78</v>
      </c>
      <c r="I640">
        <v>3325</v>
      </c>
      <c r="J640">
        <v>11.31</v>
      </c>
      <c r="K640">
        <v>110</v>
      </c>
      <c r="L640">
        <v>4</v>
      </c>
      <c r="M640">
        <v>9548</v>
      </c>
    </row>
    <row r="641" spans="1:13">
      <c r="A641" t="s">
        <v>709</v>
      </c>
      <c r="B641" t="s">
        <v>44</v>
      </c>
      <c r="C641" t="s">
        <v>45</v>
      </c>
      <c r="D641" t="s">
        <v>16</v>
      </c>
      <c r="E641">
        <v>57</v>
      </c>
      <c r="F641" t="s">
        <v>34</v>
      </c>
      <c r="G641" t="s">
        <v>31</v>
      </c>
      <c r="H641">
        <v>78</v>
      </c>
      <c r="I641">
        <v>8261</v>
      </c>
      <c r="J641">
        <v>18.14</v>
      </c>
      <c r="K641">
        <v>106</v>
      </c>
      <c r="L641">
        <v>4</v>
      </c>
      <c r="M641">
        <v>37345</v>
      </c>
    </row>
    <row r="642" spans="1:13">
      <c r="A642" t="s">
        <v>710</v>
      </c>
      <c r="B642" t="s">
        <v>20</v>
      </c>
      <c r="C642" t="s">
        <v>21</v>
      </c>
      <c r="D642" t="s">
        <v>27</v>
      </c>
      <c r="E642">
        <v>33</v>
      </c>
      <c r="F642" t="s">
        <v>17</v>
      </c>
      <c r="G642" t="s">
        <v>31</v>
      </c>
      <c r="H642">
        <v>68</v>
      </c>
      <c r="I642">
        <v>5816</v>
      </c>
      <c r="J642">
        <v>15.13</v>
      </c>
      <c r="K642">
        <v>131</v>
      </c>
      <c r="L642">
        <v>3</v>
      </c>
      <c r="M642">
        <v>23395</v>
      </c>
    </row>
    <row r="643" spans="1:13">
      <c r="A643" t="s">
        <v>711</v>
      </c>
      <c r="B643" t="s">
        <v>97</v>
      </c>
      <c r="C643" t="s">
        <v>30</v>
      </c>
      <c r="D643" t="s">
        <v>16</v>
      </c>
      <c r="E643">
        <v>52</v>
      </c>
      <c r="F643" t="s">
        <v>34</v>
      </c>
      <c r="G643" t="s">
        <v>49</v>
      </c>
      <c r="H643">
        <v>76</v>
      </c>
      <c r="I643">
        <v>3782</v>
      </c>
      <c r="J643">
        <v>14.91</v>
      </c>
      <c r="K643">
        <v>73</v>
      </c>
      <c r="L643">
        <v>4</v>
      </c>
      <c r="M643">
        <v>10835</v>
      </c>
    </row>
    <row r="644" spans="1:13">
      <c r="A644" t="s">
        <v>712</v>
      </c>
      <c r="B644" t="s">
        <v>135</v>
      </c>
      <c r="C644" t="s">
        <v>48</v>
      </c>
      <c r="D644" t="s">
        <v>27</v>
      </c>
      <c r="E644">
        <v>1</v>
      </c>
      <c r="F644" t="s">
        <v>22</v>
      </c>
      <c r="G644" t="s">
        <v>40</v>
      </c>
      <c r="H644">
        <v>77</v>
      </c>
      <c r="I644">
        <v>6354</v>
      </c>
      <c r="J644">
        <v>8.89</v>
      </c>
      <c r="K644">
        <v>115</v>
      </c>
      <c r="L644">
        <v>4</v>
      </c>
      <c r="M644">
        <v>29807</v>
      </c>
    </row>
    <row r="645" spans="1:13">
      <c r="A645" t="s">
        <v>713</v>
      </c>
      <c r="B645" t="s">
        <v>14</v>
      </c>
      <c r="C645" t="s">
        <v>15</v>
      </c>
      <c r="D645" t="s">
        <v>27</v>
      </c>
      <c r="E645">
        <v>36</v>
      </c>
      <c r="F645" t="s">
        <v>34</v>
      </c>
      <c r="G645" t="s">
        <v>40</v>
      </c>
      <c r="H645">
        <v>84</v>
      </c>
      <c r="I645">
        <v>7806</v>
      </c>
      <c r="J645">
        <v>15.4</v>
      </c>
      <c r="K645">
        <v>72</v>
      </c>
      <c r="L645">
        <v>4</v>
      </c>
      <c r="M645">
        <v>38922</v>
      </c>
    </row>
    <row r="646" spans="1:13">
      <c r="A646" t="s">
        <v>714</v>
      </c>
      <c r="B646" t="s">
        <v>80</v>
      </c>
      <c r="C646" t="s">
        <v>15</v>
      </c>
      <c r="D646" t="s">
        <v>16</v>
      </c>
      <c r="E646">
        <v>51</v>
      </c>
      <c r="F646" t="s">
        <v>22</v>
      </c>
      <c r="G646" t="s">
        <v>31</v>
      </c>
      <c r="H646">
        <v>76</v>
      </c>
      <c r="I646">
        <v>8175</v>
      </c>
      <c r="J646">
        <v>10.57</v>
      </c>
      <c r="K646">
        <v>74</v>
      </c>
      <c r="L646">
        <v>3</v>
      </c>
      <c r="M646">
        <v>47066</v>
      </c>
    </row>
    <row r="647" spans="1:13">
      <c r="A647" t="s">
        <v>715</v>
      </c>
      <c r="B647" t="s">
        <v>88</v>
      </c>
      <c r="C647" t="s">
        <v>15</v>
      </c>
      <c r="D647" t="s">
        <v>27</v>
      </c>
      <c r="E647">
        <v>60</v>
      </c>
      <c r="F647" t="s">
        <v>34</v>
      </c>
      <c r="G647" t="s">
        <v>23</v>
      </c>
      <c r="H647">
        <v>74</v>
      </c>
      <c r="I647">
        <v>8862</v>
      </c>
      <c r="J647">
        <v>21.28</v>
      </c>
      <c r="K647">
        <v>95</v>
      </c>
      <c r="L647">
        <v>3</v>
      </c>
      <c r="M647">
        <v>52628</v>
      </c>
    </row>
    <row r="648" spans="1:13">
      <c r="A648" t="s">
        <v>716</v>
      </c>
      <c r="B648" t="s">
        <v>44</v>
      </c>
      <c r="C648" t="s">
        <v>45</v>
      </c>
      <c r="D648" t="s">
        <v>27</v>
      </c>
      <c r="E648">
        <v>42</v>
      </c>
      <c r="F648" t="s">
        <v>17</v>
      </c>
      <c r="G648" t="s">
        <v>40</v>
      </c>
      <c r="H648">
        <v>76</v>
      </c>
      <c r="I648">
        <v>8792</v>
      </c>
      <c r="J648">
        <v>15.46</v>
      </c>
      <c r="K648">
        <v>111</v>
      </c>
      <c r="L648">
        <v>4</v>
      </c>
      <c r="M648">
        <v>36114</v>
      </c>
    </row>
    <row r="649" spans="1:13">
      <c r="A649" t="s">
        <v>717</v>
      </c>
      <c r="B649" t="s">
        <v>78</v>
      </c>
      <c r="C649" t="s">
        <v>15</v>
      </c>
      <c r="D649" t="s">
        <v>16</v>
      </c>
      <c r="E649">
        <v>42</v>
      </c>
      <c r="F649" t="s">
        <v>17</v>
      </c>
      <c r="G649" t="s">
        <v>18</v>
      </c>
      <c r="H649">
        <v>71</v>
      </c>
      <c r="I649">
        <v>8087</v>
      </c>
      <c r="J649">
        <v>15.78</v>
      </c>
      <c r="K649">
        <v>72</v>
      </c>
      <c r="L649">
        <v>4</v>
      </c>
      <c r="M649">
        <v>35086</v>
      </c>
    </row>
    <row r="650" spans="1:13">
      <c r="A650" t="s">
        <v>718</v>
      </c>
      <c r="B650" t="s">
        <v>109</v>
      </c>
      <c r="C650" t="s">
        <v>30</v>
      </c>
      <c r="D650" t="s">
        <v>16</v>
      </c>
      <c r="E650">
        <v>37</v>
      </c>
      <c r="F650" t="s">
        <v>17</v>
      </c>
      <c r="G650" t="s">
        <v>18</v>
      </c>
      <c r="H650">
        <v>86</v>
      </c>
      <c r="I650">
        <v>4458</v>
      </c>
      <c r="J650">
        <v>13.66</v>
      </c>
      <c r="K650">
        <v>65</v>
      </c>
      <c r="L650">
        <v>5</v>
      </c>
      <c r="M650">
        <v>15328</v>
      </c>
    </row>
    <row r="651" spans="1:13">
      <c r="A651" t="s">
        <v>719</v>
      </c>
      <c r="B651" t="s">
        <v>187</v>
      </c>
      <c r="C651" t="s">
        <v>30</v>
      </c>
      <c r="D651" t="s">
        <v>27</v>
      </c>
      <c r="E651">
        <v>29</v>
      </c>
      <c r="F651" t="s">
        <v>17</v>
      </c>
      <c r="G651" t="s">
        <v>18</v>
      </c>
      <c r="H651">
        <v>78</v>
      </c>
      <c r="I651">
        <v>3274</v>
      </c>
      <c r="J651">
        <v>18.440000000000001</v>
      </c>
      <c r="K651">
        <v>102</v>
      </c>
      <c r="L651">
        <v>4</v>
      </c>
      <c r="M651">
        <v>18393</v>
      </c>
    </row>
    <row r="652" spans="1:13">
      <c r="A652" t="s">
        <v>720</v>
      </c>
      <c r="B652" t="s">
        <v>29</v>
      </c>
      <c r="C652" t="s">
        <v>30</v>
      </c>
      <c r="D652" t="s">
        <v>16</v>
      </c>
      <c r="E652">
        <v>9</v>
      </c>
      <c r="F652" t="s">
        <v>22</v>
      </c>
      <c r="G652" t="s">
        <v>31</v>
      </c>
      <c r="H652">
        <v>76</v>
      </c>
      <c r="I652">
        <v>3658</v>
      </c>
      <c r="J652">
        <v>15.75</v>
      </c>
      <c r="K652">
        <v>65</v>
      </c>
      <c r="L652">
        <v>4</v>
      </c>
      <c r="M652">
        <v>14538</v>
      </c>
    </row>
    <row r="653" spans="1:13">
      <c r="A653" t="s">
        <v>721</v>
      </c>
      <c r="B653" t="s">
        <v>33</v>
      </c>
      <c r="C653" t="s">
        <v>26</v>
      </c>
      <c r="D653" t="s">
        <v>27</v>
      </c>
      <c r="E653">
        <v>51</v>
      </c>
      <c r="F653" t="s">
        <v>34</v>
      </c>
      <c r="G653" t="s">
        <v>31</v>
      </c>
      <c r="H653">
        <v>92</v>
      </c>
      <c r="I653">
        <v>2393</v>
      </c>
      <c r="J653">
        <v>9.7200000000000006</v>
      </c>
      <c r="K653">
        <v>13</v>
      </c>
      <c r="L653">
        <v>4</v>
      </c>
      <c r="M653">
        <v>6747</v>
      </c>
    </row>
    <row r="654" spans="1:13">
      <c r="A654" t="s">
        <v>722</v>
      </c>
      <c r="B654" t="s">
        <v>25</v>
      </c>
      <c r="C654" t="s">
        <v>39</v>
      </c>
      <c r="D654" t="s">
        <v>16</v>
      </c>
      <c r="E654">
        <v>10</v>
      </c>
      <c r="F654" t="s">
        <v>22</v>
      </c>
      <c r="G654" t="s">
        <v>40</v>
      </c>
      <c r="H654">
        <v>87</v>
      </c>
      <c r="I654">
        <v>2703</v>
      </c>
      <c r="J654">
        <v>6.01</v>
      </c>
      <c r="K654">
        <v>89</v>
      </c>
      <c r="L654">
        <v>4</v>
      </c>
      <c r="M654">
        <v>6923</v>
      </c>
    </row>
    <row r="655" spans="1:13">
      <c r="A655" t="s">
        <v>723</v>
      </c>
      <c r="B655" t="s">
        <v>78</v>
      </c>
      <c r="C655" t="s">
        <v>15</v>
      </c>
      <c r="D655" t="s">
        <v>16</v>
      </c>
      <c r="E655">
        <v>46</v>
      </c>
      <c r="F655" t="s">
        <v>17</v>
      </c>
      <c r="G655" t="s">
        <v>18</v>
      </c>
      <c r="H655">
        <v>81</v>
      </c>
      <c r="I655">
        <v>6246</v>
      </c>
      <c r="J655">
        <v>19.97</v>
      </c>
      <c r="K655">
        <v>73</v>
      </c>
      <c r="L655">
        <v>3</v>
      </c>
      <c r="M655">
        <v>21609</v>
      </c>
    </row>
    <row r="656" spans="1:13">
      <c r="A656" t="s">
        <v>724</v>
      </c>
      <c r="B656" t="s">
        <v>95</v>
      </c>
      <c r="C656" t="s">
        <v>52</v>
      </c>
      <c r="D656" t="s">
        <v>72</v>
      </c>
      <c r="E656">
        <v>68</v>
      </c>
      <c r="F656" t="s">
        <v>34</v>
      </c>
      <c r="G656" t="s">
        <v>23</v>
      </c>
      <c r="H656">
        <v>68</v>
      </c>
      <c r="I656">
        <v>9348</v>
      </c>
      <c r="J656">
        <v>18.649999999999999</v>
      </c>
      <c r="K656">
        <v>116</v>
      </c>
      <c r="L656">
        <v>3</v>
      </c>
      <c r="M656">
        <v>27496</v>
      </c>
    </row>
    <row r="657" spans="1:13">
      <c r="A657" t="s">
        <v>725</v>
      </c>
      <c r="B657" t="s">
        <v>56</v>
      </c>
      <c r="C657" t="s">
        <v>45</v>
      </c>
      <c r="D657" t="s">
        <v>16</v>
      </c>
      <c r="E657">
        <v>52</v>
      </c>
      <c r="F657" t="s">
        <v>34</v>
      </c>
      <c r="G657" t="s">
        <v>40</v>
      </c>
      <c r="H657">
        <v>85</v>
      </c>
      <c r="I657">
        <v>6936</v>
      </c>
      <c r="J657">
        <v>18.86</v>
      </c>
      <c r="K657">
        <v>78</v>
      </c>
      <c r="L657">
        <v>5</v>
      </c>
      <c r="M657">
        <v>36310</v>
      </c>
    </row>
    <row r="658" spans="1:13">
      <c r="A658" t="s">
        <v>726</v>
      </c>
      <c r="B658" t="s">
        <v>78</v>
      </c>
      <c r="C658" t="s">
        <v>15</v>
      </c>
      <c r="D658" t="s">
        <v>27</v>
      </c>
      <c r="E658">
        <v>61</v>
      </c>
      <c r="F658" t="s">
        <v>34</v>
      </c>
      <c r="G658" t="s">
        <v>18</v>
      </c>
      <c r="H658">
        <v>67</v>
      </c>
      <c r="I658">
        <v>6354</v>
      </c>
      <c r="J658">
        <v>19.03</v>
      </c>
      <c r="K658">
        <v>95</v>
      </c>
      <c r="L658">
        <v>4</v>
      </c>
      <c r="M658">
        <v>37189</v>
      </c>
    </row>
    <row r="659" spans="1:13">
      <c r="A659" t="s">
        <v>727</v>
      </c>
      <c r="B659" t="s">
        <v>47</v>
      </c>
      <c r="C659" t="s">
        <v>48</v>
      </c>
      <c r="D659" t="s">
        <v>16</v>
      </c>
      <c r="E659">
        <v>46</v>
      </c>
      <c r="F659" t="s">
        <v>22</v>
      </c>
      <c r="G659" t="s">
        <v>49</v>
      </c>
      <c r="H659">
        <v>80</v>
      </c>
      <c r="I659">
        <v>6624</v>
      </c>
      <c r="J659">
        <v>8.73</v>
      </c>
      <c r="K659">
        <v>65</v>
      </c>
      <c r="L659">
        <v>4</v>
      </c>
      <c r="M659">
        <v>28021</v>
      </c>
    </row>
    <row r="660" spans="1:13">
      <c r="A660" t="s">
        <v>728</v>
      </c>
      <c r="B660" t="s">
        <v>185</v>
      </c>
      <c r="C660" t="s">
        <v>52</v>
      </c>
      <c r="D660" t="s">
        <v>27</v>
      </c>
      <c r="E660">
        <v>53</v>
      </c>
      <c r="F660" t="s">
        <v>34</v>
      </c>
      <c r="G660" t="s">
        <v>18</v>
      </c>
      <c r="H660">
        <v>81</v>
      </c>
      <c r="I660">
        <v>9409</v>
      </c>
      <c r="J660">
        <v>14.01</v>
      </c>
      <c r="K660">
        <v>68</v>
      </c>
      <c r="L660">
        <v>4</v>
      </c>
      <c r="M660">
        <v>31191</v>
      </c>
    </row>
    <row r="661" spans="1:13">
      <c r="A661" t="s">
        <v>729</v>
      </c>
      <c r="B661" t="s">
        <v>60</v>
      </c>
      <c r="C661" t="s">
        <v>52</v>
      </c>
      <c r="D661" t="s">
        <v>27</v>
      </c>
      <c r="E661">
        <v>54</v>
      </c>
      <c r="F661" t="s">
        <v>34</v>
      </c>
      <c r="G661" t="s">
        <v>23</v>
      </c>
      <c r="H661">
        <v>77</v>
      </c>
      <c r="I661">
        <v>10346</v>
      </c>
      <c r="J661">
        <v>16.16</v>
      </c>
      <c r="K661">
        <v>62</v>
      </c>
      <c r="L661">
        <v>3</v>
      </c>
      <c r="M661">
        <v>40547</v>
      </c>
    </row>
    <row r="662" spans="1:13">
      <c r="A662" t="s">
        <v>730</v>
      </c>
      <c r="B662" t="s">
        <v>95</v>
      </c>
      <c r="C662" t="s">
        <v>52</v>
      </c>
      <c r="D662" t="s">
        <v>27</v>
      </c>
      <c r="E662">
        <v>25</v>
      </c>
      <c r="F662" t="s">
        <v>22</v>
      </c>
      <c r="G662" t="s">
        <v>23</v>
      </c>
      <c r="H662">
        <v>80</v>
      </c>
      <c r="I662">
        <v>5466</v>
      </c>
      <c r="J662">
        <v>15.65</v>
      </c>
      <c r="K662">
        <v>52</v>
      </c>
      <c r="L662">
        <v>4</v>
      </c>
      <c r="M662">
        <v>30802</v>
      </c>
    </row>
    <row r="663" spans="1:13">
      <c r="A663" t="s">
        <v>731</v>
      </c>
      <c r="B663" t="s">
        <v>38</v>
      </c>
      <c r="C663" t="s">
        <v>39</v>
      </c>
      <c r="D663" t="s">
        <v>16</v>
      </c>
      <c r="E663">
        <v>7</v>
      </c>
      <c r="F663" t="s">
        <v>34</v>
      </c>
      <c r="G663" t="s">
        <v>31</v>
      </c>
      <c r="H663">
        <v>85</v>
      </c>
      <c r="I663">
        <v>2970</v>
      </c>
      <c r="J663">
        <v>9.9600000000000009</v>
      </c>
      <c r="K663">
        <v>45</v>
      </c>
      <c r="L663">
        <v>4</v>
      </c>
      <c r="M663">
        <v>10559</v>
      </c>
    </row>
    <row r="664" spans="1:13">
      <c r="A664" t="s">
        <v>732</v>
      </c>
      <c r="B664" t="s">
        <v>58</v>
      </c>
      <c r="C664" t="s">
        <v>48</v>
      </c>
      <c r="D664" t="s">
        <v>27</v>
      </c>
      <c r="E664">
        <v>33</v>
      </c>
      <c r="F664" t="s">
        <v>17</v>
      </c>
      <c r="G664" t="s">
        <v>70</v>
      </c>
      <c r="H664">
        <v>82</v>
      </c>
      <c r="I664">
        <v>5786</v>
      </c>
      <c r="J664">
        <v>8.35</v>
      </c>
      <c r="K664">
        <v>56</v>
      </c>
      <c r="L664">
        <v>4</v>
      </c>
      <c r="M664">
        <v>17104</v>
      </c>
    </row>
    <row r="665" spans="1:13">
      <c r="A665" t="s">
        <v>733</v>
      </c>
      <c r="B665" t="s">
        <v>74</v>
      </c>
      <c r="C665" t="s">
        <v>45</v>
      </c>
      <c r="D665" t="s">
        <v>72</v>
      </c>
      <c r="E665">
        <v>22</v>
      </c>
      <c r="F665" t="s">
        <v>17</v>
      </c>
      <c r="G665" t="s">
        <v>31</v>
      </c>
      <c r="H665">
        <v>86</v>
      </c>
      <c r="I665">
        <v>11423</v>
      </c>
      <c r="J665">
        <v>11.96</v>
      </c>
      <c r="K665">
        <v>105</v>
      </c>
      <c r="L665">
        <v>4</v>
      </c>
      <c r="M665">
        <v>55851</v>
      </c>
    </row>
    <row r="666" spans="1:13">
      <c r="A666" t="s">
        <v>734</v>
      </c>
      <c r="B666" t="s">
        <v>58</v>
      </c>
      <c r="C666" t="s">
        <v>48</v>
      </c>
      <c r="D666" t="s">
        <v>27</v>
      </c>
      <c r="E666">
        <v>17</v>
      </c>
      <c r="F666" t="s">
        <v>17</v>
      </c>
      <c r="G666" t="s">
        <v>49</v>
      </c>
      <c r="H666">
        <v>80</v>
      </c>
      <c r="I666">
        <v>5936</v>
      </c>
      <c r="J666">
        <v>9.8000000000000007</v>
      </c>
      <c r="K666">
        <v>90</v>
      </c>
      <c r="L666">
        <v>4</v>
      </c>
      <c r="M666">
        <v>32133</v>
      </c>
    </row>
    <row r="667" spans="1:13">
      <c r="A667" t="s">
        <v>735</v>
      </c>
      <c r="B667" t="s">
        <v>25</v>
      </c>
      <c r="C667" t="s">
        <v>26</v>
      </c>
      <c r="D667" t="s">
        <v>27</v>
      </c>
      <c r="E667">
        <v>66</v>
      </c>
      <c r="F667" t="s">
        <v>22</v>
      </c>
      <c r="G667" t="s">
        <v>23</v>
      </c>
      <c r="H667">
        <v>82</v>
      </c>
      <c r="I667">
        <v>1954</v>
      </c>
      <c r="J667">
        <v>8.18</v>
      </c>
      <c r="K667">
        <v>68</v>
      </c>
      <c r="L667">
        <v>4</v>
      </c>
      <c r="M667">
        <v>10224</v>
      </c>
    </row>
    <row r="668" spans="1:13">
      <c r="A668" t="s">
        <v>736</v>
      </c>
      <c r="B668" t="s">
        <v>78</v>
      </c>
      <c r="C668" t="s">
        <v>15</v>
      </c>
      <c r="D668" t="s">
        <v>27</v>
      </c>
      <c r="E668">
        <v>40</v>
      </c>
      <c r="F668" t="s">
        <v>34</v>
      </c>
      <c r="G668" t="s">
        <v>23</v>
      </c>
      <c r="H668">
        <v>62</v>
      </c>
      <c r="I668">
        <v>5543</v>
      </c>
      <c r="J668">
        <v>23.78</v>
      </c>
      <c r="K668">
        <v>100</v>
      </c>
      <c r="L668">
        <v>3</v>
      </c>
      <c r="M668">
        <v>28643</v>
      </c>
    </row>
    <row r="669" spans="1:13">
      <c r="A669" t="s">
        <v>737</v>
      </c>
      <c r="B669" t="s">
        <v>187</v>
      </c>
      <c r="C669" t="s">
        <v>30</v>
      </c>
      <c r="D669" t="s">
        <v>16</v>
      </c>
      <c r="E669">
        <v>47</v>
      </c>
      <c r="F669" t="s">
        <v>17</v>
      </c>
      <c r="G669" t="s">
        <v>18</v>
      </c>
      <c r="H669">
        <v>70</v>
      </c>
      <c r="I669">
        <v>2879</v>
      </c>
      <c r="J669">
        <v>21.41</v>
      </c>
      <c r="K669">
        <v>107</v>
      </c>
      <c r="L669">
        <v>3</v>
      </c>
      <c r="M669">
        <v>16389</v>
      </c>
    </row>
    <row r="670" spans="1:13">
      <c r="A670" t="s">
        <v>738</v>
      </c>
      <c r="B670" t="s">
        <v>150</v>
      </c>
      <c r="C670" t="s">
        <v>48</v>
      </c>
      <c r="D670" t="s">
        <v>16</v>
      </c>
      <c r="E670">
        <v>72</v>
      </c>
      <c r="F670" t="s">
        <v>34</v>
      </c>
      <c r="G670" t="s">
        <v>31</v>
      </c>
      <c r="H670">
        <v>79</v>
      </c>
      <c r="I670">
        <v>7047</v>
      </c>
      <c r="J670">
        <v>8.14</v>
      </c>
      <c r="K670">
        <v>91</v>
      </c>
      <c r="L670">
        <v>4</v>
      </c>
      <c r="M670">
        <v>33076</v>
      </c>
    </row>
    <row r="671" spans="1:13">
      <c r="A671" t="s">
        <v>739</v>
      </c>
      <c r="B671" t="s">
        <v>25</v>
      </c>
      <c r="C671" t="s">
        <v>39</v>
      </c>
      <c r="D671" t="s">
        <v>27</v>
      </c>
      <c r="E671">
        <v>9</v>
      </c>
      <c r="F671" t="s">
        <v>17</v>
      </c>
      <c r="G671" t="s">
        <v>23</v>
      </c>
      <c r="H671">
        <v>95</v>
      </c>
      <c r="I671">
        <v>3419</v>
      </c>
      <c r="J671">
        <v>3.13</v>
      </c>
      <c r="K671">
        <v>53</v>
      </c>
      <c r="L671">
        <v>4</v>
      </c>
      <c r="M671">
        <v>9833</v>
      </c>
    </row>
    <row r="672" spans="1:13">
      <c r="A672" t="s">
        <v>740</v>
      </c>
      <c r="B672" t="s">
        <v>60</v>
      </c>
      <c r="C672" t="s">
        <v>52</v>
      </c>
      <c r="D672" t="s">
        <v>16</v>
      </c>
      <c r="E672">
        <v>60</v>
      </c>
      <c r="F672" t="s">
        <v>22</v>
      </c>
      <c r="G672" t="s">
        <v>23</v>
      </c>
      <c r="H672">
        <v>89</v>
      </c>
      <c r="I672">
        <v>9363</v>
      </c>
      <c r="J672">
        <v>9.08</v>
      </c>
      <c r="K672">
        <v>68</v>
      </c>
      <c r="L672">
        <v>4</v>
      </c>
      <c r="M672">
        <v>27855</v>
      </c>
    </row>
    <row r="673" spans="1:13">
      <c r="A673" t="s">
        <v>741</v>
      </c>
      <c r="B673" t="s">
        <v>20</v>
      </c>
      <c r="C673" t="s">
        <v>21</v>
      </c>
      <c r="D673" t="s">
        <v>27</v>
      </c>
      <c r="E673">
        <v>34</v>
      </c>
      <c r="F673" t="s">
        <v>34</v>
      </c>
      <c r="G673" t="s">
        <v>40</v>
      </c>
      <c r="H673">
        <v>77</v>
      </c>
      <c r="I673">
        <v>6129</v>
      </c>
      <c r="J673">
        <v>13</v>
      </c>
      <c r="K673">
        <v>73</v>
      </c>
      <c r="L673">
        <v>4</v>
      </c>
      <c r="M673">
        <v>17218</v>
      </c>
    </row>
    <row r="674" spans="1:13">
      <c r="A674" t="s">
        <v>742</v>
      </c>
      <c r="B674" t="s">
        <v>25</v>
      </c>
      <c r="C674" t="s">
        <v>26</v>
      </c>
      <c r="D674" t="s">
        <v>16</v>
      </c>
      <c r="E674">
        <v>21</v>
      </c>
      <c r="F674" t="s">
        <v>17</v>
      </c>
      <c r="G674" t="s">
        <v>70</v>
      </c>
      <c r="H674">
        <v>82</v>
      </c>
      <c r="I674">
        <v>2216</v>
      </c>
      <c r="J674">
        <v>8.33</v>
      </c>
      <c r="K674">
        <v>81</v>
      </c>
      <c r="L674">
        <v>4</v>
      </c>
      <c r="M674">
        <v>12743</v>
      </c>
    </row>
    <row r="675" spans="1:13">
      <c r="A675" t="s">
        <v>743</v>
      </c>
      <c r="B675" t="s">
        <v>122</v>
      </c>
      <c r="C675" t="s">
        <v>48</v>
      </c>
      <c r="D675" t="s">
        <v>27</v>
      </c>
      <c r="E675">
        <v>69</v>
      </c>
      <c r="F675" t="s">
        <v>17</v>
      </c>
      <c r="G675" t="s">
        <v>23</v>
      </c>
      <c r="H675">
        <v>77</v>
      </c>
      <c r="I675">
        <v>8131</v>
      </c>
      <c r="J675">
        <v>10.16</v>
      </c>
      <c r="K675">
        <v>74</v>
      </c>
      <c r="L675">
        <v>4</v>
      </c>
      <c r="M675">
        <v>30607</v>
      </c>
    </row>
    <row r="676" spans="1:13">
      <c r="A676" t="s">
        <v>744</v>
      </c>
      <c r="B676" t="s">
        <v>129</v>
      </c>
      <c r="C676" t="s">
        <v>21</v>
      </c>
      <c r="D676" t="s">
        <v>16</v>
      </c>
      <c r="E676">
        <v>32</v>
      </c>
      <c r="F676" t="s">
        <v>22</v>
      </c>
      <c r="G676" t="s">
        <v>49</v>
      </c>
      <c r="H676">
        <v>80</v>
      </c>
      <c r="I676">
        <v>7209</v>
      </c>
      <c r="J676">
        <v>6.31</v>
      </c>
      <c r="K676">
        <v>93</v>
      </c>
      <c r="L676">
        <v>4</v>
      </c>
      <c r="M676">
        <v>38612</v>
      </c>
    </row>
    <row r="677" spans="1:13">
      <c r="A677" t="s">
        <v>745</v>
      </c>
      <c r="B677" t="s">
        <v>97</v>
      </c>
      <c r="C677" t="s">
        <v>30</v>
      </c>
      <c r="D677" t="s">
        <v>16</v>
      </c>
      <c r="E677">
        <v>72</v>
      </c>
      <c r="F677" t="s">
        <v>34</v>
      </c>
      <c r="G677" t="s">
        <v>18</v>
      </c>
      <c r="H677">
        <v>81</v>
      </c>
      <c r="I677">
        <v>4148</v>
      </c>
      <c r="J677">
        <v>18.91</v>
      </c>
      <c r="K677">
        <v>103</v>
      </c>
      <c r="L677">
        <v>3</v>
      </c>
      <c r="M677">
        <v>19516</v>
      </c>
    </row>
    <row r="678" spans="1:13">
      <c r="A678" t="s">
        <v>746</v>
      </c>
      <c r="B678" t="s">
        <v>54</v>
      </c>
      <c r="C678" t="s">
        <v>15</v>
      </c>
      <c r="D678" t="s">
        <v>72</v>
      </c>
      <c r="E678">
        <v>23</v>
      </c>
      <c r="F678" t="s">
        <v>34</v>
      </c>
      <c r="G678" t="s">
        <v>49</v>
      </c>
      <c r="H678">
        <v>80</v>
      </c>
      <c r="I678">
        <v>6516</v>
      </c>
      <c r="J678">
        <v>17.96</v>
      </c>
      <c r="K678">
        <v>79</v>
      </c>
      <c r="L678">
        <v>4</v>
      </c>
      <c r="M678">
        <v>23588</v>
      </c>
    </row>
    <row r="679" spans="1:13">
      <c r="A679" t="s">
        <v>747</v>
      </c>
      <c r="B679" t="s">
        <v>64</v>
      </c>
      <c r="C679" t="s">
        <v>30</v>
      </c>
      <c r="D679" t="s">
        <v>27</v>
      </c>
      <c r="E679">
        <v>19</v>
      </c>
      <c r="F679" t="s">
        <v>17</v>
      </c>
      <c r="G679" t="s">
        <v>23</v>
      </c>
      <c r="H679">
        <v>67</v>
      </c>
      <c r="I679">
        <v>3314</v>
      </c>
      <c r="J679">
        <v>22.15</v>
      </c>
      <c r="K679">
        <v>110</v>
      </c>
      <c r="L679">
        <v>4</v>
      </c>
      <c r="M679">
        <v>8384</v>
      </c>
    </row>
    <row r="680" spans="1:13">
      <c r="A680" t="s">
        <v>748</v>
      </c>
      <c r="B680" t="s">
        <v>103</v>
      </c>
      <c r="C680" t="s">
        <v>26</v>
      </c>
      <c r="D680" t="s">
        <v>16</v>
      </c>
      <c r="E680">
        <v>46</v>
      </c>
      <c r="F680" t="s">
        <v>22</v>
      </c>
      <c r="G680" t="s">
        <v>18</v>
      </c>
      <c r="H680">
        <v>90</v>
      </c>
      <c r="I680">
        <v>3073</v>
      </c>
      <c r="J680">
        <v>0</v>
      </c>
      <c r="K680">
        <v>38</v>
      </c>
      <c r="L680">
        <v>4</v>
      </c>
      <c r="M680">
        <v>15405</v>
      </c>
    </row>
    <row r="681" spans="1:13">
      <c r="A681" t="s">
        <v>749</v>
      </c>
      <c r="B681" t="s">
        <v>88</v>
      </c>
      <c r="C681" t="s">
        <v>15</v>
      </c>
      <c r="D681" t="s">
        <v>27</v>
      </c>
      <c r="E681">
        <v>78</v>
      </c>
      <c r="F681" t="s">
        <v>17</v>
      </c>
      <c r="G681" t="s">
        <v>23</v>
      </c>
      <c r="H681">
        <v>72</v>
      </c>
      <c r="I681">
        <v>7940</v>
      </c>
      <c r="J681">
        <v>13.71</v>
      </c>
      <c r="K681">
        <v>76</v>
      </c>
      <c r="L681">
        <v>4</v>
      </c>
      <c r="M681">
        <v>26428</v>
      </c>
    </row>
    <row r="682" spans="1:13">
      <c r="A682" t="s">
        <v>750</v>
      </c>
      <c r="B682" t="s">
        <v>109</v>
      </c>
      <c r="C682" t="s">
        <v>30</v>
      </c>
      <c r="D682" t="s">
        <v>16</v>
      </c>
      <c r="E682">
        <v>66</v>
      </c>
      <c r="F682" t="s">
        <v>17</v>
      </c>
      <c r="G682" t="s">
        <v>18</v>
      </c>
      <c r="H682">
        <v>74</v>
      </c>
      <c r="I682">
        <v>2418</v>
      </c>
      <c r="J682">
        <v>15.84</v>
      </c>
      <c r="K682">
        <v>118</v>
      </c>
      <c r="L682">
        <v>4</v>
      </c>
      <c r="M682">
        <v>9837</v>
      </c>
    </row>
    <row r="683" spans="1:13">
      <c r="A683" t="s">
        <v>751</v>
      </c>
      <c r="B683" t="s">
        <v>185</v>
      </c>
      <c r="C683" t="s">
        <v>52</v>
      </c>
      <c r="D683" t="s">
        <v>27</v>
      </c>
      <c r="E683">
        <v>16</v>
      </c>
      <c r="F683" t="s">
        <v>22</v>
      </c>
      <c r="G683" t="s">
        <v>31</v>
      </c>
      <c r="H683">
        <v>76</v>
      </c>
      <c r="I683">
        <v>5656</v>
      </c>
      <c r="J683">
        <v>19.260000000000002</v>
      </c>
      <c r="K683">
        <v>78</v>
      </c>
      <c r="L683">
        <v>4</v>
      </c>
      <c r="M683">
        <v>23758</v>
      </c>
    </row>
    <row r="684" spans="1:13">
      <c r="A684" t="s">
        <v>752</v>
      </c>
      <c r="B684" t="s">
        <v>78</v>
      </c>
      <c r="C684" t="s">
        <v>15</v>
      </c>
      <c r="D684" t="s">
        <v>16</v>
      </c>
      <c r="E684">
        <v>61</v>
      </c>
      <c r="F684" t="s">
        <v>17</v>
      </c>
      <c r="G684" t="s">
        <v>23</v>
      </c>
      <c r="H684">
        <v>77</v>
      </c>
      <c r="I684">
        <v>6684</v>
      </c>
      <c r="J684">
        <v>21.56</v>
      </c>
      <c r="K684">
        <v>87</v>
      </c>
      <c r="L684">
        <v>4</v>
      </c>
      <c r="M684">
        <v>28228</v>
      </c>
    </row>
    <row r="685" spans="1:13">
      <c r="A685" t="s">
        <v>753</v>
      </c>
      <c r="B685" t="s">
        <v>54</v>
      </c>
      <c r="C685" t="s">
        <v>15</v>
      </c>
      <c r="D685" t="s">
        <v>16</v>
      </c>
      <c r="E685">
        <v>41</v>
      </c>
      <c r="F685" t="s">
        <v>34</v>
      </c>
      <c r="G685" t="s">
        <v>18</v>
      </c>
      <c r="H685">
        <v>82</v>
      </c>
      <c r="I685">
        <v>7394</v>
      </c>
      <c r="J685">
        <v>15.31</v>
      </c>
      <c r="K685">
        <v>57</v>
      </c>
      <c r="L685">
        <v>4</v>
      </c>
      <c r="M685">
        <v>32279</v>
      </c>
    </row>
    <row r="686" spans="1:13">
      <c r="A686" t="s">
        <v>754</v>
      </c>
      <c r="B686" t="s">
        <v>80</v>
      </c>
      <c r="C686" t="s">
        <v>15</v>
      </c>
      <c r="D686" t="s">
        <v>27</v>
      </c>
      <c r="E686">
        <v>59</v>
      </c>
      <c r="F686" t="s">
        <v>34</v>
      </c>
      <c r="G686" t="s">
        <v>23</v>
      </c>
      <c r="H686">
        <v>74</v>
      </c>
      <c r="I686">
        <v>6558</v>
      </c>
      <c r="J686">
        <v>12.24</v>
      </c>
      <c r="K686">
        <v>128</v>
      </c>
      <c r="L686">
        <v>3</v>
      </c>
      <c r="M686">
        <v>26652</v>
      </c>
    </row>
    <row r="687" spans="1:13">
      <c r="A687" t="s">
        <v>755</v>
      </c>
      <c r="B687" t="s">
        <v>84</v>
      </c>
      <c r="C687" t="s">
        <v>21</v>
      </c>
      <c r="D687" t="s">
        <v>27</v>
      </c>
      <c r="E687">
        <v>31</v>
      </c>
      <c r="F687" t="s">
        <v>22</v>
      </c>
      <c r="G687" t="s">
        <v>70</v>
      </c>
      <c r="H687">
        <v>78</v>
      </c>
      <c r="I687">
        <v>6079</v>
      </c>
      <c r="J687">
        <v>10.37</v>
      </c>
      <c r="K687">
        <v>103</v>
      </c>
      <c r="L687">
        <v>4</v>
      </c>
      <c r="M687">
        <v>24110</v>
      </c>
    </row>
    <row r="688" spans="1:13">
      <c r="A688" t="s">
        <v>756</v>
      </c>
      <c r="B688" t="s">
        <v>74</v>
      </c>
      <c r="C688" t="s">
        <v>45</v>
      </c>
      <c r="D688" t="s">
        <v>27</v>
      </c>
      <c r="E688">
        <v>27</v>
      </c>
      <c r="F688" t="s">
        <v>34</v>
      </c>
      <c r="G688" t="s">
        <v>18</v>
      </c>
      <c r="H688">
        <v>80</v>
      </c>
      <c r="I688">
        <v>10174</v>
      </c>
      <c r="J688">
        <v>10.47</v>
      </c>
      <c r="K688">
        <v>95</v>
      </c>
      <c r="L688">
        <v>4</v>
      </c>
      <c r="M688">
        <v>34175</v>
      </c>
    </row>
    <row r="689" spans="1:13">
      <c r="A689" t="s">
        <v>757</v>
      </c>
      <c r="B689" t="s">
        <v>66</v>
      </c>
      <c r="C689" t="s">
        <v>39</v>
      </c>
      <c r="D689" t="s">
        <v>16</v>
      </c>
      <c r="E689">
        <v>63</v>
      </c>
      <c r="F689" t="s">
        <v>34</v>
      </c>
      <c r="G689" t="s">
        <v>40</v>
      </c>
      <c r="H689">
        <v>73</v>
      </c>
      <c r="I689">
        <v>3619</v>
      </c>
      <c r="J689">
        <v>14.26</v>
      </c>
      <c r="K689">
        <v>74</v>
      </c>
      <c r="L689">
        <v>3</v>
      </c>
      <c r="M689">
        <v>21562</v>
      </c>
    </row>
    <row r="690" spans="1:13">
      <c r="A690" t="s">
        <v>758</v>
      </c>
      <c r="B690" t="s">
        <v>68</v>
      </c>
      <c r="C690" t="s">
        <v>45</v>
      </c>
      <c r="D690" t="s">
        <v>27</v>
      </c>
      <c r="E690">
        <v>74</v>
      </c>
      <c r="F690" t="s">
        <v>22</v>
      </c>
      <c r="G690" t="s">
        <v>49</v>
      </c>
      <c r="H690">
        <v>71</v>
      </c>
      <c r="I690">
        <v>7133</v>
      </c>
      <c r="J690">
        <v>19.66</v>
      </c>
      <c r="K690">
        <v>81</v>
      </c>
      <c r="L690">
        <v>3</v>
      </c>
      <c r="M690">
        <v>28096</v>
      </c>
    </row>
    <row r="691" spans="1:13">
      <c r="A691" t="s">
        <v>759</v>
      </c>
      <c r="B691" t="s">
        <v>62</v>
      </c>
      <c r="C691" t="s">
        <v>52</v>
      </c>
      <c r="D691" t="s">
        <v>16</v>
      </c>
      <c r="E691">
        <v>19</v>
      </c>
      <c r="F691" t="s">
        <v>22</v>
      </c>
      <c r="G691" t="s">
        <v>70</v>
      </c>
      <c r="H691">
        <v>83</v>
      </c>
      <c r="I691">
        <v>7529</v>
      </c>
      <c r="J691">
        <v>15.08</v>
      </c>
      <c r="K691">
        <v>55</v>
      </c>
      <c r="L691">
        <v>4</v>
      </c>
      <c r="M691">
        <v>35062</v>
      </c>
    </row>
    <row r="692" spans="1:13">
      <c r="A692" t="s">
        <v>760</v>
      </c>
      <c r="B692" t="s">
        <v>109</v>
      </c>
      <c r="C692" t="s">
        <v>30</v>
      </c>
      <c r="D692" t="s">
        <v>27</v>
      </c>
      <c r="E692">
        <v>47</v>
      </c>
      <c r="F692" t="s">
        <v>17</v>
      </c>
      <c r="G692" t="s">
        <v>70</v>
      </c>
      <c r="H692">
        <v>80</v>
      </c>
      <c r="I692">
        <v>2804</v>
      </c>
      <c r="J692">
        <v>12.22</v>
      </c>
      <c r="K692">
        <v>100</v>
      </c>
      <c r="L692">
        <v>4</v>
      </c>
      <c r="M692">
        <v>10939</v>
      </c>
    </row>
    <row r="693" spans="1:13">
      <c r="A693" t="s">
        <v>761</v>
      </c>
      <c r="B693" t="s">
        <v>95</v>
      </c>
      <c r="C693" t="s">
        <v>52</v>
      </c>
      <c r="D693" t="s">
        <v>27</v>
      </c>
      <c r="E693">
        <v>42</v>
      </c>
      <c r="F693" t="s">
        <v>22</v>
      </c>
      <c r="G693" t="s">
        <v>23</v>
      </c>
      <c r="H693">
        <v>76</v>
      </c>
      <c r="I693">
        <v>7852</v>
      </c>
      <c r="J693">
        <v>20.23</v>
      </c>
      <c r="K693">
        <v>91</v>
      </c>
      <c r="L693">
        <v>4</v>
      </c>
      <c r="M693">
        <v>25151</v>
      </c>
    </row>
    <row r="694" spans="1:13">
      <c r="A694" t="s">
        <v>762</v>
      </c>
      <c r="B694" t="s">
        <v>25</v>
      </c>
      <c r="C694" t="s">
        <v>26</v>
      </c>
      <c r="D694" t="s">
        <v>27</v>
      </c>
      <c r="E694">
        <v>53</v>
      </c>
      <c r="F694" t="s">
        <v>34</v>
      </c>
      <c r="G694" t="s">
        <v>40</v>
      </c>
      <c r="H694">
        <v>98</v>
      </c>
      <c r="I694">
        <v>2540</v>
      </c>
      <c r="J694">
        <v>4.8499999999999996</v>
      </c>
      <c r="K694">
        <v>52</v>
      </c>
      <c r="L694">
        <v>5</v>
      </c>
      <c r="M694">
        <v>12085</v>
      </c>
    </row>
    <row r="695" spans="1:13">
      <c r="A695" t="s">
        <v>763</v>
      </c>
      <c r="B695" t="s">
        <v>54</v>
      </c>
      <c r="C695" t="s">
        <v>39</v>
      </c>
      <c r="D695" t="s">
        <v>27</v>
      </c>
      <c r="E695">
        <v>8</v>
      </c>
      <c r="F695" t="s">
        <v>17</v>
      </c>
      <c r="G695" t="s">
        <v>40</v>
      </c>
      <c r="H695">
        <v>73</v>
      </c>
      <c r="I695">
        <v>3119</v>
      </c>
      <c r="J695">
        <v>10.07</v>
      </c>
      <c r="K695">
        <v>54</v>
      </c>
      <c r="L695">
        <v>4</v>
      </c>
      <c r="M695">
        <v>13244</v>
      </c>
    </row>
    <row r="696" spans="1:13">
      <c r="A696" t="s">
        <v>764</v>
      </c>
      <c r="B696" t="s">
        <v>51</v>
      </c>
      <c r="C696" t="s">
        <v>52</v>
      </c>
      <c r="D696" t="s">
        <v>16</v>
      </c>
      <c r="E696">
        <v>49</v>
      </c>
      <c r="F696" t="s">
        <v>34</v>
      </c>
      <c r="G696" t="s">
        <v>23</v>
      </c>
      <c r="H696">
        <v>73</v>
      </c>
      <c r="I696">
        <v>10548</v>
      </c>
      <c r="J696">
        <v>14.08</v>
      </c>
      <c r="K696">
        <v>70</v>
      </c>
      <c r="L696">
        <v>4</v>
      </c>
      <c r="M696">
        <v>50302</v>
      </c>
    </row>
    <row r="697" spans="1:13">
      <c r="A697" t="s">
        <v>765</v>
      </c>
      <c r="B697" t="s">
        <v>44</v>
      </c>
      <c r="C697" t="s">
        <v>45</v>
      </c>
      <c r="D697" t="s">
        <v>27</v>
      </c>
      <c r="E697">
        <v>47</v>
      </c>
      <c r="F697" t="s">
        <v>22</v>
      </c>
      <c r="G697" t="s">
        <v>18</v>
      </c>
      <c r="H697">
        <v>74</v>
      </c>
      <c r="I697">
        <v>7048</v>
      </c>
      <c r="J697">
        <v>18.43</v>
      </c>
      <c r="K697">
        <v>92</v>
      </c>
      <c r="L697">
        <v>4</v>
      </c>
      <c r="M697">
        <v>19418</v>
      </c>
    </row>
    <row r="698" spans="1:13">
      <c r="A698" t="s">
        <v>766</v>
      </c>
      <c r="B698" t="s">
        <v>20</v>
      </c>
      <c r="C698" t="s">
        <v>21</v>
      </c>
      <c r="D698" t="s">
        <v>27</v>
      </c>
      <c r="E698">
        <v>17</v>
      </c>
      <c r="F698" t="s">
        <v>17</v>
      </c>
      <c r="G698" t="s">
        <v>40</v>
      </c>
      <c r="H698">
        <v>74</v>
      </c>
      <c r="I698">
        <v>7174</v>
      </c>
      <c r="J698">
        <v>16.98</v>
      </c>
      <c r="K698">
        <v>104</v>
      </c>
      <c r="L698">
        <v>4</v>
      </c>
      <c r="M698">
        <v>29358</v>
      </c>
    </row>
    <row r="699" spans="1:13">
      <c r="A699" t="s">
        <v>767</v>
      </c>
      <c r="B699" t="s">
        <v>97</v>
      </c>
      <c r="C699" t="s">
        <v>30</v>
      </c>
      <c r="D699" t="s">
        <v>16</v>
      </c>
      <c r="E699">
        <v>33</v>
      </c>
      <c r="F699" t="s">
        <v>34</v>
      </c>
      <c r="G699" t="s">
        <v>40</v>
      </c>
      <c r="H699">
        <v>66</v>
      </c>
      <c r="I699">
        <v>4899</v>
      </c>
      <c r="J699">
        <v>26.11</v>
      </c>
      <c r="K699">
        <v>117</v>
      </c>
      <c r="L699">
        <v>3</v>
      </c>
      <c r="M699">
        <v>26878</v>
      </c>
    </row>
    <row r="700" spans="1:13">
      <c r="A700" t="s">
        <v>768</v>
      </c>
      <c r="B700" t="s">
        <v>143</v>
      </c>
      <c r="C700" t="s">
        <v>21</v>
      </c>
      <c r="D700" t="s">
        <v>27</v>
      </c>
      <c r="E700">
        <v>40</v>
      </c>
      <c r="F700" t="s">
        <v>34</v>
      </c>
      <c r="G700" t="s">
        <v>31</v>
      </c>
      <c r="H700">
        <v>69</v>
      </c>
      <c r="I700">
        <v>5804</v>
      </c>
      <c r="J700">
        <v>16.18</v>
      </c>
      <c r="K700">
        <v>81</v>
      </c>
      <c r="L700">
        <v>4</v>
      </c>
      <c r="M700">
        <v>30535</v>
      </c>
    </row>
    <row r="701" spans="1:13">
      <c r="A701" t="s">
        <v>769</v>
      </c>
      <c r="B701" t="s">
        <v>42</v>
      </c>
      <c r="C701" t="s">
        <v>39</v>
      </c>
      <c r="D701" t="s">
        <v>27</v>
      </c>
      <c r="E701">
        <v>4</v>
      </c>
      <c r="F701" t="s">
        <v>22</v>
      </c>
      <c r="G701" t="s">
        <v>40</v>
      </c>
      <c r="H701">
        <v>90</v>
      </c>
      <c r="I701">
        <v>3468</v>
      </c>
      <c r="J701">
        <v>4.13</v>
      </c>
      <c r="K701">
        <v>34</v>
      </c>
      <c r="L701">
        <v>5</v>
      </c>
      <c r="M701">
        <v>10212</v>
      </c>
    </row>
    <row r="702" spans="1:13">
      <c r="A702" t="s">
        <v>770</v>
      </c>
      <c r="B702" t="s">
        <v>84</v>
      </c>
      <c r="C702" t="s">
        <v>21</v>
      </c>
      <c r="D702" t="s">
        <v>16</v>
      </c>
      <c r="E702">
        <v>21</v>
      </c>
      <c r="F702" t="s">
        <v>34</v>
      </c>
      <c r="G702" t="s">
        <v>49</v>
      </c>
      <c r="H702">
        <v>75</v>
      </c>
      <c r="I702">
        <v>7838</v>
      </c>
      <c r="J702">
        <v>18.190000000000001</v>
      </c>
      <c r="K702">
        <v>84</v>
      </c>
      <c r="L702">
        <v>3</v>
      </c>
      <c r="M702">
        <v>41942</v>
      </c>
    </row>
    <row r="703" spans="1:13">
      <c r="A703" t="s">
        <v>771</v>
      </c>
      <c r="B703" t="s">
        <v>135</v>
      </c>
      <c r="C703" t="s">
        <v>48</v>
      </c>
      <c r="D703" t="s">
        <v>16</v>
      </c>
      <c r="E703">
        <v>45</v>
      </c>
      <c r="F703" t="s">
        <v>17</v>
      </c>
      <c r="G703" t="s">
        <v>23</v>
      </c>
      <c r="H703">
        <v>82</v>
      </c>
      <c r="I703">
        <v>6060</v>
      </c>
      <c r="J703">
        <v>14.54</v>
      </c>
      <c r="K703">
        <v>89</v>
      </c>
      <c r="L703">
        <v>4</v>
      </c>
      <c r="M703">
        <v>25606</v>
      </c>
    </row>
    <row r="704" spans="1:13">
      <c r="A704" t="s">
        <v>772</v>
      </c>
      <c r="B704" t="s">
        <v>95</v>
      </c>
      <c r="C704" t="s">
        <v>52</v>
      </c>
      <c r="D704" t="s">
        <v>27</v>
      </c>
      <c r="E704">
        <v>23</v>
      </c>
      <c r="F704" t="s">
        <v>22</v>
      </c>
      <c r="G704" t="s">
        <v>70</v>
      </c>
      <c r="H704">
        <v>77</v>
      </c>
      <c r="I704">
        <v>8446</v>
      </c>
      <c r="J704">
        <v>15.17</v>
      </c>
      <c r="K704">
        <v>16</v>
      </c>
      <c r="L704">
        <v>3</v>
      </c>
      <c r="M704">
        <v>35656</v>
      </c>
    </row>
    <row r="705" spans="1:13">
      <c r="A705" t="s">
        <v>773</v>
      </c>
      <c r="B705" t="s">
        <v>64</v>
      </c>
      <c r="C705" t="s">
        <v>30</v>
      </c>
      <c r="D705" t="s">
        <v>16</v>
      </c>
      <c r="E705">
        <v>14</v>
      </c>
      <c r="F705" t="s">
        <v>17</v>
      </c>
      <c r="G705" t="s">
        <v>18</v>
      </c>
      <c r="H705">
        <v>65</v>
      </c>
      <c r="I705">
        <v>3453</v>
      </c>
      <c r="J705">
        <v>23.82</v>
      </c>
      <c r="K705">
        <v>118</v>
      </c>
      <c r="L705">
        <v>3</v>
      </c>
      <c r="M705">
        <v>11519</v>
      </c>
    </row>
    <row r="706" spans="1:13">
      <c r="A706" t="s">
        <v>774</v>
      </c>
      <c r="B706" t="s">
        <v>66</v>
      </c>
      <c r="C706" t="s">
        <v>39</v>
      </c>
      <c r="D706" t="s">
        <v>16</v>
      </c>
      <c r="E706">
        <v>18</v>
      </c>
      <c r="F706" t="s">
        <v>34</v>
      </c>
      <c r="G706" t="s">
        <v>23</v>
      </c>
      <c r="H706">
        <v>88</v>
      </c>
      <c r="I706">
        <v>2909</v>
      </c>
      <c r="J706">
        <v>2.94</v>
      </c>
      <c r="K706">
        <v>65</v>
      </c>
      <c r="L706">
        <v>4</v>
      </c>
      <c r="M706">
        <v>12889</v>
      </c>
    </row>
    <row r="707" spans="1:13">
      <c r="A707" t="s">
        <v>775</v>
      </c>
      <c r="B707" t="s">
        <v>97</v>
      </c>
      <c r="C707" t="s">
        <v>30</v>
      </c>
      <c r="D707" t="s">
        <v>16</v>
      </c>
      <c r="E707">
        <v>29</v>
      </c>
      <c r="F707" t="s">
        <v>17</v>
      </c>
      <c r="G707" t="s">
        <v>23</v>
      </c>
      <c r="H707">
        <v>72</v>
      </c>
      <c r="I707">
        <v>3430</v>
      </c>
      <c r="J707">
        <v>19.510000000000002</v>
      </c>
      <c r="K707">
        <v>69</v>
      </c>
      <c r="L707">
        <v>3</v>
      </c>
      <c r="M707">
        <v>14070</v>
      </c>
    </row>
    <row r="708" spans="1:13">
      <c r="A708" t="s">
        <v>776</v>
      </c>
      <c r="B708" t="s">
        <v>38</v>
      </c>
      <c r="C708" t="s">
        <v>39</v>
      </c>
      <c r="D708" t="s">
        <v>27</v>
      </c>
      <c r="E708">
        <v>18</v>
      </c>
      <c r="F708" t="s">
        <v>22</v>
      </c>
      <c r="G708" t="s">
        <v>70</v>
      </c>
      <c r="H708">
        <v>86</v>
      </c>
      <c r="I708">
        <v>3856</v>
      </c>
      <c r="J708">
        <v>6.32</v>
      </c>
      <c r="K708">
        <v>73</v>
      </c>
      <c r="L708">
        <v>4</v>
      </c>
      <c r="M708">
        <v>12406</v>
      </c>
    </row>
    <row r="709" spans="1:13">
      <c r="A709" t="s">
        <v>777</v>
      </c>
      <c r="B709" t="s">
        <v>80</v>
      </c>
      <c r="C709" t="s">
        <v>15</v>
      </c>
      <c r="D709" t="s">
        <v>27</v>
      </c>
      <c r="E709">
        <v>37</v>
      </c>
      <c r="F709" t="s">
        <v>17</v>
      </c>
      <c r="G709" t="s">
        <v>18</v>
      </c>
      <c r="H709">
        <v>69</v>
      </c>
      <c r="I709">
        <v>6521</v>
      </c>
      <c r="J709">
        <v>19.47</v>
      </c>
      <c r="K709">
        <v>93</v>
      </c>
      <c r="L709">
        <v>4</v>
      </c>
      <c r="M709">
        <v>36978</v>
      </c>
    </row>
    <row r="710" spans="1:13">
      <c r="A710" t="s">
        <v>778</v>
      </c>
      <c r="B710" t="s">
        <v>103</v>
      </c>
      <c r="C710" t="s">
        <v>26</v>
      </c>
      <c r="D710" t="s">
        <v>16</v>
      </c>
      <c r="E710">
        <v>41</v>
      </c>
      <c r="F710" t="s">
        <v>17</v>
      </c>
      <c r="G710" t="s">
        <v>31</v>
      </c>
      <c r="H710">
        <v>87</v>
      </c>
      <c r="I710">
        <v>2077</v>
      </c>
      <c r="J710">
        <v>4.9400000000000004</v>
      </c>
      <c r="K710">
        <v>41</v>
      </c>
      <c r="L710">
        <v>4</v>
      </c>
      <c r="M710">
        <v>11904</v>
      </c>
    </row>
    <row r="711" spans="1:13">
      <c r="A711" t="s">
        <v>779</v>
      </c>
      <c r="B711" t="s">
        <v>66</v>
      </c>
      <c r="C711" t="s">
        <v>39</v>
      </c>
      <c r="D711" t="s">
        <v>16</v>
      </c>
      <c r="E711">
        <v>7</v>
      </c>
      <c r="F711" t="s">
        <v>17</v>
      </c>
      <c r="G711" t="s">
        <v>70</v>
      </c>
      <c r="H711">
        <v>78</v>
      </c>
      <c r="I711">
        <v>3603</v>
      </c>
      <c r="J711">
        <v>13.13</v>
      </c>
      <c r="K711">
        <v>66</v>
      </c>
      <c r="L711">
        <v>4</v>
      </c>
      <c r="M711">
        <v>10440</v>
      </c>
    </row>
    <row r="712" spans="1:13">
      <c r="A712" t="s">
        <v>780</v>
      </c>
      <c r="B712" t="s">
        <v>150</v>
      </c>
      <c r="C712" t="s">
        <v>48</v>
      </c>
      <c r="D712" t="s">
        <v>27</v>
      </c>
      <c r="E712">
        <v>56</v>
      </c>
      <c r="F712" t="s">
        <v>22</v>
      </c>
      <c r="G712" t="s">
        <v>23</v>
      </c>
      <c r="H712">
        <v>76</v>
      </c>
      <c r="I712">
        <v>3706</v>
      </c>
      <c r="J712">
        <v>12.37</v>
      </c>
      <c r="K712">
        <v>87</v>
      </c>
      <c r="L712">
        <v>3</v>
      </c>
      <c r="M712">
        <v>14141</v>
      </c>
    </row>
    <row r="713" spans="1:13">
      <c r="A713" t="s">
        <v>781</v>
      </c>
      <c r="B713" t="s">
        <v>137</v>
      </c>
      <c r="C713" t="s">
        <v>26</v>
      </c>
      <c r="D713" t="s">
        <v>27</v>
      </c>
      <c r="E713">
        <v>49</v>
      </c>
      <c r="F713" t="s">
        <v>22</v>
      </c>
      <c r="G713" t="s">
        <v>40</v>
      </c>
      <c r="H713">
        <v>86</v>
      </c>
      <c r="I713">
        <v>2400</v>
      </c>
      <c r="J713">
        <v>1.47</v>
      </c>
      <c r="K713">
        <v>77</v>
      </c>
      <c r="L713">
        <v>5</v>
      </c>
      <c r="M713">
        <v>12735</v>
      </c>
    </row>
    <row r="714" spans="1:13">
      <c r="A714" t="s">
        <v>782</v>
      </c>
      <c r="B714" t="s">
        <v>95</v>
      </c>
      <c r="C714" t="s">
        <v>52</v>
      </c>
      <c r="D714" t="s">
        <v>27</v>
      </c>
      <c r="E714">
        <v>1</v>
      </c>
      <c r="F714" t="s">
        <v>34</v>
      </c>
      <c r="G714" t="s">
        <v>18</v>
      </c>
      <c r="H714">
        <v>65</v>
      </c>
      <c r="I714">
        <v>7101</v>
      </c>
      <c r="J714">
        <v>15.92</v>
      </c>
      <c r="K714">
        <v>69</v>
      </c>
      <c r="L714">
        <v>4</v>
      </c>
      <c r="M714">
        <v>33288</v>
      </c>
    </row>
    <row r="715" spans="1:13">
      <c r="A715" t="s">
        <v>783</v>
      </c>
      <c r="B715" t="s">
        <v>38</v>
      </c>
      <c r="C715" t="s">
        <v>39</v>
      </c>
      <c r="D715" t="s">
        <v>27</v>
      </c>
      <c r="E715">
        <v>18</v>
      </c>
      <c r="F715" t="s">
        <v>34</v>
      </c>
      <c r="G715" t="s">
        <v>18</v>
      </c>
      <c r="H715">
        <v>79</v>
      </c>
      <c r="I715">
        <v>2618</v>
      </c>
      <c r="J715">
        <v>8.23</v>
      </c>
      <c r="K715">
        <v>72</v>
      </c>
      <c r="L715">
        <v>4</v>
      </c>
      <c r="M715">
        <v>14205</v>
      </c>
    </row>
    <row r="716" spans="1:13">
      <c r="A716" t="s">
        <v>784</v>
      </c>
      <c r="B716" t="s">
        <v>80</v>
      </c>
      <c r="C716" t="s">
        <v>15</v>
      </c>
      <c r="D716" t="s">
        <v>27</v>
      </c>
      <c r="E716">
        <v>35</v>
      </c>
      <c r="F716" t="s">
        <v>34</v>
      </c>
      <c r="G716" t="s">
        <v>18</v>
      </c>
      <c r="H716">
        <v>81</v>
      </c>
      <c r="I716">
        <v>6038</v>
      </c>
      <c r="J716">
        <v>10.6</v>
      </c>
      <c r="K716">
        <v>68</v>
      </c>
      <c r="L716">
        <v>3</v>
      </c>
      <c r="M716">
        <v>23704</v>
      </c>
    </row>
    <row r="717" spans="1:13">
      <c r="A717" t="s">
        <v>785</v>
      </c>
      <c r="B717" t="s">
        <v>51</v>
      </c>
      <c r="C717" t="s">
        <v>52</v>
      </c>
      <c r="D717" t="s">
        <v>27</v>
      </c>
      <c r="E717">
        <v>34</v>
      </c>
      <c r="F717" t="s">
        <v>17</v>
      </c>
      <c r="G717" t="s">
        <v>31</v>
      </c>
      <c r="H717">
        <v>88</v>
      </c>
      <c r="I717">
        <v>8071</v>
      </c>
      <c r="J717">
        <v>19.03</v>
      </c>
      <c r="K717">
        <v>83</v>
      </c>
      <c r="L717">
        <v>5</v>
      </c>
      <c r="M717">
        <v>25002</v>
      </c>
    </row>
    <row r="718" spans="1:13">
      <c r="A718" t="s">
        <v>786</v>
      </c>
      <c r="B718" t="s">
        <v>109</v>
      </c>
      <c r="C718" t="s">
        <v>30</v>
      </c>
      <c r="D718" t="s">
        <v>27</v>
      </c>
      <c r="E718">
        <v>32</v>
      </c>
      <c r="F718" t="s">
        <v>22</v>
      </c>
      <c r="G718" t="s">
        <v>70</v>
      </c>
      <c r="H718">
        <v>71</v>
      </c>
      <c r="I718">
        <v>2561</v>
      </c>
      <c r="J718">
        <v>19.73</v>
      </c>
      <c r="K718">
        <v>89</v>
      </c>
      <c r="L718">
        <v>4</v>
      </c>
      <c r="M718">
        <v>7618</v>
      </c>
    </row>
    <row r="719" spans="1:13">
      <c r="A719" t="s">
        <v>787</v>
      </c>
      <c r="B719" t="s">
        <v>36</v>
      </c>
      <c r="C719" t="s">
        <v>21</v>
      </c>
      <c r="D719" t="s">
        <v>16</v>
      </c>
      <c r="E719">
        <v>53</v>
      </c>
      <c r="F719" t="s">
        <v>34</v>
      </c>
      <c r="G719" t="s">
        <v>40</v>
      </c>
      <c r="H719">
        <v>78</v>
      </c>
      <c r="I719">
        <v>8067</v>
      </c>
      <c r="J719">
        <v>17.440000000000001</v>
      </c>
      <c r="K719">
        <v>74</v>
      </c>
      <c r="L719">
        <v>4</v>
      </c>
      <c r="M719">
        <v>24567</v>
      </c>
    </row>
    <row r="720" spans="1:13">
      <c r="A720" t="s">
        <v>788</v>
      </c>
      <c r="B720" t="s">
        <v>25</v>
      </c>
      <c r="C720" t="s">
        <v>26</v>
      </c>
      <c r="D720" t="s">
        <v>16</v>
      </c>
      <c r="E720">
        <v>57</v>
      </c>
      <c r="F720" t="s">
        <v>22</v>
      </c>
      <c r="G720" t="s">
        <v>31</v>
      </c>
      <c r="H720">
        <v>86</v>
      </c>
      <c r="I720">
        <v>2114</v>
      </c>
      <c r="J720">
        <v>11.44</v>
      </c>
      <c r="K720">
        <v>35</v>
      </c>
      <c r="L720">
        <v>5</v>
      </c>
      <c r="M720">
        <v>5954</v>
      </c>
    </row>
    <row r="721" spans="1:13">
      <c r="A721" t="s">
        <v>789</v>
      </c>
      <c r="B721" t="s">
        <v>60</v>
      </c>
      <c r="C721" t="s">
        <v>52</v>
      </c>
      <c r="D721" t="s">
        <v>27</v>
      </c>
      <c r="E721">
        <v>24</v>
      </c>
      <c r="F721" t="s">
        <v>17</v>
      </c>
      <c r="G721" t="s">
        <v>40</v>
      </c>
      <c r="H721">
        <v>82</v>
      </c>
      <c r="I721">
        <v>7991</v>
      </c>
      <c r="J721">
        <v>11.37</v>
      </c>
      <c r="K721">
        <v>46</v>
      </c>
      <c r="L721">
        <v>4</v>
      </c>
      <c r="M721">
        <v>29786</v>
      </c>
    </row>
    <row r="722" spans="1:13">
      <c r="A722" t="s">
        <v>790</v>
      </c>
      <c r="B722" t="s">
        <v>64</v>
      </c>
      <c r="C722" t="s">
        <v>30</v>
      </c>
      <c r="D722" t="s">
        <v>27</v>
      </c>
      <c r="E722">
        <v>58</v>
      </c>
      <c r="F722" t="s">
        <v>17</v>
      </c>
      <c r="G722" t="s">
        <v>23</v>
      </c>
      <c r="H722">
        <v>68</v>
      </c>
      <c r="I722">
        <v>3225</v>
      </c>
      <c r="J722">
        <v>13.93</v>
      </c>
      <c r="K722">
        <v>122</v>
      </c>
      <c r="L722">
        <v>3</v>
      </c>
      <c r="M722">
        <v>17075</v>
      </c>
    </row>
    <row r="723" spans="1:13">
      <c r="A723" t="s">
        <v>791</v>
      </c>
      <c r="B723" t="s">
        <v>66</v>
      </c>
      <c r="C723" t="s">
        <v>39</v>
      </c>
      <c r="D723" t="s">
        <v>16</v>
      </c>
      <c r="E723">
        <v>13</v>
      </c>
      <c r="F723" t="s">
        <v>17</v>
      </c>
      <c r="G723" t="s">
        <v>31</v>
      </c>
      <c r="H723">
        <v>78</v>
      </c>
      <c r="I723">
        <v>2512</v>
      </c>
      <c r="J723">
        <v>6.9</v>
      </c>
      <c r="K723">
        <v>72</v>
      </c>
      <c r="L723">
        <v>4</v>
      </c>
      <c r="M723">
        <v>14948</v>
      </c>
    </row>
    <row r="724" spans="1:13">
      <c r="A724" t="s">
        <v>792</v>
      </c>
      <c r="B724" t="s">
        <v>78</v>
      </c>
      <c r="C724" t="s">
        <v>15</v>
      </c>
      <c r="D724" t="s">
        <v>16</v>
      </c>
      <c r="E724">
        <v>34</v>
      </c>
      <c r="F724" t="s">
        <v>17</v>
      </c>
      <c r="G724" t="s">
        <v>40</v>
      </c>
      <c r="H724">
        <v>66</v>
      </c>
      <c r="I724">
        <v>8157</v>
      </c>
      <c r="J724">
        <v>16.63</v>
      </c>
      <c r="K724">
        <v>111</v>
      </c>
      <c r="L724">
        <v>3</v>
      </c>
      <c r="M724">
        <v>31204</v>
      </c>
    </row>
    <row r="725" spans="1:13">
      <c r="A725" t="s">
        <v>793</v>
      </c>
      <c r="B725" t="s">
        <v>74</v>
      </c>
      <c r="C725" t="s">
        <v>45</v>
      </c>
      <c r="D725" t="s">
        <v>27</v>
      </c>
      <c r="E725">
        <v>53</v>
      </c>
      <c r="F725" t="s">
        <v>22</v>
      </c>
      <c r="G725" t="s">
        <v>18</v>
      </c>
      <c r="H725">
        <v>72</v>
      </c>
      <c r="I725">
        <v>10602</v>
      </c>
      <c r="J725">
        <v>18.46</v>
      </c>
      <c r="K725">
        <v>115</v>
      </c>
      <c r="L725">
        <v>3</v>
      </c>
      <c r="M725">
        <v>53983</v>
      </c>
    </row>
    <row r="726" spans="1:13">
      <c r="A726" t="s">
        <v>794</v>
      </c>
      <c r="B726" t="s">
        <v>33</v>
      </c>
      <c r="C726" t="s">
        <v>26</v>
      </c>
      <c r="D726" t="s">
        <v>27</v>
      </c>
      <c r="E726">
        <v>56</v>
      </c>
      <c r="F726" t="s">
        <v>34</v>
      </c>
      <c r="G726" t="s">
        <v>18</v>
      </c>
      <c r="H726">
        <v>82</v>
      </c>
      <c r="I726">
        <v>2723</v>
      </c>
      <c r="J726">
        <v>3</v>
      </c>
      <c r="K726">
        <v>73</v>
      </c>
      <c r="L726">
        <v>4</v>
      </c>
      <c r="M726">
        <v>11227</v>
      </c>
    </row>
    <row r="727" spans="1:13">
      <c r="A727" t="s">
        <v>795</v>
      </c>
      <c r="B727" t="s">
        <v>185</v>
      </c>
      <c r="C727" t="s">
        <v>52</v>
      </c>
      <c r="D727" t="s">
        <v>16</v>
      </c>
      <c r="E727">
        <v>34</v>
      </c>
      <c r="F727" t="s">
        <v>22</v>
      </c>
      <c r="G727" t="s">
        <v>31</v>
      </c>
      <c r="H727">
        <v>92</v>
      </c>
      <c r="I727">
        <v>7918</v>
      </c>
      <c r="J727">
        <v>13.01</v>
      </c>
      <c r="K727">
        <v>59</v>
      </c>
      <c r="L727">
        <v>5</v>
      </c>
      <c r="M727">
        <v>38182</v>
      </c>
    </row>
    <row r="728" spans="1:13">
      <c r="A728" t="s">
        <v>796</v>
      </c>
      <c r="B728" t="s">
        <v>150</v>
      </c>
      <c r="C728" t="s">
        <v>48</v>
      </c>
      <c r="D728" t="s">
        <v>27</v>
      </c>
      <c r="E728">
        <v>35</v>
      </c>
      <c r="F728" t="s">
        <v>17</v>
      </c>
      <c r="G728" t="s">
        <v>23</v>
      </c>
      <c r="H728">
        <v>81</v>
      </c>
      <c r="I728">
        <v>6003</v>
      </c>
      <c r="J728">
        <v>16.920000000000002</v>
      </c>
      <c r="K728">
        <v>85</v>
      </c>
      <c r="L728">
        <v>3</v>
      </c>
      <c r="M728">
        <v>22361</v>
      </c>
    </row>
    <row r="729" spans="1:13">
      <c r="A729" t="s">
        <v>797</v>
      </c>
      <c r="B729" t="s">
        <v>137</v>
      </c>
      <c r="C729" t="s">
        <v>26</v>
      </c>
      <c r="D729" t="s">
        <v>16</v>
      </c>
      <c r="E729">
        <v>89</v>
      </c>
      <c r="F729" t="s">
        <v>34</v>
      </c>
      <c r="G729" t="s">
        <v>18</v>
      </c>
      <c r="H729">
        <v>88</v>
      </c>
      <c r="I729">
        <v>1870</v>
      </c>
      <c r="J729">
        <v>8.15</v>
      </c>
      <c r="K729">
        <v>68</v>
      </c>
      <c r="L729">
        <v>4</v>
      </c>
      <c r="M729">
        <v>5950</v>
      </c>
    </row>
    <row r="730" spans="1:13">
      <c r="A730" t="s">
        <v>798</v>
      </c>
      <c r="B730" t="s">
        <v>64</v>
      </c>
      <c r="C730" t="s">
        <v>30</v>
      </c>
      <c r="D730" t="s">
        <v>27</v>
      </c>
      <c r="E730">
        <v>49</v>
      </c>
      <c r="F730" t="s">
        <v>17</v>
      </c>
      <c r="G730" t="s">
        <v>40</v>
      </c>
      <c r="H730">
        <v>69</v>
      </c>
      <c r="I730">
        <v>4052</v>
      </c>
      <c r="J730">
        <v>21.88</v>
      </c>
      <c r="K730">
        <v>135</v>
      </c>
      <c r="L730">
        <v>3</v>
      </c>
      <c r="M730">
        <v>22436</v>
      </c>
    </row>
    <row r="731" spans="1:13">
      <c r="A731" t="s">
        <v>799</v>
      </c>
      <c r="B731" t="s">
        <v>68</v>
      </c>
      <c r="C731" t="s">
        <v>45</v>
      </c>
      <c r="D731" t="s">
        <v>27</v>
      </c>
      <c r="E731">
        <v>54</v>
      </c>
      <c r="F731" t="s">
        <v>17</v>
      </c>
      <c r="G731" t="s">
        <v>18</v>
      </c>
      <c r="H731">
        <v>78</v>
      </c>
      <c r="I731">
        <v>6958</v>
      </c>
      <c r="J731">
        <v>16.39</v>
      </c>
      <c r="K731">
        <v>93</v>
      </c>
      <c r="L731">
        <v>4</v>
      </c>
      <c r="M731">
        <v>25181</v>
      </c>
    </row>
    <row r="732" spans="1:13">
      <c r="A732" t="s">
        <v>800</v>
      </c>
      <c r="B732" t="s">
        <v>58</v>
      </c>
      <c r="C732" t="s">
        <v>48</v>
      </c>
      <c r="D732" t="s">
        <v>27</v>
      </c>
      <c r="E732">
        <v>31</v>
      </c>
      <c r="F732" t="s">
        <v>17</v>
      </c>
      <c r="G732" t="s">
        <v>40</v>
      </c>
      <c r="H732">
        <v>77</v>
      </c>
      <c r="I732">
        <v>4872</v>
      </c>
      <c r="J732">
        <v>16.48</v>
      </c>
      <c r="K732">
        <v>70</v>
      </c>
      <c r="L732">
        <v>4</v>
      </c>
      <c r="M732">
        <v>20454</v>
      </c>
    </row>
    <row r="733" spans="1:13">
      <c r="A733" t="s">
        <v>801</v>
      </c>
      <c r="B733" t="s">
        <v>103</v>
      </c>
      <c r="C733" t="s">
        <v>26</v>
      </c>
      <c r="D733" t="s">
        <v>16</v>
      </c>
      <c r="E733">
        <v>33</v>
      </c>
      <c r="F733" t="s">
        <v>22</v>
      </c>
      <c r="G733" t="s">
        <v>40</v>
      </c>
      <c r="H733">
        <v>88</v>
      </c>
      <c r="I733">
        <v>1463</v>
      </c>
      <c r="J733">
        <v>1.19</v>
      </c>
      <c r="K733">
        <v>71</v>
      </c>
      <c r="L733">
        <v>4</v>
      </c>
      <c r="M733">
        <v>7798</v>
      </c>
    </row>
    <row r="734" spans="1:13">
      <c r="A734" t="s">
        <v>802</v>
      </c>
      <c r="B734" t="s">
        <v>78</v>
      </c>
      <c r="C734" t="s">
        <v>15</v>
      </c>
      <c r="D734" t="s">
        <v>27</v>
      </c>
      <c r="E734">
        <v>52</v>
      </c>
      <c r="F734" t="s">
        <v>34</v>
      </c>
      <c r="G734" t="s">
        <v>70</v>
      </c>
      <c r="H734">
        <v>82</v>
      </c>
      <c r="I734">
        <v>5322</v>
      </c>
      <c r="J734">
        <v>19.55</v>
      </c>
      <c r="K734">
        <v>40</v>
      </c>
      <c r="L734">
        <v>4</v>
      </c>
      <c r="M734">
        <v>26782</v>
      </c>
    </row>
    <row r="735" spans="1:13">
      <c r="A735" t="s">
        <v>803</v>
      </c>
      <c r="B735" t="s">
        <v>66</v>
      </c>
      <c r="C735" t="s">
        <v>39</v>
      </c>
      <c r="D735" t="s">
        <v>27</v>
      </c>
      <c r="E735">
        <v>14</v>
      </c>
      <c r="F735" t="s">
        <v>34</v>
      </c>
      <c r="G735" t="s">
        <v>70</v>
      </c>
      <c r="H735">
        <v>97</v>
      </c>
      <c r="I735">
        <v>3050</v>
      </c>
      <c r="J735">
        <v>6.66</v>
      </c>
      <c r="K735">
        <v>79</v>
      </c>
      <c r="L735">
        <v>5</v>
      </c>
      <c r="M735">
        <v>11461</v>
      </c>
    </row>
    <row r="736" spans="1:13">
      <c r="A736" t="s">
        <v>804</v>
      </c>
      <c r="B736" t="s">
        <v>56</v>
      </c>
      <c r="C736" t="s">
        <v>45</v>
      </c>
      <c r="D736" t="s">
        <v>27</v>
      </c>
      <c r="E736">
        <v>42</v>
      </c>
      <c r="F736" t="s">
        <v>34</v>
      </c>
      <c r="G736" t="s">
        <v>49</v>
      </c>
      <c r="H736">
        <v>77</v>
      </c>
      <c r="I736">
        <v>7816</v>
      </c>
      <c r="J736">
        <v>16.8</v>
      </c>
      <c r="K736">
        <v>106</v>
      </c>
      <c r="L736">
        <v>5</v>
      </c>
      <c r="M736">
        <v>26190</v>
      </c>
    </row>
    <row r="737" spans="1:13">
      <c r="A737" t="s">
        <v>805</v>
      </c>
      <c r="B737" t="s">
        <v>97</v>
      </c>
      <c r="C737" t="s">
        <v>30</v>
      </c>
      <c r="D737" t="s">
        <v>16</v>
      </c>
      <c r="E737">
        <v>30</v>
      </c>
      <c r="F737" t="s">
        <v>22</v>
      </c>
      <c r="G737" t="s">
        <v>23</v>
      </c>
      <c r="H737">
        <v>69</v>
      </c>
      <c r="I737">
        <v>3379</v>
      </c>
      <c r="J737">
        <v>12.56</v>
      </c>
      <c r="K737">
        <v>120</v>
      </c>
      <c r="L737">
        <v>3</v>
      </c>
      <c r="M737">
        <v>16078</v>
      </c>
    </row>
    <row r="738" spans="1:13">
      <c r="A738" t="s">
        <v>806</v>
      </c>
      <c r="B738" t="s">
        <v>80</v>
      </c>
      <c r="C738" t="s">
        <v>15</v>
      </c>
      <c r="D738" t="s">
        <v>16</v>
      </c>
      <c r="E738">
        <v>65</v>
      </c>
      <c r="F738" t="s">
        <v>34</v>
      </c>
      <c r="G738" t="s">
        <v>49</v>
      </c>
      <c r="H738">
        <v>84</v>
      </c>
      <c r="I738">
        <v>5972</v>
      </c>
      <c r="J738">
        <v>15.43</v>
      </c>
      <c r="K738">
        <v>94</v>
      </c>
      <c r="L738">
        <v>4</v>
      </c>
      <c r="M738">
        <v>15083</v>
      </c>
    </row>
    <row r="739" spans="1:13">
      <c r="A739" t="s">
        <v>807</v>
      </c>
      <c r="B739" t="s">
        <v>95</v>
      </c>
      <c r="C739" t="s">
        <v>52</v>
      </c>
      <c r="D739" t="s">
        <v>27</v>
      </c>
      <c r="E739">
        <v>33</v>
      </c>
      <c r="F739" t="s">
        <v>34</v>
      </c>
      <c r="G739" t="s">
        <v>49</v>
      </c>
      <c r="H739">
        <v>78</v>
      </c>
      <c r="I739">
        <v>9259</v>
      </c>
      <c r="J739">
        <v>14.52</v>
      </c>
      <c r="K739">
        <v>80</v>
      </c>
      <c r="L739">
        <v>4</v>
      </c>
      <c r="M739">
        <v>37996</v>
      </c>
    </row>
    <row r="740" spans="1:13">
      <c r="A740" t="s">
        <v>808</v>
      </c>
      <c r="B740" t="s">
        <v>137</v>
      </c>
      <c r="C740" t="s">
        <v>26</v>
      </c>
      <c r="D740" t="s">
        <v>16</v>
      </c>
      <c r="E740">
        <v>48</v>
      </c>
      <c r="F740" t="s">
        <v>34</v>
      </c>
      <c r="G740" t="s">
        <v>49</v>
      </c>
      <c r="H740">
        <v>87</v>
      </c>
      <c r="I740">
        <v>2471</v>
      </c>
      <c r="J740">
        <v>2.06</v>
      </c>
      <c r="K740">
        <v>52</v>
      </c>
      <c r="L740">
        <v>4</v>
      </c>
      <c r="M740">
        <v>10116</v>
      </c>
    </row>
    <row r="741" spans="1:13">
      <c r="A741" t="s">
        <v>809</v>
      </c>
      <c r="B741" t="s">
        <v>185</v>
      </c>
      <c r="C741" t="s">
        <v>52</v>
      </c>
      <c r="D741" t="s">
        <v>27</v>
      </c>
      <c r="E741">
        <v>8</v>
      </c>
      <c r="F741" t="s">
        <v>34</v>
      </c>
      <c r="G741" t="s">
        <v>31</v>
      </c>
      <c r="H741">
        <v>80</v>
      </c>
      <c r="I741">
        <v>8022</v>
      </c>
      <c r="J741">
        <v>8.9499999999999993</v>
      </c>
      <c r="K741">
        <v>100</v>
      </c>
      <c r="L741">
        <v>4</v>
      </c>
      <c r="M741">
        <v>29555</v>
      </c>
    </row>
    <row r="742" spans="1:13">
      <c r="A742" t="s">
        <v>810</v>
      </c>
      <c r="B742" t="s">
        <v>29</v>
      </c>
      <c r="C742" t="s">
        <v>30</v>
      </c>
      <c r="D742" t="s">
        <v>16</v>
      </c>
      <c r="E742">
        <v>59</v>
      </c>
      <c r="F742" t="s">
        <v>22</v>
      </c>
      <c r="G742" t="s">
        <v>49</v>
      </c>
      <c r="H742">
        <v>77</v>
      </c>
      <c r="I742">
        <v>4001</v>
      </c>
      <c r="J742">
        <v>27.58</v>
      </c>
      <c r="K742">
        <v>120</v>
      </c>
      <c r="L742">
        <v>4</v>
      </c>
      <c r="M742">
        <v>17805</v>
      </c>
    </row>
    <row r="743" spans="1:13">
      <c r="A743" t="s">
        <v>811</v>
      </c>
      <c r="B743" t="s">
        <v>20</v>
      </c>
      <c r="C743" t="s">
        <v>21</v>
      </c>
      <c r="D743" t="s">
        <v>16</v>
      </c>
      <c r="E743">
        <v>27</v>
      </c>
      <c r="F743" t="s">
        <v>34</v>
      </c>
      <c r="G743" t="s">
        <v>18</v>
      </c>
      <c r="H743">
        <v>81</v>
      </c>
      <c r="I743">
        <v>5405</v>
      </c>
      <c r="J743">
        <v>15.53</v>
      </c>
      <c r="K743">
        <v>109</v>
      </c>
      <c r="L743">
        <v>4</v>
      </c>
      <c r="M743">
        <v>26629</v>
      </c>
    </row>
    <row r="744" spans="1:13">
      <c r="A744" t="s">
        <v>812</v>
      </c>
      <c r="B744" t="s">
        <v>143</v>
      </c>
      <c r="C744" t="s">
        <v>21</v>
      </c>
      <c r="D744" t="s">
        <v>16</v>
      </c>
      <c r="E744">
        <v>3</v>
      </c>
      <c r="F744" t="s">
        <v>17</v>
      </c>
      <c r="G744" t="s">
        <v>23</v>
      </c>
      <c r="H744">
        <v>80</v>
      </c>
      <c r="I744">
        <v>7958</v>
      </c>
      <c r="J744">
        <v>14.25</v>
      </c>
      <c r="K744">
        <v>89</v>
      </c>
      <c r="L744">
        <v>4</v>
      </c>
      <c r="M744">
        <v>25563</v>
      </c>
    </row>
    <row r="745" spans="1:13">
      <c r="A745" t="s">
        <v>813</v>
      </c>
      <c r="B745" t="s">
        <v>25</v>
      </c>
      <c r="C745" t="s">
        <v>26</v>
      </c>
      <c r="D745" t="s">
        <v>72</v>
      </c>
      <c r="E745">
        <v>38</v>
      </c>
      <c r="F745" t="s">
        <v>34</v>
      </c>
      <c r="G745" t="s">
        <v>18</v>
      </c>
      <c r="H745">
        <v>92</v>
      </c>
      <c r="I745">
        <v>2564</v>
      </c>
      <c r="J745">
        <v>0</v>
      </c>
      <c r="K745">
        <v>59</v>
      </c>
      <c r="L745">
        <v>4</v>
      </c>
      <c r="M745">
        <v>9964</v>
      </c>
    </row>
    <row r="746" spans="1:13">
      <c r="A746" t="s">
        <v>814</v>
      </c>
      <c r="B746" t="s">
        <v>84</v>
      </c>
      <c r="C746" t="s">
        <v>21</v>
      </c>
      <c r="D746" t="s">
        <v>27</v>
      </c>
      <c r="E746">
        <v>38</v>
      </c>
      <c r="F746" t="s">
        <v>22</v>
      </c>
      <c r="G746" t="s">
        <v>23</v>
      </c>
      <c r="H746">
        <v>80</v>
      </c>
      <c r="I746">
        <v>7466</v>
      </c>
      <c r="J746">
        <v>14.18</v>
      </c>
      <c r="K746">
        <v>63</v>
      </c>
      <c r="L746">
        <v>5</v>
      </c>
      <c r="M746">
        <v>44492</v>
      </c>
    </row>
    <row r="747" spans="1:13">
      <c r="A747" t="s">
        <v>815</v>
      </c>
      <c r="B747" t="s">
        <v>88</v>
      </c>
      <c r="C747" t="s">
        <v>15</v>
      </c>
      <c r="D747" t="s">
        <v>16</v>
      </c>
      <c r="E747">
        <v>31</v>
      </c>
      <c r="F747" t="s">
        <v>22</v>
      </c>
      <c r="G747" t="s">
        <v>40</v>
      </c>
      <c r="H747">
        <v>76</v>
      </c>
      <c r="I747">
        <v>6387</v>
      </c>
      <c r="J747">
        <v>9.5</v>
      </c>
      <c r="K747">
        <v>83</v>
      </c>
      <c r="L747">
        <v>4</v>
      </c>
      <c r="M747">
        <v>29174</v>
      </c>
    </row>
    <row r="748" spans="1:13">
      <c r="A748" t="s">
        <v>816</v>
      </c>
      <c r="B748" t="s">
        <v>47</v>
      </c>
      <c r="C748" t="s">
        <v>48</v>
      </c>
      <c r="D748" t="s">
        <v>27</v>
      </c>
      <c r="E748">
        <v>49</v>
      </c>
      <c r="F748" t="s">
        <v>17</v>
      </c>
      <c r="G748" t="s">
        <v>31</v>
      </c>
      <c r="H748">
        <v>79</v>
      </c>
      <c r="I748">
        <v>6049</v>
      </c>
      <c r="J748">
        <v>16.149999999999999</v>
      </c>
      <c r="K748">
        <v>77</v>
      </c>
      <c r="L748">
        <v>5</v>
      </c>
      <c r="M748">
        <v>26824</v>
      </c>
    </row>
    <row r="749" spans="1:13">
      <c r="A749" t="s">
        <v>817</v>
      </c>
      <c r="B749" t="s">
        <v>25</v>
      </c>
      <c r="C749" t="s">
        <v>26</v>
      </c>
      <c r="D749" t="s">
        <v>27</v>
      </c>
      <c r="E749">
        <v>10</v>
      </c>
      <c r="F749" t="s">
        <v>17</v>
      </c>
      <c r="G749" t="s">
        <v>49</v>
      </c>
      <c r="H749">
        <v>90</v>
      </c>
      <c r="I749">
        <v>2543</v>
      </c>
      <c r="J749">
        <v>3.3</v>
      </c>
      <c r="K749">
        <v>49</v>
      </c>
      <c r="L749">
        <v>5</v>
      </c>
      <c r="M749">
        <v>10667</v>
      </c>
    </row>
    <row r="750" spans="1:13">
      <c r="A750" t="s">
        <v>818</v>
      </c>
      <c r="B750" t="s">
        <v>14</v>
      </c>
      <c r="C750" t="s">
        <v>15</v>
      </c>
      <c r="D750" t="s">
        <v>16</v>
      </c>
      <c r="E750">
        <v>46</v>
      </c>
      <c r="F750" t="s">
        <v>17</v>
      </c>
      <c r="G750" t="s">
        <v>40</v>
      </c>
      <c r="H750">
        <v>73</v>
      </c>
      <c r="I750">
        <v>4450</v>
      </c>
      <c r="J750">
        <v>13.18</v>
      </c>
      <c r="K750">
        <v>70</v>
      </c>
      <c r="L750">
        <v>4</v>
      </c>
      <c r="M750">
        <v>11764</v>
      </c>
    </row>
    <row r="751" spans="1:13">
      <c r="A751" t="s">
        <v>819</v>
      </c>
      <c r="B751" t="s">
        <v>54</v>
      </c>
      <c r="C751" t="s">
        <v>39</v>
      </c>
      <c r="D751" t="s">
        <v>27</v>
      </c>
      <c r="E751">
        <v>19</v>
      </c>
      <c r="F751" t="s">
        <v>22</v>
      </c>
      <c r="G751" t="s">
        <v>70</v>
      </c>
      <c r="H751">
        <v>89</v>
      </c>
      <c r="I751">
        <v>3187</v>
      </c>
      <c r="J751">
        <v>8.52</v>
      </c>
      <c r="K751">
        <v>43</v>
      </c>
      <c r="L751">
        <v>4</v>
      </c>
      <c r="M751">
        <v>8585</v>
      </c>
    </row>
    <row r="752" spans="1:13">
      <c r="A752" t="s">
        <v>820</v>
      </c>
      <c r="B752" t="s">
        <v>74</v>
      </c>
      <c r="C752" t="s">
        <v>45</v>
      </c>
      <c r="D752" t="s">
        <v>27</v>
      </c>
      <c r="E752">
        <v>29</v>
      </c>
      <c r="F752" t="s">
        <v>34</v>
      </c>
      <c r="G752" t="s">
        <v>18</v>
      </c>
      <c r="H752">
        <v>75</v>
      </c>
      <c r="I752">
        <v>10851</v>
      </c>
      <c r="J752">
        <v>19.010000000000002</v>
      </c>
      <c r="K752">
        <v>96</v>
      </c>
      <c r="L752">
        <v>4</v>
      </c>
      <c r="M752">
        <v>54242</v>
      </c>
    </row>
    <row r="753" spans="1:13">
      <c r="A753" t="s">
        <v>821</v>
      </c>
      <c r="B753" t="s">
        <v>25</v>
      </c>
      <c r="C753" t="s">
        <v>26</v>
      </c>
      <c r="D753" t="s">
        <v>27</v>
      </c>
      <c r="E753">
        <v>45</v>
      </c>
      <c r="F753" t="s">
        <v>34</v>
      </c>
      <c r="G753" t="s">
        <v>31</v>
      </c>
      <c r="H753">
        <v>88</v>
      </c>
      <c r="I753">
        <v>2537</v>
      </c>
      <c r="J753">
        <v>0.9</v>
      </c>
      <c r="K753">
        <v>61</v>
      </c>
      <c r="L753">
        <v>4</v>
      </c>
      <c r="M753">
        <v>10626</v>
      </c>
    </row>
    <row r="754" spans="1:13">
      <c r="A754" t="s">
        <v>822</v>
      </c>
      <c r="B754" t="s">
        <v>51</v>
      </c>
      <c r="C754" t="s">
        <v>52</v>
      </c>
      <c r="D754" t="s">
        <v>16</v>
      </c>
      <c r="E754">
        <v>44</v>
      </c>
      <c r="F754" t="s">
        <v>34</v>
      </c>
      <c r="G754" t="s">
        <v>40</v>
      </c>
      <c r="H754">
        <v>89</v>
      </c>
      <c r="I754">
        <v>7785</v>
      </c>
      <c r="J754">
        <v>16.079999999999998</v>
      </c>
      <c r="K754">
        <v>51</v>
      </c>
      <c r="L754">
        <v>4</v>
      </c>
      <c r="M754">
        <v>35914</v>
      </c>
    </row>
    <row r="755" spans="1:13">
      <c r="A755" t="s">
        <v>823</v>
      </c>
      <c r="B755" t="s">
        <v>64</v>
      </c>
      <c r="C755" t="s">
        <v>30</v>
      </c>
      <c r="D755" t="s">
        <v>16</v>
      </c>
      <c r="E755">
        <v>30</v>
      </c>
      <c r="F755" t="s">
        <v>34</v>
      </c>
      <c r="G755" t="s">
        <v>40</v>
      </c>
      <c r="H755">
        <v>75</v>
      </c>
      <c r="I755">
        <v>3272</v>
      </c>
      <c r="J755">
        <v>14.25</v>
      </c>
      <c r="K755">
        <v>76</v>
      </c>
      <c r="L755">
        <v>4</v>
      </c>
      <c r="M755">
        <v>9096</v>
      </c>
    </row>
    <row r="756" spans="1:13">
      <c r="A756" t="s">
        <v>824</v>
      </c>
      <c r="B756" t="s">
        <v>122</v>
      </c>
      <c r="C756" t="s">
        <v>48</v>
      </c>
      <c r="D756" t="s">
        <v>16</v>
      </c>
      <c r="E756">
        <v>39</v>
      </c>
      <c r="F756" t="s">
        <v>22</v>
      </c>
      <c r="G756" t="s">
        <v>23</v>
      </c>
      <c r="H756">
        <v>82</v>
      </c>
      <c r="I756">
        <v>6179</v>
      </c>
      <c r="J756">
        <v>12.39</v>
      </c>
      <c r="K756">
        <v>74</v>
      </c>
      <c r="L756">
        <v>4</v>
      </c>
      <c r="M756">
        <v>16579</v>
      </c>
    </row>
    <row r="757" spans="1:13">
      <c r="A757" t="s">
        <v>825</v>
      </c>
      <c r="B757" t="s">
        <v>60</v>
      </c>
      <c r="C757" t="s">
        <v>52</v>
      </c>
      <c r="D757" t="s">
        <v>27</v>
      </c>
      <c r="E757">
        <v>55</v>
      </c>
      <c r="F757" t="s">
        <v>22</v>
      </c>
      <c r="G757" t="s">
        <v>70</v>
      </c>
      <c r="H757">
        <v>77</v>
      </c>
      <c r="I757">
        <v>8064</v>
      </c>
      <c r="J757">
        <v>19.73</v>
      </c>
      <c r="K757">
        <v>88</v>
      </c>
      <c r="L757">
        <v>4</v>
      </c>
      <c r="M757">
        <v>40683</v>
      </c>
    </row>
    <row r="758" spans="1:13">
      <c r="A758" t="s">
        <v>826</v>
      </c>
      <c r="B758" t="s">
        <v>25</v>
      </c>
      <c r="C758" t="s">
        <v>39</v>
      </c>
      <c r="D758" t="s">
        <v>16</v>
      </c>
      <c r="E758">
        <v>31</v>
      </c>
      <c r="F758" t="s">
        <v>22</v>
      </c>
      <c r="G758" t="s">
        <v>31</v>
      </c>
      <c r="H758">
        <v>89</v>
      </c>
      <c r="I758">
        <v>2655</v>
      </c>
      <c r="J758">
        <v>10.15</v>
      </c>
      <c r="K758">
        <v>46</v>
      </c>
      <c r="L758">
        <v>4</v>
      </c>
      <c r="M758">
        <v>11791</v>
      </c>
    </row>
    <row r="759" spans="1:13">
      <c r="A759" t="s">
        <v>827</v>
      </c>
      <c r="B759" t="s">
        <v>54</v>
      </c>
      <c r="C759" t="s">
        <v>15</v>
      </c>
      <c r="D759" t="s">
        <v>27</v>
      </c>
      <c r="E759">
        <v>60</v>
      </c>
      <c r="F759" t="s">
        <v>34</v>
      </c>
      <c r="G759" t="s">
        <v>31</v>
      </c>
      <c r="H759">
        <v>71</v>
      </c>
      <c r="I759">
        <v>6857</v>
      </c>
      <c r="J759">
        <v>19.96</v>
      </c>
      <c r="K759">
        <v>61</v>
      </c>
      <c r="L759">
        <v>4</v>
      </c>
      <c r="M759">
        <v>36461</v>
      </c>
    </row>
    <row r="760" spans="1:13">
      <c r="A760" t="s">
        <v>828</v>
      </c>
      <c r="B760" t="s">
        <v>44</v>
      </c>
      <c r="C760" t="s">
        <v>45</v>
      </c>
      <c r="D760" t="s">
        <v>16</v>
      </c>
      <c r="E760">
        <v>27</v>
      </c>
      <c r="F760" t="s">
        <v>17</v>
      </c>
      <c r="G760" t="s">
        <v>49</v>
      </c>
      <c r="H760">
        <v>68</v>
      </c>
      <c r="I760">
        <v>9247</v>
      </c>
      <c r="J760">
        <v>28.67</v>
      </c>
      <c r="K760">
        <v>94</v>
      </c>
      <c r="L760">
        <v>3</v>
      </c>
      <c r="M760">
        <v>33930</v>
      </c>
    </row>
    <row r="761" spans="1:13">
      <c r="A761" t="s">
        <v>829</v>
      </c>
      <c r="B761" t="s">
        <v>20</v>
      </c>
      <c r="C761" t="s">
        <v>21</v>
      </c>
      <c r="D761" t="s">
        <v>27</v>
      </c>
      <c r="E761">
        <v>90</v>
      </c>
      <c r="F761" t="s">
        <v>22</v>
      </c>
      <c r="G761" t="s">
        <v>70</v>
      </c>
      <c r="H761">
        <v>67</v>
      </c>
      <c r="I761">
        <v>5354</v>
      </c>
      <c r="J761">
        <v>20.62</v>
      </c>
      <c r="K761">
        <v>103</v>
      </c>
      <c r="L761">
        <v>3</v>
      </c>
      <c r="M761">
        <v>24196</v>
      </c>
    </row>
    <row r="762" spans="1:13">
      <c r="A762" t="s">
        <v>830</v>
      </c>
      <c r="B762" t="s">
        <v>84</v>
      </c>
      <c r="C762" t="s">
        <v>21</v>
      </c>
      <c r="D762" t="s">
        <v>16</v>
      </c>
      <c r="E762">
        <v>36</v>
      </c>
      <c r="F762" t="s">
        <v>17</v>
      </c>
      <c r="G762" t="s">
        <v>18</v>
      </c>
      <c r="H762">
        <v>69</v>
      </c>
      <c r="I762">
        <v>7214</v>
      </c>
      <c r="J762">
        <v>22.21</v>
      </c>
      <c r="K762">
        <v>70</v>
      </c>
      <c r="L762">
        <v>3</v>
      </c>
      <c r="M762">
        <v>32227</v>
      </c>
    </row>
    <row r="763" spans="1:13">
      <c r="A763" t="s">
        <v>831</v>
      </c>
      <c r="B763" t="s">
        <v>60</v>
      </c>
      <c r="C763" t="s">
        <v>52</v>
      </c>
      <c r="D763" t="s">
        <v>16</v>
      </c>
      <c r="E763">
        <v>54</v>
      </c>
      <c r="F763" t="s">
        <v>17</v>
      </c>
      <c r="G763" t="s">
        <v>23</v>
      </c>
      <c r="H763">
        <v>85</v>
      </c>
      <c r="I763">
        <v>6740</v>
      </c>
      <c r="J763">
        <v>8.42</v>
      </c>
      <c r="K763">
        <v>84</v>
      </c>
      <c r="L763">
        <v>4</v>
      </c>
      <c r="M763">
        <v>39069</v>
      </c>
    </row>
    <row r="764" spans="1:13">
      <c r="A764" t="s">
        <v>832</v>
      </c>
      <c r="B764" t="s">
        <v>74</v>
      </c>
      <c r="C764" t="s">
        <v>45</v>
      </c>
      <c r="D764" t="s">
        <v>16</v>
      </c>
      <c r="E764">
        <v>37</v>
      </c>
      <c r="F764" t="s">
        <v>22</v>
      </c>
      <c r="G764" t="s">
        <v>18</v>
      </c>
      <c r="H764">
        <v>67</v>
      </c>
      <c r="I764">
        <v>7347</v>
      </c>
      <c r="J764">
        <v>23.92</v>
      </c>
      <c r="K764">
        <v>99</v>
      </c>
      <c r="L764">
        <v>3</v>
      </c>
      <c r="M764">
        <v>23280</v>
      </c>
    </row>
    <row r="765" spans="1:13">
      <c r="A765" t="s">
        <v>833</v>
      </c>
      <c r="B765" t="s">
        <v>150</v>
      </c>
      <c r="C765" t="s">
        <v>48</v>
      </c>
      <c r="D765" t="s">
        <v>16</v>
      </c>
      <c r="E765">
        <v>40</v>
      </c>
      <c r="F765" t="s">
        <v>22</v>
      </c>
      <c r="G765" t="s">
        <v>70</v>
      </c>
      <c r="H765">
        <v>81</v>
      </c>
      <c r="I765">
        <v>4931</v>
      </c>
      <c r="J765">
        <v>5.91</v>
      </c>
      <c r="K765">
        <v>103</v>
      </c>
      <c r="L765">
        <v>4</v>
      </c>
      <c r="M765">
        <v>17027</v>
      </c>
    </row>
    <row r="766" spans="1:13">
      <c r="A766" t="s">
        <v>834</v>
      </c>
      <c r="B766" t="s">
        <v>14</v>
      </c>
      <c r="C766" t="s">
        <v>15</v>
      </c>
      <c r="D766" t="s">
        <v>27</v>
      </c>
      <c r="E766">
        <v>38</v>
      </c>
      <c r="F766" t="s">
        <v>34</v>
      </c>
      <c r="G766" t="s">
        <v>49</v>
      </c>
      <c r="H766">
        <v>88</v>
      </c>
      <c r="I766">
        <v>7209</v>
      </c>
      <c r="J766">
        <v>19.079999999999998</v>
      </c>
      <c r="K766">
        <v>74</v>
      </c>
      <c r="L766">
        <v>5</v>
      </c>
      <c r="M766">
        <v>27257</v>
      </c>
    </row>
    <row r="767" spans="1:13">
      <c r="A767" t="s">
        <v>835</v>
      </c>
      <c r="B767" t="s">
        <v>68</v>
      </c>
      <c r="C767" t="s">
        <v>45</v>
      </c>
      <c r="D767" t="s">
        <v>72</v>
      </c>
      <c r="E767">
        <v>47</v>
      </c>
      <c r="F767" t="s">
        <v>34</v>
      </c>
      <c r="G767" t="s">
        <v>49</v>
      </c>
      <c r="H767">
        <v>75</v>
      </c>
      <c r="I767">
        <v>10303</v>
      </c>
      <c r="J767">
        <v>17.239999999999998</v>
      </c>
      <c r="K767">
        <v>122</v>
      </c>
      <c r="L767">
        <v>4</v>
      </c>
      <c r="M767">
        <v>53311</v>
      </c>
    </row>
    <row r="768" spans="1:13">
      <c r="A768" t="s">
        <v>836</v>
      </c>
      <c r="B768" t="s">
        <v>25</v>
      </c>
      <c r="C768" t="s">
        <v>39</v>
      </c>
      <c r="D768" t="s">
        <v>27</v>
      </c>
      <c r="E768">
        <v>7</v>
      </c>
      <c r="F768" t="s">
        <v>34</v>
      </c>
      <c r="G768" t="s">
        <v>31</v>
      </c>
      <c r="H768">
        <v>96</v>
      </c>
      <c r="I768">
        <v>2691</v>
      </c>
      <c r="J768">
        <v>3.2</v>
      </c>
      <c r="K768">
        <v>49</v>
      </c>
      <c r="L768">
        <v>5</v>
      </c>
      <c r="M768">
        <v>7793</v>
      </c>
    </row>
    <row r="769" spans="1:13">
      <c r="A769" t="s">
        <v>837</v>
      </c>
      <c r="B769" t="s">
        <v>80</v>
      </c>
      <c r="C769" t="s">
        <v>15</v>
      </c>
      <c r="D769" t="s">
        <v>27</v>
      </c>
      <c r="E769">
        <v>36</v>
      </c>
      <c r="F769" t="s">
        <v>17</v>
      </c>
      <c r="G769" t="s">
        <v>18</v>
      </c>
      <c r="H769">
        <v>85</v>
      </c>
      <c r="I769">
        <v>8849</v>
      </c>
      <c r="J769">
        <v>16.68</v>
      </c>
      <c r="K769">
        <v>34</v>
      </c>
      <c r="L769">
        <v>4</v>
      </c>
      <c r="M769">
        <v>43581</v>
      </c>
    </row>
    <row r="770" spans="1:13">
      <c r="A770" t="s">
        <v>838</v>
      </c>
      <c r="B770" t="s">
        <v>60</v>
      </c>
      <c r="C770" t="s">
        <v>52</v>
      </c>
      <c r="D770" t="s">
        <v>16</v>
      </c>
      <c r="E770">
        <v>81</v>
      </c>
      <c r="F770" t="s">
        <v>22</v>
      </c>
      <c r="G770" t="s">
        <v>18</v>
      </c>
      <c r="H770">
        <v>79</v>
      </c>
      <c r="I770">
        <v>6310</v>
      </c>
      <c r="J770">
        <v>12.97</v>
      </c>
      <c r="K770">
        <v>90</v>
      </c>
      <c r="L770">
        <v>5</v>
      </c>
      <c r="M770">
        <v>29895</v>
      </c>
    </row>
    <row r="771" spans="1:13">
      <c r="A771" t="s">
        <v>839</v>
      </c>
      <c r="B771" t="s">
        <v>122</v>
      </c>
      <c r="C771" t="s">
        <v>48</v>
      </c>
      <c r="D771" t="s">
        <v>16</v>
      </c>
      <c r="E771">
        <v>58</v>
      </c>
      <c r="F771" t="s">
        <v>22</v>
      </c>
      <c r="G771" t="s">
        <v>23</v>
      </c>
      <c r="H771">
        <v>88</v>
      </c>
      <c r="I771">
        <v>5044</v>
      </c>
      <c r="J771">
        <v>12.67</v>
      </c>
      <c r="K771">
        <v>69</v>
      </c>
      <c r="L771">
        <v>4</v>
      </c>
      <c r="M771">
        <v>26629</v>
      </c>
    </row>
    <row r="772" spans="1:13">
      <c r="A772" t="s">
        <v>840</v>
      </c>
      <c r="B772" t="s">
        <v>68</v>
      </c>
      <c r="C772" t="s">
        <v>45</v>
      </c>
      <c r="D772" t="s">
        <v>16</v>
      </c>
      <c r="E772">
        <v>64</v>
      </c>
      <c r="F772" t="s">
        <v>22</v>
      </c>
      <c r="G772" t="s">
        <v>23</v>
      </c>
      <c r="H772">
        <v>82</v>
      </c>
      <c r="I772">
        <v>7920</v>
      </c>
      <c r="J772">
        <v>10.76</v>
      </c>
      <c r="K772">
        <v>94</v>
      </c>
      <c r="L772">
        <v>4</v>
      </c>
      <c r="M772">
        <v>22260</v>
      </c>
    </row>
    <row r="773" spans="1:13">
      <c r="A773" t="s">
        <v>841</v>
      </c>
      <c r="B773" t="s">
        <v>62</v>
      </c>
      <c r="C773" t="s">
        <v>52</v>
      </c>
      <c r="D773" t="s">
        <v>16</v>
      </c>
      <c r="E773">
        <v>36</v>
      </c>
      <c r="F773" t="s">
        <v>34</v>
      </c>
      <c r="G773" t="s">
        <v>31</v>
      </c>
      <c r="H773">
        <v>70</v>
      </c>
      <c r="I773">
        <v>7124</v>
      </c>
      <c r="J773">
        <v>11.3</v>
      </c>
      <c r="K773">
        <v>96</v>
      </c>
      <c r="L773">
        <v>3</v>
      </c>
      <c r="M773">
        <v>25803</v>
      </c>
    </row>
    <row r="774" spans="1:13">
      <c r="A774" t="s">
        <v>842</v>
      </c>
      <c r="B774" t="s">
        <v>122</v>
      </c>
      <c r="C774" t="s">
        <v>48</v>
      </c>
      <c r="D774" t="s">
        <v>16</v>
      </c>
      <c r="E774">
        <v>36</v>
      </c>
      <c r="F774" t="s">
        <v>34</v>
      </c>
      <c r="G774" t="s">
        <v>70</v>
      </c>
      <c r="H774">
        <v>84</v>
      </c>
      <c r="I774">
        <v>4047</v>
      </c>
      <c r="J774">
        <v>20.09</v>
      </c>
      <c r="K774">
        <v>60</v>
      </c>
      <c r="L774">
        <v>4</v>
      </c>
      <c r="M774">
        <v>22773</v>
      </c>
    </row>
    <row r="775" spans="1:13">
      <c r="A775" t="s">
        <v>843</v>
      </c>
      <c r="B775" t="s">
        <v>135</v>
      </c>
      <c r="C775" t="s">
        <v>48</v>
      </c>
      <c r="D775" t="s">
        <v>27</v>
      </c>
      <c r="E775">
        <v>29</v>
      </c>
      <c r="F775" t="s">
        <v>22</v>
      </c>
      <c r="G775" t="s">
        <v>49</v>
      </c>
      <c r="H775">
        <v>74</v>
      </c>
      <c r="I775">
        <v>5209</v>
      </c>
      <c r="J775">
        <v>13.85</v>
      </c>
      <c r="K775">
        <v>98</v>
      </c>
      <c r="L775">
        <v>3</v>
      </c>
      <c r="M775">
        <v>27748</v>
      </c>
    </row>
    <row r="776" spans="1:13">
      <c r="A776" t="s">
        <v>844</v>
      </c>
      <c r="B776" t="s">
        <v>137</v>
      </c>
      <c r="C776" t="s">
        <v>26</v>
      </c>
      <c r="D776" t="s">
        <v>27</v>
      </c>
      <c r="E776">
        <v>18</v>
      </c>
      <c r="F776" t="s">
        <v>22</v>
      </c>
      <c r="G776" t="s">
        <v>31</v>
      </c>
      <c r="H776">
        <v>74</v>
      </c>
      <c r="I776">
        <v>3145</v>
      </c>
      <c r="J776">
        <v>15.35</v>
      </c>
      <c r="K776">
        <v>59</v>
      </c>
      <c r="L776">
        <v>4</v>
      </c>
      <c r="M776">
        <v>17377</v>
      </c>
    </row>
    <row r="777" spans="1:13">
      <c r="A777" t="s">
        <v>845</v>
      </c>
      <c r="B777" t="s">
        <v>42</v>
      </c>
      <c r="C777" t="s">
        <v>39</v>
      </c>
      <c r="D777" t="s">
        <v>16</v>
      </c>
      <c r="E777">
        <v>9</v>
      </c>
      <c r="F777" t="s">
        <v>22</v>
      </c>
      <c r="G777" t="s">
        <v>40</v>
      </c>
      <c r="H777">
        <v>94</v>
      </c>
      <c r="I777">
        <v>3365</v>
      </c>
      <c r="J777">
        <v>0</v>
      </c>
      <c r="K777">
        <v>38</v>
      </c>
      <c r="L777">
        <v>4</v>
      </c>
      <c r="M777">
        <v>17872</v>
      </c>
    </row>
    <row r="778" spans="1:13">
      <c r="A778" t="s">
        <v>846</v>
      </c>
      <c r="B778" t="s">
        <v>58</v>
      </c>
      <c r="C778" t="s">
        <v>48</v>
      </c>
      <c r="D778" t="s">
        <v>16</v>
      </c>
      <c r="E778">
        <v>77</v>
      </c>
      <c r="F778" t="s">
        <v>34</v>
      </c>
      <c r="G778" t="s">
        <v>40</v>
      </c>
      <c r="H778">
        <v>73</v>
      </c>
      <c r="I778">
        <v>4539</v>
      </c>
      <c r="J778">
        <v>17.45</v>
      </c>
      <c r="K778">
        <v>83</v>
      </c>
      <c r="L778">
        <v>4</v>
      </c>
      <c r="M778">
        <v>20422</v>
      </c>
    </row>
    <row r="779" spans="1:13">
      <c r="A779" t="s">
        <v>847</v>
      </c>
      <c r="B779" t="s">
        <v>25</v>
      </c>
      <c r="C779" t="s">
        <v>39</v>
      </c>
      <c r="D779" t="s">
        <v>27</v>
      </c>
      <c r="E779">
        <v>13</v>
      </c>
      <c r="F779" t="s">
        <v>22</v>
      </c>
      <c r="G779" t="s">
        <v>31</v>
      </c>
      <c r="H779">
        <v>94</v>
      </c>
      <c r="I779">
        <v>2768</v>
      </c>
      <c r="J779">
        <v>0.53</v>
      </c>
      <c r="K779">
        <v>87</v>
      </c>
      <c r="L779">
        <v>5</v>
      </c>
      <c r="M779">
        <v>15670</v>
      </c>
    </row>
    <row r="780" spans="1:13">
      <c r="A780" t="s">
        <v>848</v>
      </c>
      <c r="B780" t="s">
        <v>135</v>
      </c>
      <c r="C780" t="s">
        <v>48</v>
      </c>
      <c r="D780" t="s">
        <v>27</v>
      </c>
      <c r="E780">
        <v>40</v>
      </c>
      <c r="F780" t="s">
        <v>17</v>
      </c>
      <c r="G780" t="s">
        <v>23</v>
      </c>
      <c r="H780">
        <v>78</v>
      </c>
      <c r="I780">
        <v>7029</v>
      </c>
      <c r="J780">
        <v>14.21</v>
      </c>
      <c r="K780">
        <v>68</v>
      </c>
      <c r="L780">
        <v>4</v>
      </c>
      <c r="M780">
        <v>19770</v>
      </c>
    </row>
    <row r="781" spans="1:13">
      <c r="A781" t="s">
        <v>849</v>
      </c>
      <c r="B781" t="s">
        <v>25</v>
      </c>
      <c r="C781" t="s">
        <v>26</v>
      </c>
      <c r="D781" t="s">
        <v>16</v>
      </c>
      <c r="E781">
        <v>14</v>
      </c>
      <c r="F781" t="s">
        <v>22</v>
      </c>
      <c r="G781" t="s">
        <v>23</v>
      </c>
      <c r="H781">
        <v>99</v>
      </c>
      <c r="I781">
        <v>2986</v>
      </c>
      <c r="J781">
        <v>2.0099999999999998</v>
      </c>
      <c r="K781">
        <v>38</v>
      </c>
      <c r="L781">
        <v>4</v>
      </c>
      <c r="M781">
        <v>8401</v>
      </c>
    </row>
    <row r="782" spans="1:13">
      <c r="A782" t="s">
        <v>850</v>
      </c>
      <c r="B782" t="s">
        <v>56</v>
      </c>
      <c r="C782" t="s">
        <v>45</v>
      </c>
      <c r="D782" t="s">
        <v>27</v>
      </c>
      <c r="E782">
        <v>31</v>
      </c>
      <c r="F782" t="s">
        <v>34</v>
      </c>
      <c r="G782" t="s">
        <v>70</v>
      </c>
      <c r="H782">
        <v>75</v>
      </c>
      <c r="I782">
        <v>6281</v>
      </c>
      <c r="J782">
        <v>16.12</v>
      </c>
      <c r="K782">
        <v>89</v>
      </c>
      <c r="L782">
        <v>4</v>
      </c>
      <c r="M782">
        <v>19241</v>
      </c>
    </row>
    <row r="783" spans="1:13">
      <c r="A783" t="s">
        <v>851</v>
      </c>
      <c r="B783" t="s">
        <v>25</v>
      </c>
      <c r="C783" t="s">
        <v>26</v>
      </c>
      <c r="D783" t="s">
        <v>16</v>
      </c>
      <c r="E783">
        <v>58</v>
      </c>
      <c r="F783" t="s">
        <v>22</v>
      </c>
      <c r="G783" t="s">
        <v>18</v>
      </c>
      <c r="H783">
        <v>88</v>
      </c>
      <c r="I783">
        <v>2587</v>
      </c>
      <c r="J783">
        <v>1.1399999999999999</v>
      </c>
      <c r="K783">
        <v>46</v>
      </c>
      <c r="L783">
        <v>5</v>
      </c>
      <c r="M783">
        <v>15472</v>
      </c>
    </row>
    <row r="784" spans="1:13">
      <c r="A784" t="s">
        <v>852</v>
      </c>
      <c r="B784" t="s">
        <v>66</v>
      </c>
      <c r="C784" t="s">
        <v>39</v>
      </c>
      <c r="D784" t="s">
        <v>16</v>
      </c>
      <c r="E784">
        <v>9</v>
      </c>
      <c r="F784" t="s">
        <v>22</v>
      </c>
      <c r="G784" t="s">
        <v>70</v>
      </c>
      <c r="H784">
        <v>84</v>
      </c>
      <c r="I784">
        <v>3285</v>
      </c>
      <c r="J784">
        <v>1.01</v>
      </c>
      <c r="K784">
        <v>64</v>
      </c>
      <c r="L784">
        <v>4</v>
      </c>
      <c r="M784">
        <v>8228</v>
      </c>
    </row>
    <row r="785" spans="1:13">
      <c r="A785" t="s">
        <v>853</v>
      </c>
      <c r="B785" t="s">
        <v>42</v>
      </c>
      <c r="C785" t="s">
        <v>39</v>
      </c>
      <c r="D785" t="s">
        <v>27</v>
      </c>
      <c r="E785">
        <v>69</v>
      </c>
      <c r="F785" t="s">
        <v>17</v>
      </c>
      <c r="G785" t="s">
        <v>31</v>
      </c>
      <c r="H785">
        <v>84</v>
      </c>
      <c r="I785">
        <v>2396</v>
      </c>
      <c r="J785">
        <v>4.0999999999999996</v>
      </c>
      <c r="K785">
        <v>56</v>
      </c>
      <c r="L785">
        <v>4</v>
      </c>
      <c r="M785">
        <v>8381</v>
      </c>
    </row>
    <row r="786" spans="1:13">
      <c r="A786" t="s">
        <v>854</v>
      </c>
      <c r="B786" t="s">
        <v>129</v>
      </c>
      <c r="C786" t="s">
        <v>21</v>
      </c>
      <c r="D786" t="s">
        <v>27</v>
      </c>
      <c r="E786">
        <v>38</v>
      </c>
      <c r="F786" t="s">
        <v>17</v>
      </c>
      <c r="G786" t="s">
        <v>31</v>
      </c>
      <c r="H786">
        <v>65</v>
      </c>
      <c r="I786">
        <v>5130</v>
      </c>
      <c r="J786">
        <v>16.71</v>
      </c>
      <c r="K786">
        <v>105</v>
      </c>
      <c r="L786">
        <v>3</v>
      </c>
      <c r="M786">
        <v>26054</v>
      </c>
    </row>
    <row r="787" spans="1:13">
      <c r="A787" t="s">
        <v>855</v>
      </c>
      <c r="B787" t="s">
        <v>47</v>
      </c>
      <c r="C787" t="s">
        <v>48</v>
      </c>
      <c r="D787" t="s">
        <v>16</v>
      </c>
      <c r="E787">
        <v>50</v>
      </c>
      <c r="F787" t="s">
        <v>17</v>
      </c>
      <c r="G787" t="s">
        <v>31</v>
      </c>
      <c r="H787">
        <v>84</v>
      </c>
      <c r="I787">
        <v>5809</v>
      </c>
      <c r="J787">
        <v>10.050000000000001</v>
      </c>
      <c r="K787">
        <v>74</v>
      </c>
      <c r="L787">
        <v>3</v>
      </c>
      <c r="M787">
        <v>20945</v>
      </c>
    </row>
    <row r="788" spans="1:13">
      <c r="A788" t="s">
        <v>856</v>
      </c>
      <c r="B788" t="s">
        <v>38</v>
      </c>
      <c r="C788" t="s">
        <v>39</v>
      </c>
      <c r="D788" t="s">
        <v>27</v>
      </c>
      <c r="E788">
        <v>5</v>
      </c>
      <c r="F788" t="s">
        <v>17</v>
      </c>
      <c r="G788" t="s">
        <v>31</v>
      </c>
      <c r="H788">
        <v>78</v>
      </c>
      <c r="I788">
        <v>3100</v>
      </c>
      <c r="J788">
        <v>12.65</v>
      </c>
      <c r="K788">
        <v>67</v>
      </c>
      <c r="L788">
        <v>4</v>
      </c>
      <c r="M788">
        <v>12073</v>
      </c>
    </row>
    <row r="789" spans="1:13">
      <c r="A789" t="s">
        <v>857</v>
      </c>
      <c r="B789" t="s">
        <v>122</v>
      </c>
      <c r="C789" t="s">
        <v>48</v>
      </c>
      <c r="D789" t="s">
        <v>16</v>
      </c>
      <c r="E789">
        <v>38</v>
      </c>
      <c r="F789" t="s">
        <v>34</v>
      </c>
      <c r="G789" t="s">
        <v>40</v>
      </c>
      <c r="H789">
        <v>82</v>
      </c>
      <c r="I789">
        <v>5245</v>
      </c>
      <c r="J789">
        <v>10.83</v>
      </c>
      <c r="K789">
        <v>35</v>
      </c>
      <c r="L789">
        <v>4</v>
      </c>
      <c r="M789">
        <v>15141</v>
      </c>
    </row>
    <row r="790" spans="1:13">
      <c r="A790" t="s">
        <v>858</v>
      </c>
      <c r="B790" t="s">
        <v>47</v>
      </c>
      <c r="C790" t="s">
        <v>48</v>
      </c>
      <c r="D790" t="s">
        <v>27</v>
      </c>
      <c r="E790">
        <v>41</v>
      </c>
      <c r="F790" t="s">
        <v>17</v>
      </c>
      <c r="G790" t="s">
        <v>70</v>
      </c>
      <c r="H790">
        <v>82</v>
      </c>
      <c r="I790">
        <v>7635</v>
      </c>
      <c r="J790">
        <v>10.79</v>
      </c>
      <c r="K790">
        <v>45</v>
      </c>
      <c r="L790">
        <v>5</v>
      </c>
      <c r="M790">
        <v>28004</v>
      </c>
    </row>
    <row r="791" spans="1:13">
      <c r="A791" t="s">
        <v>859</v>
      </c>
      <c r="B791" t="s">
        <v>29</v>
      </c>
      <c r="C791" t="s">
        <v>30</v>
      </c>
      <c r="D791" t="s">
        <v>16</v>
      </c>
      <c r="E791">
        <v>66</v>
      </c>
      <c r="F791" t="s">
        <v>22</v>
      </c>
      <c r="G791" t="s">
        <v>23</v>
      </c>
      <c r="H791">
        <v>69</v>
      </c>
      <c r="I791">
        <v>3421</v>
      </c>
      <c r="J791">
        <v>23.77</v>
      </c>
      <c r="K791">
        <v>95</v>
      </c>
      <c r="L791">
        <v>3</v>
      </c>
      <c r="M791">
        <v>19717</v>
      </c>
    </row>
    <row r="792" spans="1:13">
      <c r="A792" t="s">
        <v>860</v>
      </c>
      <c r="B792" t="s">
        <v>68</v>
      </c>
      <c r="C792" t="s">
        <v>45</v>
      </c>
      <c r="D792" t="s">
        <v>16</v>
      </c>
      <c r="E792">
        <v>53</v>
      </c>
      <c r="F792" t="s">
        <v>22</v>
      </c>
      <c r="G792" t="s">
        <v>70</v>
      </c>
      <c r="H792">
        <v>80</v>
      </c>
      <c r="I792">
        <v>13629</v>
      </c>
      <c r="J792">
        <v>8</v>
      </c>
      <c r="K792">
        <v>109</v>
      </c>
      <c r="L792">
        <v>4</v>
      </c>
      <c r="M792">
        <v>43481</v>
      </c>
    </row>
    <row r="793" spans="1:13">
      <c r="A793" t="s">
        <v>861</v>
      </c>
      <c r="B793" t="s">
        <v>122</v>
      </c>
      <c r="C793" t="s">
        <v>48</v>
      </c>
      <c r="D793" t="s">
        <v>27</v>
      </c>
      <c r="E793">
        <v>58</v>
      </c>
      <c r="F793" t="s">
        <v>17</v>
      </c>
      <c r="G793" t="s">
        <v>18</v>
      </c>
      <c r="H793">
        <v>83</v>
      </c>
      <c r="I793">
        <v>6823</v>
      </c>
      <c r="J793">
        <v>11.4</v>
      </c>
      <c r="K793">
        <v>53</v>
      </c>
      <c r="L793">
        <v>4</v>
      </c>
      <c r="M793">
        <v>38992</v>
      </c>
    </row>
    <row r="794" spans="1:13">
      <c r="A794" t="s">
        <v>862</v>
      </c>
      <c r="B794" t="s">
        <v>62</v>
      </c>
      <c r="C794" t="s">
        <v>52</v>
      </c>
      <c r="D794" t="s">
        <v>27</v>
      </c>
      <c r="E794">
        <v>72</v>
      </c>
      <c r="F794" t="s">
        <v>22</v>
      </c>
      <c r="G794" t="s">
        <v>70</v>
      </c>
      <c r="H794">
        <v>83</v>
      </c>
      <c r="I794">
        <v>5870</v>
      </c>
      <c r="J794">
        <v>5.29</v>
      </c>
      <c r="K794">
        <v>49</v>
      </c>
      <c r="L794">
        <v>4</v>
      </c>
      <c r="M794">
        <v>19333</v>
      </c>
    </row>
    <row r="795" spans="1:13">
      <c r="A795" t="s">
        <v>863</v>
      </c>
      <c r="B795" t="s">
        <v>129</v>
      </c>
      <c r="C795" t="s">
        <v>21</v>
      </c>
      <c r="D795" t="s">
        <v>16</v>
      </c>
      <c r="E795">
        <v>66</v>
      </c>
      <c r="F795" t="s">
        <v>17</v>
      </c>
      <c r="G795" t="s">
        <v>23</v>
      </c>
      <c r="H795">
        <v>77</v>
      </c>
      <c r="I795">
        <v>7093</v>
      </c>
      <c r="J795">
        <v>14</v>
      </c>
      <c r="K795">
        <v>60</v>
      </c>
      <c r="L795">
        <v>4</v>
      </c>
      <c r="M795">
        <v>40299</v>
      </c>
    </row>
    <row r="796" spans="1:13">
      <c r="A796" t="s">
        <v>864</v>
      </c>
      <c r="B796" t="s">
        <v>56</v>
      </c>
      <c r="C796" t="s">
        <v>45</v>
      </c>
      <c r="D796" t="s">
        <v>16</v>
      </c>
      <c r="E796">
        <v>7</v>
      </c>
      <c r="F796" t="s">
        <v>17</v>
      </c>
      <c r="G796" t="s">
        <v>40</v>
      </c>
      <c r="H796">
        <v>77</v>
      </c>
      <c r="I796">
        <v>6862</v>
      </c>
      <c r="J796">
        <v>15.41</v>
      </c>
      <c r="K796">
        <v>101</v>
      </c>
      <c r="L796">
        <v>4</v>
      </c>
      <c r="M796">
        <v>29237</v>
      </c>
    </row>
    <row r="797" spans="1:13">
      <c r="A797" t="s">
        <v>865</v>
      </c>
      <c r="B797" t="s">
        <v>109</v>
      </c>
      <c r="C797" t="s">
        <v>30</v>
      </c>
      <c r="D797" t="s">
        <v>27</v>
      </c>
      <c r="E797">
        <v>49</v>
      </c>
      <c r="F797" t="s">
        <v>17</v>
      </c>
      <c r="G797" t="s">
        <v>18</v>
      </c>
      <c r="H797">
        <v>68</v>
      </c>
      <c r="I797">
        <v>4136</v>
      </c>
      <c r="J797">
        <v>16.37</v>
      </c>
      <c r="K797">
        <v>95</v>
      </c>
      <c r="L797">
        <v>3</v>
      </c>
      <c r="M797">
        <v>13106</v>
      </c>
    </row>
    <row r="798" spans="1:13">
      <c r="A798" t="s">
        <v>866</v>
      </c>
      <c r="B798" t="s">
        <v>36</v>
      </c>
      <c r="C798" t="s">
        <v>21</v>
      </c>
      <c r="D798" t="s">
        <v>16</v>
      </c>
      <c r="E798">
        <v>29</v>
      </c>
      <c r="F798" t="s">
        <v>17</v>
      </c>
      <c r="G798" t="s">
        <v>18</v>
      </c>
      <c r="H798">
        <v>71</v>
      </c>
      <c r="I798">
        <v>5577</v>
      </c>
      <c r="J798">
        <v>17.579999999999998</v>
      </c>
      <c r="K798">
        <v>107</v>
      </c>
      <c r="L798">
        <v>3</v>
      </c>
      <c r="M798">
        <v>32353</v>
      </c>
    </row>
    <row r="799" spans="1:13">
      <c r="A799" t="s">
        <v>867</v>
      </c>
      <c r="B799" t="s">
        <v>103</v>
      </c>
      <c r="C799" t="s">
        <v>26</v>
      </c>
      <c r="D799" t="s">
        <v>27</v>
      </c>
      <c r="E799">
        <v>25</v>
      </c>
      <c r="F799" t="s">
        <v>34</v>
      </c>
      <c r="G799" t="s">
        <v>70</v>
      </c>
      <c r="H799">
        <v>85</v>
      </c>
      <c r="I799">
        <v>964</v>
      </c>
      <c r="J799">
        <v>8.11</v>
      </c>
      <c r="K799">
        <v>37</v>
      </c>
      <c r="L799">
        <v>3</v>
      </c>
      <c r="M799">
        <v>5433</v>
      </c>
    </row>
    <row r="800" spans="1:13">
      <c r="A800" t="s">
        <v>868</v>
      </c>
      <c r="B800" t="s">
        <v>109</v>
      </c>
      <c r="C800" t="s">
        <v>30</v>
      </c>
      <c r="D800" t="s">
        <v>16</v>
      </c>
      <c r="E800">
        <v>29</v>
      </c>
      <c r="F800" t="s">
        <v>22</v>
      </c>
      <c r="G800" t="s">
        <v>40</v>
      </c>
      <c r="H800">
        <v>79</v>
      </c>
      <c r="I800">
        <v>3019</v>
      </c>
      <c r="J800">
        <v>15.53</v>
      </c>
      <c r="K800">
        <v>74</v>
      </c>
      <c r="L800">
        <v>4</v>
      </c>
      <c r="M800">
        <v>10321</v>
      </c>
    </row>
    <row r="801" spans="1:13">
      <c r="A801" t="s">
        <v>869</v>
      </c>
      <c r="B801" t="s">
        <v>64</v>
      </c>
      <c r="C801" t="s">
        <v>30</v>
      </c>
      <c r="D801" t="s">
        <v>16</v>
      </c>
      <c r="E801">
        <v>53</v>
      </c>
      <c r="F801" t="s">
        <v>22</v>
      </c>
      <c r="G801" t="s">
        <v>18</v>
      </c>
      <c r="H801">
        <v>69</v>
      </c>
      <c r="I801">
        <v>1676</v>
      </c>
      <c r="J801">
        <v>15.9</v>
      </c>
      <c r="K801">
        <v>117</v>
      </c>
      <c r="L801">
        <v>3</v>
      </c>
      <c r="M801">
        <v>5203</v>
      </c>
    </row>
    <row r="802" spans="1:13">
      <c r="A802" t="s">
        <v>870</v>
      </c>
      <c r="B802" t="s">
        <v>109</v>
      </c>
      <c r="C802" t="s">
        <v>30</v>
      </c>
      <c r="D802" t="s">
        <v>16</v>
      </c>
      <c r="E802">
        <v>60</v>
      </c>
      <c r="F802" t="s">
        <v>17</v>
      </c>
      <c r="G802" t="s">
        <v>18</v>
      </c>
      <c r="H802">
        <v>71</v>
      </c>
      <c r="I802">
        <v>2555</v>
      </c>
      <c r="J802">
        <v>25.07</v>
      </c>
      <c r="K802">
        <v>105</v>
      </c>
      <c r="L802">
        <v>3</v>
      </c>
      <c r="M802">
        <v>11892</v>
      </c>
    </row>
    <row r="803" spans="1:13">
      <c r="A803" t="s">
        <v>871</v>
      </c>
      <c r="B803" t="s">
        <v>25</v>
      </c>
      <c r="C803" t="s">
        <v>39</v>
      </c>
      <c r="D803" t="s">
        <v>27</v>
      </c>
      <c r="E803">
        <v>16</v>
      </c>
      <c r="F803" t="s">
        <v>34</v>
      </c>
      <c r="G803" t="s">
        <v>49</v>
      </c>
      <c r="H803">
        <v>76</v>
      </c>
      <c r="I803">
        <v>3802</v>
      </c>
      <c r="J803">
        <v>12.03</v>
      </c>
      <c r="K803">
        <v>50</v>
      </c>
      <c r="L803">
        <v>4</v>
      </c>
      <c r="M803">
        <v>10749</v>
      </c>
    </row>
    <row r="804" spans="1:13">
      <c r="A804" t="s">
        <v>872</v>
      </c>
      <c r="B804" t="s">
        <v>135</v>
      </c>
      <c r="C804" t="s">
        <v>48</v>
      </c>
      <c r="D804" t="s">
        <v>27</v>
      </c>
      <c r="E804">
        <v>24</v>
      </c>
      <c r="F804" t="s">
        <v>17</v>
      </c>
      <c r="G804" t="s">
        <v>40</v>
      </c>
      <c r="H804">
        <v>84</v>
      </c>
      <c r="I804">
        <v>5956</v>
      </c>
      <c r="J804">
        <v>14.64</v>
      </c>
      <c r="K804">
        <v>70</v>
      </c>
      <c r="L804">
        <v>4</v>
      </c>
      <c r="M804">
        <v>25270</v>
      </c>
    </row>
    <row r="805" spans="1:13">
      <c r="A805" t="s">
        <v>873</v>
      </c>
      <c r="B805" t="s">
        <v>122</v>
      </c>
      <c r="C805" t="s">
        <v>48</v>
      </c>
      <c r="D805" t="s">
        <v>16</v>
      </c>
      <c r="E805">
        <v>64</v>
      </c>
      <c r="F805" t="s">
        <v>22</v>
      </c>
      <c r="G805" t="s">
        <v>49</v>
      </c>
      <c r="H805">
        <v>80</v>
      </c>
      <c r="I805">
        <v>6467</v>
      </c>
      <c r="J805">
        <v>15.3</v>
      </c>
      <c r="K805">
        <v>63</v>
      </c>
      <c r="L805">
        <v>4</v>
      </c>
      <c r="M805">
        <v>33444</v>
      </c>
    </row>
    <row r="806" spans="1:13">
      <c r="A806" t="s">
        <v>874</v>
      </c>
      <c r="B806" t="s">
        <v>54</v>
      </c>
      <c r="C806" t="s">
        <v>39</v>
      </c>
      <c r="D806" t="s">
        <v>16</v>
      </c>
      <c r="E806">
        <v>6</v>
      </c>
      <c r="F806" t="s">
        <v>17</v>
      </c>
      <c r="G806" t="s">
        <v>40</v>
      </c>
      <c r="H806">
        <v>81</v>
      </c>
      <c r="I806">
        <v>2898</v>
      </c>
      <c r="J806">
        <v>14.55</v>
      </c>
      <c r="K806">
        <v>49</v>
      </c>
      <c r="L806">
        <v>4</v>
      </c>
      <c r="M806">
        <v>15556</v>
      </c>
    </row>
    <row r="807" spans="1:13">
      <c r="A807" t="s">
        <v>875</v>
      </c>
      <c r="B807" t="s">
        <v>56</v>
      </c>
      <c r="C807" t="s">
        <v>45</v>
      </c>
      <c r="D807" t="s">
        <v>16</v>
      </c>
      <c r="E807">
        <v>57</v>
      </c>
      <c r="F807" t="s">
        <v>17</v>
      </c>
      <c r="G807" t="s">
        <v>70</v>
      </c>
      <c r="H807">
        <v>78</v>
      </c>
      <c r="I807">
        <v>11131</v>
      </c>
      <c r="J807">
        <v>21.14</v>
      </c>
      <c r="K807">
        <v>52</v>
      </c>
      <c r="L807">
        <v>4</v>
      </c>
      <c r="M807">
        <v>43399</v>
      </c>
    </row>
    <row r="808" spans="1:13">
      <c r="A808" t="s">
        <v>876</v>
      </c>
      <c r="B808" t="s">
        <v>97</v>
      </c>
      <c r="C808" t="s">
        <v>30</v>
      </c>
      <c r="D808" t="s">
        <v>27</v>
      </c>
      <c r="E808">
        <v>47</v>
      </c>
      <c r="F808" t="s">
        <v>17</v>
      </c>
      <c r="G808" t="s">
        <v>18</v>
      </c>
      <c r="H808">
        <v>70</v>
      </c>
      <c r="I808">
        <v>3001</v>
      </c>
      <c r="J808">
        <v>16.46</v>
      </c>
      <c r="K808">
        <v>118</v>
      </c>
      <c r="L808">
        <v>4</v>
      </c>
      <c r="M808">
        <v>14439</v>
      </c>
    </row>
    <row r="809" spans="1:13">
      <c r="A809" t="s">
        <v>877</v>
      </c>
      <c r="B809" t="s">
        <v>29</v>
      </c>
      <c r="C809" t="s">
        <v>30</v>
      </c>
      <c r="D809" t="s">
        <v>16</v>
      </c>
      <c r="E809">
        <v>16</v>
      </c>
      <c r="F809" t="s">
        <v>17</v>
      </c>
      <c r="G809" t="s">
        <v>40</v>
      </c>
      <c r="H809">
        <v>78</v>
      </c>
      <c r="I809">
        <v>3061</v>
      </c>
      <c r="J809">
        <v>18.579999999999998</v>
      </c>
      <c r="K809">
        <v>107</v>
      </c>
      <c r="L809">
        <v>3</v>
      </c>
      <c r="M809">
        <v>12324</v>
      </c>
    </row>
    <row r="810" spans="1:13">
      <c r="A810" t="s">
        <v>878</v>
      </c>
      <c r="B810" t="s">
        <v>187</v>
      </c>
      <c r="C810" t="s">
        <v>30</v>
      </c>
      <c r="D810" t="s">
        <v>16</v>
      </c>
      <c r="E810">
        <v>59</v>
      </c>
      <c r="F810" t="s">
        <v>34</v>
      </c>
      <c r="G810" t="s">
        <v>49</v>
      </c>
      <c r="H810">
        <v>71</v>
      </c>
      <c r="I810">
        <v>3615</v>
      </c>
      <c r="J810">
        <v>12.47</v>
      </c>
      <c r="K810">
        <v>120</v>
      </c>
      <c r="L810">
        <v>4</v>
      </c>
      <c r="M810">
        <v>14471</v>
      </c>
    </row>
    <row r="811" spans="1:13">
      <c r="A811" t="s">
        <v>879</v>
      </c>
      <c r="B811" t="s">
        <v>29</v>
      </c>
      <c r="C811" t="s">
        <v>30</v>
      </c>
      <c r="D811" t="s">
        <v>72</v>
      </c>
      <c r="E811">
        <v>20</v>
      </c>
      <c r="F811" t="s">
        <v>22</v>
      </c>
      <c r="G811" t="s">
        <v>23</v>
      </c>
      <c r="H811">
        <v>83</v>
      </c>
      <c r="I811">
        <v>2949</v>
      </c>
      <c r="J811">
        <v>14.86</v>
      </c>
      <c r="K811">
        <v>107</v>
      </c>
      <c r="L811">
        <v>4</v>
      </c>
      <c r="M811">
        <v>16781</v>
      </c>
    </row>
    <row r="812" spans="1:13">
      <c r="A812" t="s">
        <v>880</v>
      </c>
      <c r="B812" t="s">
        <v>109</v>
      </c>
      <c r="C812" t="s">
        <v>30</v>
      </c>
      <c r="D812" t="s">
        <v>16</v>
      </c>
      <c r="E812">
        <v>68</v>
      </c>
      <c r="F812" t="s">
        <v>34</v>
      </c>
      <c r="G812" t="s">
        <v>70</v>
      </c>
      <c r="H812">
        <v>69</v>
      </c>
      <c r="I812">
        <v>3853</v>
      </c>
      <c r="J812">
        <v>20.51</v>
      </c>
      <c r="K812">
        <v>79</v>
      </c>
      <c r="L812">
        <v>3</v>
      </c>
      <c r="M812">
        <v>16827</v>
      </c>
    </row>
    <row r="813" spans="1:13">
      <c r="A813" t="s">
        <v>881</v>
      </c>
      <c r="B813" t="s">
        <v>25</v>
      </c>
      <c r="C813" t="s">
        <v>26</v>
      </c>
      <c r="D813" t="s">
        <v>16</v>
      </c>
      <c r="E813">
        <v>31</v>
      </c>
      <c r="F813" t="s">
        <v>34</v>
      </c>
      <c r="G813" t="s">
        <v>31</v>
      </c>
      <c r="H813">
        <v>87</v>
      </c>
      <c r="I813">
        <v>2189</v>
      </c>
      <c r="J813">
        <v>8.4499999999999993</v>
      </c>
      <c r="K813">
        <v>29</v>
      </c>
      <c r="L813">
        <v>4</v>
      </c>
      <c r="M813">
        <v>12104</v>
      </c>
    </row>
    <row r="814" spans="1:13">
      <c r="A814" t="s">
        <v>882</v>
      </c>
      <c r="B814" t="s">
        <v>143</v>
      </c>
      <c r="C814" t="s">
        <v>21</v>
      </c>
      <c r="D814" t="s">
        <v>16</v>
      </c>
      <c r="E814">
        <v>41</v>
      </c>
      <c r="F814" t="s">
        <v>22</v>
      </c>
      <c r="G814" t="s">
        <v>23</v>
      </c>
      <c r="H814">
        <v>85</v>
      </c>
      <c r="I814">
        <v>8179</v>
      </c>
      <c r="J814">
        <v>12</v>
      </c>
      <c r="K814">
        <v>87</v>
      </c>
      <c r="L814">
        <v>4</v>
      </c>
      <c r="M814">
        <v>47917</v>
      </c>
    </row>
    <row r="815" spans="1:13">
      <c r="A815" t="s">
        <v>883</v>
      </c>
      <c r="B815" t="s">
        <v>122</v>
      </c>
      <c r="C815" t="s">
        <v>48</v>
      </c>
      <c r="D815" t="s">
        <v>16</v>
      </c>
      <c r="E815">
        <v>54</v>
      </c>
      <c r="F815" t="s">
        <v>22</v>
      </c>
      <c r="G815" t="s">
        <v>49</v>
      </c>
      <c r="H815">
        <v>76</v>
      </c>
      <c r="I815">
        <v>5306</v>
      </c>
      <c r="J815">
        <v>11.97</v>
      </c>
      <c r="K815">
        <v>101</v>
      </c>
      <c r="L815">
        <v>4</v>
      </c>
      <c r="M815">
        <v>16092</v>
      </c>
    </row>
    <row r="816" spans="1:13">
      <c r="A816" t="s">
        <v>884</v>
      </c>
      <c r="B816" t="s">
        <v>47</v>
      </c>
      <c r="C816" t="s">
        <v>48</v>
      </c>
      <c r="D816" t="s">
        <v>16</v>
      </c>
      <c r="E816">
        <v>20</v>
      </c>
      <c r="F816" t="s">
        <v>17</v>
      </c>
      <c r="G816" t="s">
        <v>70</v>
      </c>
      <c r="H816">
        <v>80</v>
      </c>
      <c r="I816">
        <v>8027</v>
      </c>
      <c r="J816">
        <v>18.68</v>
      </c>
      <c r="K816">
        <v>94</v>
      </c>
      <c r="L816">
        <v>4</v>
      </c>
      <c r="M816">
        <v>27511</v>
      </c>
    </row>
    <row r="817" spans="1:13">
      <c r="A817" t="s">
        <v>885</v>
      </c>
      <c r="B817" t="s">
        <v>78</v>
      </c>
      <c r="C817" t="s">
        <v>15</v>
      </c>
      <c r="D817" t="s">
        <v>16</v>
      </c>
      <c r="E817">
        <v>78</v>
      </c>
      <c r="F817" t="s">
        <v>17</v>
      </c>
      <c r="G817" t="s">
        <v>40</v>
      </c>
      <c r="H817">
        <v>89</v>
      </c>
      <c r="I817">
        <v>8576</v>
      </c>
      <c r="J817">
        <v>18.600000000000001</v>
      </c>
      <c r="K817">
        <v>38</v>
      </c>
      <c r="L817">
        <v>4</v>
      </c>
      <c r="M817">
        <v>25960</v>
      </c>
    </row>
    <row r="818" spans="1:13">
      <c r="A818" t="s">
        <v>886</v>
      </c>
      <c r="B818" t="s">
        <v>14</v>
      </c>
      <c r="C818" t="s">
        <v>15</v>
      </c>
      <c r="D818" t="s">
        <v>16</v>
      </c>
      <c r="E818">
        <v>41</v>
      </c>
      <c r="F818" t="s">
        <v>22</v>
      </c>
      <c r="G818" t="s">
        <v>18</v>
      </c>
      <c r="H818">
        <v>78</v>
      </c>
      <c r="I818">
        <v>6910</v>
      </c>
      <c r="J818">
        <v>10.199999999999999</v>
      </c>
      <c r="K818">
        <v>97</v>
      </c>
      <c r="L818">
        <v>4</v>
      </c>
      <c r="M818">
        <v>39763</v>
      </c>
    </row>
    <row r="819" spans="1:13">
      <c r="A819" t="s">
        <v>887</v>
      </c>
      <c r="B819" t="s">
        <v>47</v>
      </c>
      <c r="C819" t="s">
        <v>48</v>
      </c>
      <c r="D819" t="s">
        <v>72</v>
      </c>
      <c r="E819">
        <v>8</v>
      </c>
      <c r="F819" t="s">
        <v>34</v>
      </c>
      <c r="G819" t="s">
        <v>31</v>
      </c>
      <c r="H819">
        <v>90</v>
      </c>
      <c r="I819">
        <v>6251</v>
      </c>
      <c r="J819">
        <v>10.95</v>
      </c>
      <c r="K819">
        <v>12</v>
      </c>
      <c r="L819">
        <v>4</v>
      </c>
      <c r="M819">
        <v>35554</v>
      </c>
    </row>
    <row r="820" spans="1:13">
      <c r="A820" t="s">
        <v>888</v>
      </c>
      <c r="B820" t="s">
        <v>25</v>
      </c>
      <c r="C820" t="s">
        <v>26</v>
      </c>
      <c r="D820" t="s">
        <v>27</v>
      </c>
      <c r="E820">
        <v>45</v>
      </c>
      <c r="F820" t="s">
        <v>22</v>
      </c>
      <c r="G820" t="s">
        <v>70</v>
      </c>
      <c r="H820">
        <v>85</v>
      </c>
      <c r="I820">
        <v>3043</v>
      </c>
      <c r="J820">
        <v>7.77</v>
      </c>
      <c r="K820">
        <v>58</v>
      </c>
      <c r="L820">
        <v>4</v>
      </c>
      <c r="M820">
        <v>7972</v>
      </c>
    </row>
    <row r="821" spans="1:13">
      <c r="A821" t="s">
        <v>889</v>
      </c>
      <c r="B821" t="s">
        <v>185</v>
      </c>
      <c r="C821" t="s">
        <v>52</v>
      </c>
      <c r="D821" t="s">
        <v>27</v>
      </c>
      <c r="E821">
        <v>20</v>
      </c>
      <c r="F821" t="s">
        <v>17</v>
      </c>
      <c r="G821" t="s">
        <v>23</v>
      </c>
      <c r="H821">
        <v>90</v>
      </c>
      <c r="I821">
        <v>7235</v>
      </c>
      <c r="J821">
        <v>9.51</v>
      </c>
      <c r="K821">
        <v>79</v>
      </c>
      <c r="L821">
        <v>4</v>
      </c>
      <c r="M821">
        <v>19972</v>
      </c>
    </row>
    <row r="822" spans="1:13">
      <c r="A822" t="s">
        <v>890</v>
      </c>
      <c r="B822" t="s">
        <v>14</v>
      </c>
      <c r="C822" t="s">
        <v>15</v>
      </c>
      <c r="D822" t="s">
        <v>16</v>
      </c>
      <c r="E822">
        <v>18</v>
      </c>
      <c r="F822" t="s">
        <v>22</v>
      </c>
      <c r="G822" t="s">
        <v>70</v>
      </c>
      <c r="H822">
        <v>83</v>
      </c>
      <c r="I822">
        <v>9660</v>
      </c>
      <c r="J822">
        <v>20.09</v>
      </c>
      <c r="K822">
        <v>85</v>
      </c>
      <c r="L822">
        <v>4</v>
      </c>
      <c r="M822">
        <v>35496</v>
      </c>
    </row>
    <row r="823" spans="1:13">
      <c r="A823" t="s">
        <v>891</v>
      </c>
      <c r="B823" t="s">
        <v>20</v>
      </c>
      <c r="C823" t="s">
        <v>21</v>
      </c>
      <c r="D823" t="s">
        <v>16</v>
      </c>
      <c r="E823">
        <v>37</v>
      </c>
      <c r="F823" t="s">
        <v>17</v>
      </c>
      <c r="G823" t="s">
        <v>31</v>
      </c>
      <c r="H823">
        <v>65</v>
      </c>
      <c r="I823">
        <v>9345</v>
      </c>
      <c r="J823">
        <v>14.07</v>
      </c>
      <c r="K823">
        <v>120</v>
      </c>
      <c r="L823">
        <v>4</v>
      </c>
      <c r="M823">
        <v>26168</v>
      </c>
    </row>
    <row r="824" spans="1:13">
      <c r="A824" t="s">
        <v>892</v>
      </c>
      <c r="B824" t="s">
        <v>80</v>
      </c>
      <c r="C824" t="s">
        <v>15</v>
      </c>
      <c r="D824" t="s">
        <v>16</v>
      </c>
      <c r="E824">
        <v>29</v>
      </c>
      <c r="F824" t="s">
        <v>34</v>
      </c>
      <c r="G824" t="s">
        <v>40</v>
      </c>
      <c r="H824">
        <v>81</v>
      </c>
      <c r="I824">
        <v>8574</v>
      </c>
      <c r="J824">
        <v>9.0299999999999994</v>
      </c>
      <c r="K824">
        <v>92</v>
      </c>
      <c r="L824">
        <v>4</v>
      </c>
      <c r="M824">
        <v>21710</v>
      </c>
    </row>
    <row r="825" spans="1:13">
      <c r="A825" t="s">
        <v>893</v>
      </c>
      <c r="B825" t="s">
        <v>122</v>
      </c>
      <c r="C825" t="s">
        <v>48</v>
      </c>
      <c r="D825" t="s">
        <v>27</v>
      </c>
      <c r="E825">
        <v>16</v>
      </c>
      <c r="F825" t="s">
        <v>17</v>
      </c>
      <c r="G825" t="s">
        <v>23</v>
      </c>
      <c r="H825">
        <v>87</v>
      </c>
      <c r="I825">
        <v>6583</v>
      </c>
      <c r="J825">
        <v>10.7</v>
      </c>
      <c r="K825">
        <v>88</v>
      </c>
      <c r="L825">
        <v>4</v>
      </c>
      <c r="M825">
        <v>37615</v>
      </c>
    </row>
    <row r="826" spans="1:13">
      <c r="A826" t="s">
        <v>894</v>
      </c>
      <c r="B826" t="s">
        <v>150</v>
      </c>
      <c r="C826" t="s">
        <v>48</v>
      </c>
      <c r="D826" t="s">
        <v>16</v>
      </c>
      <c r="E826">
        <v>19</v>
      </c>
      <c r="F826" t="s">
        <v>34</v>
      </c>
      <c r="G826" t="s">
        <v>70</v>
      </c>
      <c r="H826">
        <v>84</v>
      </c>
      <c r="I826">
        <v>7078</v>
      </c>
      <c r="J826">
        <v>12.15</v>
      </c>
      <c r="K826">
        <v>67</v>
      </c>
      <c r="L826">
        <v>5</v>
      </c>
      <c r="M826">
        <v>40175</v>
      </c>
    </row>
    <row r="827" spans="1:13">
      <c r="A827" t="s">
        <v>895</v>
      </c>
      <c r="B827" t="s">
        <v>14</v>
      </c>
      <c r="C827" t="s">
        <v>15</v>
      </c>
      <c r="D827" t="s">
        <v>16</v>
      </c>
      <c r="E827">
        <v>46</v>
      </c>
      <c r="F827" t="s">
        <v>17</v>
      </c>
      <c r="G827" t="s">
        <v>23</v>
      </c>
      <c r="H827">
        <v>73</v>
      </c>
      <c r="I827">
        <v>6677</v>
      </c>
      <c r="J827">
        <v>19.88</v>
      </c>
      <c r="K827">
        <v>64</v>
      </c>
      <c r="L827">
        <v>4</v>
      </c>
      <c r="M827">
        <v>23192</v>
      </c>
    </row>
    <row r="828" spans="1:13">
      <c r="A828" t="s">
        <v>896</v>
      </c>
      <c r="B828" t="s">
        <v>143</v>
      </c>
      <c r="C828" t="s">
        <v>21</v>
      </c>
      <c r="D828" t="s">
        <v>27</v>
      </c>
      <c r="E828">
        <v>52</v>
      </c>
      <c r="F828" t="s">
        <v>34</v>
      </c>
      <c r="G828" t="s">
        <v>49</v>
      </c>
      <c r="H828">
        <v>76</v>
      </c>
      <c r="I828">
        <v>6083</v>
      </c>
      <c r="J828">
        <v>7.88</v>
      </c>
      <c r="K828">
        <v>86</v>
      </c>
      <c r="L828">
        <v>4</v>
      </c>
      <c r="M828">
        <v>25564</v>
      </c>
    </row>
    <row r="829" spans="1:13">
      <c r="A829" t="s">
        <v>897</v>
      </c>
      <c r="B829" t="s">
        <v>58</v>
      </c>
      <c r="C829" t="s">
        <v>48</v>
      </c>
      <c r="D829" t="s">
        <v>27</v>
      </c>
      <c r="E829">
        <v>57</v>
      </c>
      <c r="F829" t="s">
        <v>34</v>
      </c>
      <c r="G829" t="s">
        <v>18</v>
      </c>
      <c r="H829">
        <v>78</v>
      </c>
      <c r="I829">
        <v>7786</v>
      </c>
      <c r="J829">
        <v>16.45</v>
      </c>
      <c r="K829">
        <v>82</v>
      </c>
      <c r="L829">
        <v>4</v>
      </c>
      <c r="M829">
        <v>26681</v>
      </c>
    </row>
    <row r="830" spans="1:13">
      <c r="A830" t="s">
        <v>898</v>
      </c>
      <c r="B830" t="s">
        <v>88</v>
      </c>
      <c r="C830" t="s">
        <v>15</v>
      </c>
      <c r="D830" t="s">
        <v>27</v>
      </c>
      <c r="E830">
        <v>48</v>
      </c>
      <c r="F830" t="s">
        <v>34</v>
      </c>
      <c r="G830" t="s">
        <v>40</v>
      </c>
      <c r="H830">
        <v>85</v>
      </c>
      <c r="I830">
        <v>5904</v>
      </c>
      <c r="J830">
        <v>18.829999999999998</v>
      </c>
      <c r="K830">
        <v>90</v>
      </c>
      <c r="L830">
        <v>4</v>
      </c>
      <c r="M830">
        <v>30670</v>
      </c>
    </row>
    <row r="831" spans="1:13">
      <c r="A831" t="s">
        <v>899</v>
      </c>
      <c r="B831" t="s">
        <v>103</v>
      </c>
      <c r="C831" t="s">
        <v>26</v>
      </c>
      <c r="D831" t="s">
        <v>16</v>
      </c>
      <c r="E831">
        <v>38</v>
      </c>
      <c r="F831" t="s">
        <v>22</v>
      </c>
      <c r="G831" t="s">
        <v>18</v>
      </c>
      <c r="H831">
        <v>73</v>
      </c>
      <c r="I831">
        <v>2537</v>
      </c>
      <c r="J831">
        <v>10.27</v>
      </c>
      <c r="K831">
        <v>55</v>
      </c>
      <c r="L831">
        <v>3</v>
      </c>
      <c r="M831">
        <v>11501</v>
      </c>
    </row>
    <row r="832" spans="1:13">
      <c r="A832" t="s">
        <v>900</v>
      </c>
      <c r="B832" t="s">
        <v>54</v>
      </c>
      <c r="C832" t="s">
        <v>15</v>
      </c>
      <c r="D832" t="s">
        <v>16</v>
      </c>
      <c r="E832">
        <v>32</v>
      </c>
      <c r="F832" t="s">
        <v>17</v>
      </c>
      <c r="G832" t="s">
        <v>18</v>
      </c>
      <c r="H832">
        <v>70</v>
      </c>
      <c r="I832">
        <v>9026</v>
      </c>
      <c r="J832">
        <v>19.75</v>
      </c>
      <c r="K832">
        <v>116</v>
      </c>
      <c r="L832">
        <v>4</v>
      </c>
      <c r="M832">
        <v>49725</v>
      </c>
    </row>
    <row r="833" spans="1:13">
      <c r="A833" t="s">
        <v>901</v>
      </c>
      <c r="B833" t="s">
        <v>88</v>
      </c>
      <c r="C833" t="s">
        <v>15</v>
      </c>
      <c r="D833" t="s">
        <v>16</v>
      </c>
      <c r="E833">
        <v>11</v>
      </c>
      <c r="F833" t="s">
        <v>34</v>
      </c>
      <c r="G833" t="s">
        <v>49</v>
      </c>
      <c r="H833">
        <v>79</v>
      </c>
      <c r="I833">
        <v>6850</v>
      </c>
      <c r="J833">
        <v>9.52</v>
      </c>
      <c r="K833">
        <v>79</v>
      </c>
      <c r="L833">
        <v>4</v>
      </c>
      <c r="M833">
        <v>35099</v>
      </c>
    </row>
    <row r="834" spans="1:13">
      <c r="A834" t="s">
        <v>902</v>
      </c>
      <c r="B834" t="s">
        <v>68</v>
      </c>
      <c r="C834" t="s">
        <v>45</v>
      </c>
      <c r="D834" t="s">
        <v>16</v>
      </c>
      <c r="E834">
        <v>43</v>
      </c>
      <c r="F834" t="s">
        <v>34</v>
      </c>
      <c r="G834" t="s">
        <v>49</v>
      </c>
      <c r="H834">
        <v>78</v>
      </c>
      <c r="I834">
        <v>9013</v>
      </c>
      <c r="J834">
        <v>11.09</v>
      </c>
      <c r="K834">
        <v>76</v>
      </c>
      <c r="L834">
        <v>3</v>
      </c>
      <c r="M834">
        <v>47140</v>
      </c>
    </row>
    <row r="835" spans="1:13">
      <c r="A835" t="s">
        <v>903</v>
      </c>
      <c r="B835" t="s">
        <v>97</v>
      </c>
      <c r="C835" t="s">
        <v>30</v>
      </c>
      <c r="D835" t="s">
        <v>16</v>
      </c>
      <c r="E835">
        <v>30</v>
      </c>
      <c r="F835" t="s">
        <v>34</v>
      </c>
      <c r="G835" t="s">
        <v>23</v>
      </c>
      <c r="H835">
        <v>69</v>
      </c>
      <c r="I835">
        <v>3614</v>
      </c>
      <c r="J835">
        <v>20.98</v>
      </c>
      <c r="K835">
        <v>124</v>
      </c>
      <c r="L835">
        <v>2</v>
      </c>
      <c r="M835">
        <v>16688</v>
      </c>
    </row>
    <row r="836" spans="1:13">
      <c r="A836" t="s">
        <v>904</v>
      </c>
      <c r="B836" t="s">
        <v>103</v>
      </c>
      <c r="C836" t="s">
        <v>26</v>
      </c>
      <c r="D836" t="s">
        <v>27</v>
      </c>
      <c r="E836">
        <v>32</v>
      </c>
      <c r="F836" t="s">
        <v>34</v>
      </c>
      <c r="G836" t="s">
        <v>31</v>
      </c>
      <c r="H836">
        <v>81</v>
      </c>
      <c r="I836">
        <v>1840</v>
      </c>
      <c r="J836">
        <v>5.08</v>
      </c>
      <c r="K836">
        <v>101</v>
      </c>
      <c r="L836">
        <v>5</v>
      </c>
      <c r="M836">
        <v>5444</v>
      </c>
    </row>
    <row r="837" spans="1:13">
      <c r="A837" t="s">
        <v>905</v>
      </c>
      <c r="B837" t="s">
        <v>38</v>
      </c>
      <c r="C837" t="s">
        <v>39</v>
      </c>
      <c r="D837" t="s">
        <v>16</v>
      </c>
      <c r="E837">
        <v>17</v>
      </c>
      <c r="F837" t="s">
        <v>22</v>
      </c>
      <c r="G837" t="s">
        <v>49</v>
      </c>
      <c r="H837">
        <v>82</v>
      </c>
      <c r="I837">
        <v>3033</v>
      </c>
      <c r="J837">
        <v>3.52</v>
      </c>
      <c r="K837">
        <v>70</v>
      </c>
      <c r="L837">
        <v>4</v>
      </c>
      <c r="M837">
        <v>11899</v>
      </c>
    </row>
    <row r="838" spans="1:13">
      <c r="A838" t="s">
        <v>906</v>
      </c>
      <c r="B838" t="s">
        <v>62</v>
      </c>
      <c r="C838" t="s">
        <v>52</v>
      </c>
      <c r="D838" t="s">
        <v>16</v>
      </c>
      <c r="E838">
        <v>70</v>
      </c>
      <c r="F838" t="s">
        <v>22</v>
      </c>
      <c r="G838" t="s">
        <v>31</v>
      </c>
      <c r="H838">
        <v>80</v>
      </c>
      <c r="I838">
        <v>5970</v>
      </c>
      <c r="J838">
        <v>13.33</v>
      </c>
      <c r="K838">
        <v>70</v>
      </c>
      <c r="L838">
        <v>3</v>
      </c>
      <c r="M838">
        <v>18006</v>
      </c>
    </row>
    <row r="839" spans="1:13">
      <c r="A839" t="s">
        <v>907</v>
      </c>
      <c r="B839" t="s">
        <v>88</v>
      </c>
      <c r="C839" t="s">
        <v>15</v>
      </c>
      <c r="D839" t="s">
        <v>16</v>
      </c>
      <c r="E839">
        <v>68</v>
      </c>
      <c r="F839" t="s">
        <v>17</v>
      </c>
      <c r="G839" t="s">
        <v>70</v>
      </c>
      <c r="H839">
        <v>68</v>
      </c>
      <c r="I839">
        <v>7399</v>
      </c>
      <c r="J839">
        <v>16.559999999999999</v>
      </c>
      <c r="K839">
        <v>125</v>
      </c>
      <c r="L839">
        <v>3</v>
      </c>
      <c r="M839">
        <v>26325</v>
      </c>
    </row>
    <row r="840" spans="1:13">
      <c r="A840" t="s">
        <v>908</v>
      </c>
      <c r="B840" t="s">
        <v>54</v>
      </c>
      <c r="C840" t="s">
        <v>39</v>
      </c>
      <c r="D840" t="s">
        <v>27</v>
      </c>
      <c r="E840">
        <v>14</v>
      </c>
      <c r="F840" t="s">
        <v>22</v>
      </c>
      <c r="G840" t="s">
        <v>49</v>
      </c>
      <c r="H840">
        <v>83</v>
      </c>
      <c r="I840">
        <v>2984</v>
      </c>
      <c r="J840">
        <v>7.13</v>
      </c>
      <c r="K840">
        <v>72</v>
      </c>
      <c r="L840">
        <v>4</v>
      </c>
      <c r="M840">
        <v>10995</v>
      </c>
    </row>
    <row r="841" spans="1:13">
      <c r="A841" t="s">
        <v>909</v>
      </c>
      <c r="B841" t="s">
        <v>109</v>
      </c>
      <c r="C841" t="s">
        <v>30</v>
      </c>
      <c r="D841" t="s">
        <v>16</v>
      </c>
      <c r="E841">
        <v>90</v>
      </c>
      <c r="F841" t="s">
        <v>17</v>
      </c>
      <c r="G841" t="s">
        <v>49</v>
      </c>
      <c r="H841">
        <v>78</v>
      </c>
      <c r="I841">
        <v>3761</v>
      </c>
      <c r="J841">
        <v>21.41</v>
      </c>
      <c r="K841">
        <v>98</v>
      </c>
      <c r="L841">
        <v>4</v>
      </c>
      <c r="M841">
        <v>21323</v>
      </c>
    </row>
    <row r="842" spans="1:13">
      <c r="A842" t="s">
        <v>910</v>
      </c>
      <c r="B842" t="s">
        <v>168</v>
      </c>
      <c r="C842" t="s">
        <v>45</v>
      </c>
      <c r="D842" t="s">
        <v>16</v>
      </c>
      <c r="E842">
        <v>46</v>
      </c>
      <c r="F842" t="s">
        <v>17</v>
      </c>
      <c r="G842" t="s">
        <v>70</v>
      </c>
      <c r="H842">
        <v>78</v>
      </c>
      <c r="I842">
        <v>10542</v>
      </c>
      <c r="J842">
        <v>18.59</v>
      </c>
      <c r="K842">
        <v>74</v>
      </c>
      <c r="L842">
        <v>4</v>
      </c>
      <c r="M842">
        <v>57842</v>
      </c>
    </row>
    <row r="843" spans="1:13">
      <c r="A843" t="s">
        <v>911</v>
      </c>
      <c r="B843" t="s">
        <v>66</v>
      </c>
      <c r="C843" t="s">
        <v>39</v>
      </c>
      <c r="D843" t="s">
        <v>27</v>
      </c>
      <c r="E843">
        <v>2</v>
      </c>
      <c r="F843" t="s">
        <v>34</v>
      </c>
      <c r="G843" t="s">
        <v>23</v>
      </c>
      <c r="H843">
        <v>78</v>
      </c>
      <c r="I843">
        <v>2828</v>
      </c>
      <c r="J843">
        <v>10.57</v>
      </c>
      <c r="K843">
        <v>67</v>
      </c>
      <c r="L843">
        <v>4</v>
      </c>
      <c r="M843">
        <v>7504</v>
      </c>
    </row>
    <row r="844" spans="1:13">
      <c r="A844" t="s">
        <v>912</v>
      </c>
      <c r="B844" t="s">
        <v>95</v>
      </c>
      <c r="C844" t="s">
        <v>52</v>
      </c>
      <c r="D844" t="s">
        <v>16</v>
      </c>
      <c r="E844">
        <v>36</v>
      </c>
      <c r="F844" t="s">
        <v>34</v>
      </c>
      <c r="G844" t="s">
        <v>18</v>
      </c>
      <c r="H844">
        <v>73</v>
      </c>
      <c r="I844">
        <v>6772</v>
      </c>
      <c r="J844">
        <v>11.58</v>
      </c>
      <c r="K844">
        <v>114</v>
      </c>
      <c r="L844">
        <v>3</v>
      </c>
      <c r="M844">
        <v>28422</v>
      </c>
    </row>
    <row r="845" spans="1:13">
      <c r="A845" t="s">
        <v>913</v>
      </c>
      <c r="B845" t="s">
        <v>88</v>
      </c>
      <c r="C845" t="s">
        <v>15</v>
      </c>
      <c r="D845" t="s">
        <v>27</v>
      </c>
      <c r="E845">
        <v>17</v>
      </c>
      <c r="F845" t="s">
        <v>22</v>
      </c>
      <c r="G845" t="s">
        <v>70</v>
      </c>
      <c r="H845">
        <v>78</v>
      </c>
      <c r="I845">
        <v>7142</v>
      </c>
      <c r="J845">
        <v>17.329999999999998</v>
      </c>
      <c r="K845">
        <v>62</v>
      </c>
      <c r="L845">
        <v>4</v>
      </c>
      <c r="M845">
        <v>39727</v>
      </c>
    </row>
    <row r="846" spans="1:13">
      <c r="A846" t="s">
        <v>914</v>
      </c>
      <c r="B846" t="s">
        <v>88</v>
      </c>
      <c r="C846" t="s">
        <v>15</v>
      </c>
      <c r="D846" t="s">
        <v>27</v>
      </c>
      <c r="E846">
        <v>33</v>
      </c>
      <c r="F846" t="s">
        <v>17</v>
      </c>
      <c r="G846" t="s">
        <v>70</v>
      </c>
      <c r="H846">
        <v>71</v>
      </c>
      <c r="I846">
        <v>7811</v>
      </c>
      <c r="J846">
        <v>21.65</v>
      </c>
      <c r="K846">
        <v>79</v>
      </c>
      <c r="L846">
        <v>4</v>
      </c>
      <c r="M846">
        <v>23368</v>
      </c>
    </row>
    <row r="847" spans="1:13">
      <c r="A847" t="s">
        <v>915</v>
      </c>
      <c r="B847" t="s">
        <v>109</v>
      </c>
      <c r="C847" t="s">
        <v>30</v>
      </c>
      <c r="D847" t="s">
        <v>27</v>
      </c>
      <c r="E847">
        <v>20</v>
      </c>
      <c r="F847" t="s">
        <v>17</v>
      </c>
      <c r="G847" t="s">
        <v>49</v>
      </c>
      <c r="H847">
        <v>71</v>
      </c>
      <c r="I847">
        <v>5662</v>
      </c>
      <c r="J847">
        <v>19.12</v>
      </c>
      <c r="K847">
        <v>120</v>
      </c>
      <c r="L847">
        <v>4</v>
      </c>
      <c r="M847">
        <v>30850</v>
      </c>
    </row>
    <row r="848" spans="1:13">
      <c r="A848" t="s">
        <v>916</v>
      </c>
      <c r="B848" t="s">
        <v>109</v>
      </c>
      <c r="C848" t="s">
        <v>30</v>
      </c>
      <c r="D848" t="s">
        <v>16</v>
      </c>
      <c r="E848">
        <v>37</v>
      </c>
      <c r="F848" t="s">
        <v>22</v>
      </c>
      <c r="G848" t="s">
        <v>31</v>
      </c>
      <c r="H848">
        <v>73</v>
      </c>
      <c r="I848">
        <v>3487</v>
      </c>
      <c r="J848">
        <v>14.09</v>
      </c>
      <c r="K848">
        <v>114</v>
      </c>
      <c r="L848">
        <v>3</v>
      </c>
      <c r="M848">
        <v>13161</v>
      </c>
    </row>
    <row r="849" spans="1:13">
      <c r="A849" t="s">
        <v>917</v>
      </c>
      <c r="B849" t="s">
        <v>47</v>
      </c>
      <c r="C849" t="s">
        <v>48</v>
      </c>
      <c r="D849" t="s">
        <v>16</v>
      </c>
      <c r="E849">
        <v>26</v>
      </c>
      <c r="F849" t="s">
        <v>22</v>
      </c>
      <c r="G849" t="s">
        <v>31</v>
      </c>
      <c r="H849">
        <v>85</v>
      </c>
      <c r="I849">
        <v>4012</v>
      </c>
      <c r="J849">
        <v>9.9499999999999993</v>
      </c>
      <c r="K849">
        <v>81</v>
      </c>
      <c r="L849">
        <v>4</v>
      </c>
      <c r="M849">
        <v>10468</v>
      </c>
    </row>
    <row r="850" spans="1:13">
      <c r="A850" t="s">
        <v>918</v>
      </c>
      <c r="B850" t="s">
        <v>56</v>
      </c>
      <c r="C850" t="s">
        <v>45</v>
      </c>
      <c r="D850" t="s">
        <v>27</v>
      </c>
      <c r="E850">
        <v>45</v>
      </c>
      <c r="F850" t="s">
        <v>17</v>
      </c>
      <c r="G850" t="s">
        <v>18</v>
      </c>
      <c r="H850">
        <v>77</v>
      </c>
      <c r="I850">
        <v>7233</v>
      </c>
      <c r="J850">
        <v>11.38</v>
      </c>
      <c r="K850">
        <v>105</v>
      </c>
      <c r="L850">
        <v>4</v>
      </c>
      <c r="M850">
        <v>29290</v>
      </c>
    </row>
    <row r="851" spans="1:13">
      <c r="A851" t="s">
        <v>919</v>
      </c>
      <c r="B851" t="s">
        <v>56</v>
      </c>
      <c r="C851" t="s">
        <v>45</v>
      </c>
      <c r="D851" t="s">
        <v>16</v>
      </c>
      <c r="E851">
        <v>13</v>
      </c>
      <c r="F851" t="s">
        <v>22</v>
      </c>
      <c r="G851" t="s">
        <v>49</v>
      </c>
      <c r="H851">
        <v>64</v>
      </c>
      <c r="I851">
        <v>8296</v>
      </c>
      <c r="J851">
        <v>17.73</v>
      </c>
      <c r="K851">
        <v>151</v>
      </c>
      <c r="L851">
        <v>3</v>
      </c>
      <c r="M851">
        <v>42172</v>
      </c>
    </row>
    <row r="852" spans="1:13">
      <c r="A852" t="s">
        <v>920</v>
      </c>
      <c r="B852" t="s">
        <v>56</v>
      </c>
      <c r="C852" t="s">
        <v>45</v>
      </c>
      <c r="D852" t="s">
        <v>16</v>
      </c>
      <c r="E852">
        <v>51</v>
      </c>
      <c r="F852" t="s">
        <v>17</v>
      </c>
      <c r="G852" t="s">
        <v>23</v>
      </c>
      <c r="H852">
        <v>79</v>
      </c>
      <c r="I852">
        <v>9813</v>
      </c>
      <c r="J852">
        <v>15.58</v>
      </c>
      <c r="K852">
        <v>68</v>
      </c>
      <c r="L852">
        <v>4</v>
      </c>
      <c r="M852">
        <v>36632</v>
      </c>
    </row>
    <row r="853" spans="1:13">
      <c r="A853" t="s">
        <v>921</v>
      </c>
      <c r="B853" t="s">
        <v>51</v>
      </c>
      <c r="C853" t="s">
        <v>52</v>
      </c>
      <c r="D853" t="s">
        <v>27</v>
      </c>
      <c r="E853">
        <v>61</v>
      </c>
      <c r="F853" t="s">
        <v>22</v>
      </c>
      <c r="G853" t="s">
        <v>40</v>
      </c>
      <c r="H853">
        <v>89</v>
      </c>
      <c r="I853">
        <v>9085</v>
      </c>
      <c r="J853">
        <v>14.21</v>
      </c>
      <c r="K853">
        <v>54</v>
      </c>
      <c r="L853">
        <v>4</v>
      </c>
      <c r="M853">
        <v>38271</v>
      </c>
    </row>
    <row r="854" spans="1:13">
      <c r="A854" t="s">
        <v>922</v>
      </c>
      <c r="B854" t="s">
        <v>38</v>
      </c>
      <c r="C854" t="s">
        <v>39</v>
      </c>
      <c r="D854" t="s">
        <v>27</v>
      </c>
      <c r="E854">
        <v>7</v>
      </c>
      <c r="F854" t="s">
        <v>17</v>
      </c>
      <c r="G854" t="s">
        <v>70</v>
      </c>
      <c r="H854">
        <v>89</v>
      </c>
      <c r="I854">
        <v>2024</v>
      </c>
      <c r="J854">
        <v>0</v>
      </c>
      <c r="K854">
        <v>61</v>
      </c>
      <c r="L854">
        <v>5</v>
      </c>
      <c r="M854">
        <v>7392</v>
      </c>
    </row>
    <row r="855" spans="1:13">
      <c r="A855" t="s">
        <v>923</v>
      </c>
      <c r="B855" t="s">
        <v>36</v>
      </c>
      <c r="C855" t="s">
        <v>21</v>
      </c>
      <c r="D855" t="s">
        <v>27</v>
      </c>
      <c r="E855">
        <v>44</v>
      </c>
      <c r="F855" t="s">
        <v>22</v>
      </c>
      <c r="G855" t="s">
        <v>18</v>
      </c>
      <c r="H855">
        <v>79</v>
      </c>
      <c r="I855">
        <v>4866</v>
      </c>
      <c r="J855">
        <v>15.67</v>
      </c>
      <c r="K855">
        <v>78</v>
      </c>
      <c r="L855">
        <v>4</v>
      </c>
      <c r="M855">
        <v>19894</v>
      </c>
    </row>
    <row r="856" spans="1:13">
      <c r="A856" t="s">
        <v>924</v>
      </c>
      <c r="B856" t="s">
        <v>51</v>
      </c>
      <c r="C856" t="s">
        <v>52</v>
      </c>
      <c r="D856" t="s">
        <v>16</v>
      </c>
      <c r="E856">
        <v>68</v>
      </c>
      <c r="F856" t="s">
        <v>34</v>
      </c>
      <c r="G856" t="s">
        <v>18</v>
      </c>
      <c r="H856">
        <v>92</v>
      </c>
      <c r="I856">
        <v>4313</v>
      </c>
      <c r="J856">
        <v>12.56</v>
      </c>
      <c r="K856">
        <v>82</v>
      </c>
      <c r="L856">
        <v>5</v>
      </c>
      <c r="M856">
        <v>13636</v>
      </c>
    </row>
    <row r="857" spans="1:13">
      <c r="A857" t="s">
        <v>925</v>
      </c>
      <c r="B857" t="s">
        <v>68</v>
      </c>
      <c r="C857" t="s">
        <v>45</v>
      </c>
      <c r="D857" t="s">
        <v>16</v>
      </c>
      <c r="E857">
        <v>50</v>
      </c>
      <c r="F857" t="s">
        <v>17</v>
      </c>
      <c r="G857" t="s">
        <v>70</v>
      </c>
      <c r="H857">
        <v>68</v>
      </c>
      <c r="I857">
        <v>7594</v>
      </c>
      <c r="J857">
        <v>18.04</v>
      </c>
      <c r="K857">
        <v>108</v>
      </c>
      <c r="L857">
        <v>4</v>
      </c>
      <c r="M857">
        <v>21076</v>
      </c>
    </row>
    <row r="858" spans="1:13">
      <c r="A858" t="s">
        <v>926</v>
      </c>
      <c r="B858" t="s">
        <v>29</v>
      </c>
      <c r="C858" t="s">
        <v>30</v>
      </c>
      <c r="D858" t="s">
        <v>27</v>
      </c>
      <c r="E858">
        <v>1</v>
      </c>
      <c r="F858" t="s">
        <v>34</v>
      </c>
      <c r="G858" t="s">
        <v>70</v>
      </c>
      <c r="H858">
        <v>64</v>
      </c>
      <c r="I858">
        <v>2929</v>
      </c>
      <c r="J858">
        <v>18.7</v>
      </c>
      <c r="K858">
        <v>123</v>
      </c>
      <c r="L858">
        <v>3</v>
      </c>
      <c r="M858">
        <v>17441</v>
      </c>
    </row>
    <row r="859" spans="1:13">
      <c r="A859" t="s">
        <v>927</v>
      </c>
      <c r="B859" t="s">
        <v>36</v>
      </c>
      <c r="C859" t="s">
        <v>21</v>
      </c>
      <c r="D859" t="s">
        <v>27</v>
      </c>
      <c r="E859">
        <v>81</v>
      </c>
      <c r="F859" t="s">
        <v>22</v>
      </c>
      <c r="G859" t="s">
        <v>23</v>
      </c>
      <c r="H859">
        <v>85</v>
      </c>
      <c r="I859">
        <v>5655</v>
      </c>
      <c r="J859">
        <v>13.88</v>
      </c>
      <c r="K859">
        <v>101</v>
      </c>
      <c r="L859">
        <v>4</v>
      </c>
      <c r="M859">
        <v>14626</v>
      </c>
    </row>
    <row r="860" spans="1:13">
      <c r="A860" t="s">
        <v>928</v>
      </c>
      <c r="B860" t="s">
        <v>137</v>
      </c>
      <c r="C860" t="s">
        <v>26</v>
      </c>
      <c r="D860" t="s">
        <v>16</v>
      </c>
      <c r="E860">
        <v>48</v>
      </c>
      <c r="F860" t="s">
        <v>22</v>
      </c>
      <c r="G860" t="s">
        <v>18</v>
      </c>
      <c r="H860">
        <v>78</v>
      </c>
      <c r="I860">
        <v>2381</v>
      </c>
      <c r="J860">
        <v>4.5199999999999996</v>
      </c>
      <c r="K860">
        <v>72</v>
      </c>
      <c r="L860">
        <v>4</v>
      </c>
      <c r="M860">
        <v>6499</v>
      </c>
    </row>
    <row r="861" spans="1:13">
      <c r="A861" t="s">
        <v>929</v>
      </c>
      <c r="B861" t="s">
        <v>143</v>
      </c>
      <c r="C861" t="s">
        <v>21</v>
      </c>
      <c r="D861" t="s">
        <v>27</v>
      </c>
      <c r="E861">
        <v>58</v>
      </c>
      <c r="F861" t="s">
        <v>22</v>
      </c>
      <c r="G861" t="s">
        <v>49</v>
      </c>
      <c r="H861">
        <v>78</v>
      </c>
      <c r="I861">
        <v>4266</v>
      </c>
      <c r="J861">
        <v>10.19</v>
      </c>
      <c r="K861">
        <v>125</v>
      </c>
      <c r="L861">
        <v>3</v>
      </c>
      <c r="M861">
        <v>25158</v>
      </c>
    </row>
    <row r="862" spans="1:13">
      <c r="A862" t="s">
        <v>930</v>
      </c>
      <c r="B862" t="s">
        <v>42</v>
      </c>
      <c r="C862" t="s">
        <v>39</v>
      </c>
      <c r="D862" t="s">
        <v>16</v>
      </c>
      <c r="E862">
        <v>18</v>
      </c>
      <c r="F862" t="s">
        <v>34</v>
      </c>
      <c r="G862" t="s">
        <v>49</v>
      </c>
      <c r="H862">
        <v>94</v>
      </c>
      <c r="I862">
        <v>2103</v>
      </c>
      <c r="J862">
        <v>0</v>
      </c>
      <c r="K862">
        <v>36</v>
      </c>
      <c r="L862">
        <v>4</v>
      </c>
      <c r="M862">
        <v>8829</v>
      </c>
    </row>
    <row r="863" spans="1:13">
      <c r="A863" t="s">
        <v>931</v>
      </c>
      <c r="B863" t="s">
        <v>62</v>
      </c>
      <c r="C863" t="s">
        <v>52</v>
      </c>
      <c r="D863" t="s">
        <v>27</v>
      </c>
      <c r="E863">
        <v>7</v>
      </c>
      <c r="F863" t="s">
        <v>34</v>
      </c>
      <c r="G863" t="s">
        <v>40</v>
      </c>
      <c r="H863">
        <v>71</v>
      </c>
      <c r="I863">
        <v>6575</v>
      </c>
      <c r="J863">
        <v>16.510000000000002</v>
      </c>
      <c r="K863">
        <v>88</v>
      </c>
      <c r="L863">
        <v>4</v>
      </c>
      <c r="M863">
        <v>26005</v>
      </c>
    </row>
    <row r="864" spans="1:13">
      <c r="A864" t="s">
        <v>932</v>
      </c>
      <c r="B864" t="s">
        <v>68</v>
      </c>
      <c r="C864" t="s">
        <v>45</v>
      </c>
      <c r="D864" t="s">
        <v>27</v>
      </c>
      <c r="E864">
        <v>1</v>
      </c>
      <c r="F864" t="s">
        <v>22</v>
      </c>
      <c r="G864" t="s">
        <v>31</v>
      </c>
      <c r="H864">
        <v>83</v>
      </c>
      <c r="I864">
        <v>8458</v>
      </c>
      <c r="J864">
        <v>14.47</v>
      </c>
      <c r="K864">
        <v>84</v>
      </c>
      <c r="L864">
        <v>5</v>
      </c>
      <c r="M864">
        <v>29618</v>
      </c>
    </row>
    <row r="865" spans="1:13">
      <c r="A865" t="s">
        <v>933</v>
      </c>
      <c r="B865" t="s">
        <v>47</v>
      </c>
      <c r="C865" t="s">
        <v>48</v>
      </c>
      <c r="D865" t="s">
        <v>16</v>
      </c>
      <c r="E865">
        <v>17</v>
      </c>
      <c r="F865" t="s">
        <v>22</v>
      </c>
      <c r="G865" t="s">
        <v>31</v>
      </c>
      <c r="H865">
        <v>76</v>
      </c>
      <c r="I865">
        <v>5809</v>
      </c>
      <c r="J865">
        <v>12.87</v>
      </c>
      <c r="K865">
        <v>71</v>
      </c>
      <c r="L865">
        <v>3</v>
      </c>
      <c r="M865">
        <v>17112</v>
      </c>
    </row>
    <row r="866" spans="1:13">
      <c r="A866" t="s">
        <v>934</v>
      </c>
      <c r="B866" t="s">
        <v>60</v>
      </c>
      <c r="C866" t="s">
        <v>52</v>
      </c>
      <c r="D866" t="s">
        <v>27</v>
      </c>
      <c r="E866">
        <v>32</v>
      </c>
      <c r="F866" t="s">
        <v>22</v>
      </c>
      <c r="G866" t="s">
        <v>40</v>
      </c>
      <c r="H866">
        <v>86</v>
      </c>
      <c r="I866">
        <v>8576</v>
      </c>
      <c r="J866">
        <v>10.36</v>
      </c>
      <c r="K866">
        <v>84</v>
      </c>
      <c r="L866">
        <v>4</v>
      </c>
      <c r="M866">
        <v>38171</v>
      </c>
    </row>
    <row r="867" spans="1:13">
      <c r="A867" t="s">
        <v>935</v>
      </c>
      <c r="B867" t="s">
        <v>66</v>
      </c>
      <c r="C867" t="s">
        <v>39</v>
      </c>
      <c r="D867" t="s">
        <v>72</v>
      </c>
      <c r="E867">
        <v>60</v>
      </c>
      <c r="F867" t="s">
        <v>22</v>
      </c>
      <c r="G867" t="s">
        <v>18</v>
      </c>
      <c r="H867">
        <v>81</v>
      </c>
      <c r="I867">
        <v>3057</v>
      </c>
      <c r="J867">
        <v>3.94</v>
      </c>
      <c r="K867">
        <v>34</v>
      </c>
      <c r="L867">
        <v>4</v>
      </c>
      <c r="M867">
        <v>14105</v>
      </c>
    </row>
    <row r="868" spans="1:13">
      <c r="A868" t="s">
        <v>936</v>
      </c>
      <c r="B868" t="s">
        <v>38</v>
      </c>
      <c r="C868" t="s">
        <v>39</v>
      </c>
      <c r="D868" t="s">
        <v>16</v>
      </c>
      <c r="E868">
        <v>15</v>
      </c>
      <c r="F868" t="s">
        <v>22</v>
      </c>
      <c r="G868" t="s">
        <v>70</v>
      </c>
      <c r="H868">
        <v>70</v>
      </c>
      <c r="I868">
        <v>2557</v>
      </c>
      <c r="J868">
        <v>4.66</v>
      </c>
      <c r="K868">
        <v>93</v>
      </c>
      <c r="L868">
        <v>3</v>
      </c>
      <c r="M868">
        <v>14570</v>
      </c>
    </row>
    <row r="869" spans="1:13">
      <c r="A869" t="s">
        <v>937</v>
      </c>
      <c r="B869" t="s">
        <v>137</v>
      </c>
      <c r="C869" t="s">
        <v>26</v>
      </c>
      <c r="D869" t="s">
        <v>27</v>
      </c>
      <c r="E869">
        <v>17</v>
      </c>
      <c r="F869" t="s">
        <v>34</v>
      </c>
      <c r="G869" t="s">
        <v>23</v>
      </c>
      <c r="H869">
        <v>97</v>
      </c>
      <c r="I869">
        <v>3050</v>
      </c>
      <c r="J869">
        <v>3.48</v>
      </c>
      <c r="K869">
        <v>16</v>
      </c>
      <c r="L869">
        <v>5</v>
      </c>
      <c r="M869">
        <v>11191</v>
      </c>
    </row>
    <row r="870" spans="1:13">
      <c r="A870" t="s">
        <v>938</v>
      </c>
      <c r="B870" t="s">
        <v>14</v>
      </c>
      <c r="C870" t="s">
        <v>15</v>
      </c>
      <c r="D870" t="s">
        <v>27</v>
      </c>
      <c r="E870">
        <v>45</v>
      </c>
      <c r="F870" t="s">
        <v>17</v>
      </c>
      <c r="G870" t="s">
        <v>31</v>
      </c>
      <c r="H870">
        <v>78</v>
      </c>
      <c r="I870">
        <v>6901</v>
      </c>
      <c r="J870">
        <v>5.91</v>
      </c>
      <c r="K870">
        <v>106</v>
      </c>
      <c r="L870">
        <v>4</v>
      </c>
      <c r="M870">
        <v>25536</v>
      </c>
    </row>
    <row r="871" spans="1:13">
      <c r="A871" t="s">
        <v>939</v>
      </c>
      <c r="B871" t="s">
        <v>97</v>
      </c>
      <c r="C871" t="s">
        <v>30</v>
      </c>
      <c r="D871" t="s">
        <v>27</v>
      </c>
      <c r="E871">
        <v>41</v>
      </c>
      <c r="F871" t="s">
        <v>17</v>
      </c>
      <c r="G871" t="s">
        <v>40</v>
      </c>
      <c r="H871">
        <v>71</v>
      </c>
      <c r="I871">
        <v>1705</v>
      </c>
      <c r="J871">
        <v>17.61</v>
      </c>
      <c r="K871">
        <v>88</v>
      </c>
      <c r="L871">
        <v>4</v>
      </c>
      <c r="M871">
        <v>9999</v>
      </c>
    </row>
    <row r="872" spans="1:13">
      <c r="A872" t="s">
        <v>940</v>
      </c>
      <c r="B872" t="s">
        <v>135</v>
      </c>
      <c r="C872" t="s">
        <v>48</v>
      </c>
      <c r="D872" t="s">
        <v>16</v>
      </c>
      <c r="E872">
        <v>70</v>
      </c>
      <c r="F872" t="s">
        <v>22</v>
      </c>
      <c r="G872" t="s">
        <v>40</v>
      </c>
      <c r="H872">
        <v>84</v>
      </c>
      <c r="I872">
        <v>5718</v>
      </c>
      <c r="J872">
        <v>8.43</v>
      </c>
      <c r="K872">
        <v>83</v>
      </c>
      <c r="L872">
        <v>3</v>
      </c>
      <c r="M872">
        <v>31528</v>
      </c>
    </row>
    <row r="873" spans="1:13">
      <c r="A873" t="s">
        <v>941</v>
      </c>
      <c r="B873" t="s">
        <v>95</v>
      </c>
      <c r="C873" t="s">
        <v>52</v>
      </c>
      <c r="D873" t="s">
        <v>27</v>
      </c>
      <c r="E873">
        <v>37</v>
      </c>
      <c r="F873" t="s">
        <v>34</v>
      </c>
      <c r="G873" t="s">
        <v>23</v>
      </c>
      <c r="H873">
        <v>74</v>
      </c>
      <c r="I873">
        <v>8809</v>
      </c>
      <c r="J873">
        <v>21.96</v>
      </c>
      <c r="K873">
        <v>89</v>
      </c>
      <c r="L873">
        <v>3</v>
      </c>
      <c r="M873">
        <v>51200</v>
      </c>
    </row>
    <row r="874" spans="1:13">
      <c r="A874" t="s">
        <v>942</v>
      </c>
      <c r="B874" t="s">
        <v>95</v>
      </c>
      <c r="C874" t="s">
        <v>52</v>
      </c>
      <c r="D874" t="s">
        <v>27</v>
      </c>
      <c r="E874">
        <v>9</v>
      </c>
      <c r="F874" t="s">
        <v>22</v>
      </c>
      <c r="G874" t="s">
        <v>31</v>
      </c>
      <c r="H874">
        <v>86</v>
      </c>
      <c r="I874">
        <v>9075</v>
      </c>
      <c r="J874">
        <v>14.67</v>
      </c>
      <c r="K874">
        <v>62</v>
      </c>
      <c r="L874">
        <v>4</v>
      </c>
      <c r="M874">
        <v>31747</v>
      </c>
    </row>
    <row r="875" spans="1:13">
      <c r="A875" t="s">
        <v>943</v>
      </c>
      <c r="B875" t="s">
        <v>58</v>
      </c>
      <c r="C875" t="s">
        <v>48</v>
      </c>
      <c r="D875" t="s">
        <v>16</v>
      </c>
      <c r="E875">
        <v>59</v>
      </c>
      <c r="F875" t="s">
        <v>34</v>
      </c>
      <c r="G875" t="s">
        <v>70</v>
      </c>
      <c r="H875">
        <v>97</v>
      </c>
      <c r="I875">
        <v>5810</v>
      </c>
      <c r="J875">
        <v>9.86</v>
      </c>
      <c r="K875">
        <v>61</v>
      </c>
      <c r="L875">
        <v>5</v>
      </c>
      <c r="M875">
        <v>29341</v>
      </c>
    </row>
    <row r="876" spans="1:13">
      <c r="A876" t="s">
        <v>944</v>
      </c>
      <c r="B876" t="s">
        <v>42</v>
      </c>
      <c r="C876" t="s">
        <v>39</v>
      </c>
      <c r="D876" t="s">
        <v>27</v>
      </c>
      <c r="E876">
        <v>17</v>
      </c>
      <c r="F876" t="s">
        <v>22</v>
      </c>
      <c r="G876" t="s">
        <v>40</v>
      </c>
      <c r="H876">
        <v>76</v>
      </c>
      <c r="I876">
        <v>3746</v>
      </c>
      <c r="J876">
        <v>16.93</v>
      </c>
      <c r="K876">
        <v>28</v>
      </c>
      <c r="L876">
        <v>4</v>
      </c>
      <c r="M876">
        <v>10474</v>
      </c>
    </row>
    <row r="877" spans="1:13">
      <c r="A877" t="s">
        <v>945</v>
      </c>
      <c r="B877" t="s">
        <v>95</v>
      </c>
      <c r="C877" t="s">
        <v>52</v>
      </c>
      <c r="D877" t="s">
        <v>16</v>
      </c>
      <c r="E877">
        <v>39</v>
      </c>
      <c r="F877" t="s">
        <v>34</v>
      </c>
      <c r="G877" t="s">
        <v>18</v>
      </c>
      <c r="H877">
        <v>84</v>
      </c>
      <c r="I877">
        <v>9983</v>
      </c>
      <c r="J877">
        <v>14</v>
      </c>
      <c r="K877">
        <v>71</v>
      </c>
      <c r="L877">
        <v>4</v>
      </c>
      <c r="M877">
        <v>37220</v>
      </c>
    </row>
    <row r="878" spans="1:13">
      <c r="A878" t="s">
        <v>946</v>
      </c>
      <c r="B878" t="s">
        <v>42</v>
      </c>
      <c r="C878" t="s">
        <v>39</v>
      </c>
      <c r="D878" t="s">
        <v>16</v>
      </c>
      <c r="E878">
        <v>11</v>
      </c>
      <c r="F878" t="s">
        <v>22</v>
      </c>
      <c r="G878" t="s">
        <v>18</v>
      </c>
      <c r="H878">
        <v>84</v>
      </c>
      <c r="I878">
        <v>3081</v>
      </c>
      <c r="J878">
        <v>8.1</v>
      </c>
      <c r="K878">
        <v>30</v>
      </c>
      <c r="L878">
        <v>5</v>
      </c>
      <c r="M878">
        <v>16648</v>
      </c>
    </row>
    <row r="879" spans="1:13">
      <c r="A879" t="s">
        <v>947</v>
      </c>
      <c r="B879" t="s">
        <v>62</v>
      </c>
      <c r="C879" t="s">
        <v>52</v>
      </c>
      <c r="D879" t="s">
        <v>27</v>
      </c>
      <c r="E879">
        <v>50</v>
      </c>
      <c r="F879" t="s">
        <v>22</v>
      </c>
      <c r="G879" t="s">
        <v>23</v>
      </c>
      <c r="H879">
        <v>91</v>
      </c>
      <c r="I879">
        <v>10775</v>
      </c>
      <c r="J879">
        <v>10.1</v>
      </c>
      <c r="K879">
        <v>82</v>
      </c>
      <c r="L879">
        <v>4</v>
      </c>
      <c r="M879">
        <v>43892</v>
      </c>
    </row>
    <row r="880" spans="1:13">
      <c r="A880" t="s">
        <v>948</v>
      </c>
      <c r="B880" t="s">
        <v>143</v>
      </c>
      <c r="C880" t="s">
        <v>21</v>
      </c>
      <c r="D880" t="s">
        <v>16</v>
      </c>
      <c r="E880">
        <v>45</v>
      </c>
      <c r="F880" t="s">
        <v>17</v>
      </c>
      <c r="G880" t="s">
        <v>70</v>
      </c>
      <c r="H880">
        <v>84</v>
      </c>
      <c r="I880">
        <v>8278</v>
      </c>
      <c r="J880">
        <v>15.5</v>
      </c>
      <c r="K880">
        <v>62</v>
      </c>
      <c r="L880">
        <v>5</v>
      </c>
      <c r="M880">
        <v>23980</v>
      </c>
    </row>
    <row r="881" spans="1:13">
      <c r="A881" t="s">
        <v>949</v>
      </c>
      <c r="B881" t="s">
        <v>187</v>
      </c>
      <c r="C881" t="s">
        <v>30</v>
      </c>
      <c r="D881" t="s">
        <v>27</v>
      </c>
      <c r="E881">
        <v>45</v>
      </c>
      <c r="F881" t="s">
        <v>34</v>
      </c>
      <c r="G881" t="s">
        <v>18</v>
      </c>
      <c r="H881">
        <v>63</v>
      </c>
      <c r="I881">
        <v>3423</v>
      </c>
      <c r="J881">
        <v>16.489999999999998</v>
      </c>
      <c r="K881">
        <v>146</v>
      </c>
      <c r="L881">
        <v>3</v>
      </c>
      <c r="M881">
        <v>17498</v>
      </c>
    </row>
    <row r="882" spans="1:13">
      <c r="A882" t="s">
        <v>950</v>
      </c>
      <c r="B882" t="s">
        <v>84</v>
      </c>
      <c r="C882" t="s">
        <v>21</v>
      </c>
      <c r="D882" t="s">
        <v>16</v>
      </c>
      <c r="E882">
        <v>78</v>
      </c>
      <c r="F882" t="s">
        <v>17</v>
      </c>
      <c r="G882" t="s">
        <v>40</v>
      </c>
      <c r="H882">
        <v>69</v>
      </c>
      <c r="I882">
        <v>6811</v>
      </c>
      <c r="J882">
        <v>16.95</v>
      </c>
      <c r="K882">
        <v>102</v>
      </c>
      <c r="L882">
        <v>4</v>
      </c>
      <c r="M882">
        <v>17058</v>
      </c>
    </row>
    <row r="883" spans="1:13">
      <c r="A883" t="s">
        <v>951</v>
      </c>
      <c r="B883" t="s">
        <v>68</v>
      </c>
      <c r="C883" t="s">
        <v>45</v>
      </c>
      <c r="D883" t="s">
        <v>27</v>
      </c>
      <c r="E883">
        <v>46</v>
      </c>
      <c r="F883" t="s">
        <v>34</v>
      </c>
      <c r="G883" t="s">
        <v>49</v>
      </c>
      <c r="H883">
        <v>75</v>
      </c>
      <c r="I883">
        <v>7504</v>
      </c>
      <c r="J883">
        <v>24.05</v>
      </c>
      <c r="K883">
        <v>74</v>
      </c>
      <c r="L883">
        <v>4</v>
      </c>
      <c r="M883">
        <v>20708</v>
      </c>
    </row>
    <row r="884" spans="1:13">
      <c r="A884" t="s">
        <v>952</v>
      </c>
      <c r="B884" t="s">
        <v>29</v>
      </c>
      <c r="C884" t="s">
        <v>30</v>
      </c>
      <c r="D884" t="s">
        <v>16</v>
      </c>
      <c r="E884">
        <v>53</v>
      </c>
      <c r="F884" t="s">
        <v>34</v>
      </c>
      <c r="G884" t="s">
        <v>70</v>
      </c>
      <c r="H884">
        <v>68</v>
      </c>
      <c r="I884">
        <v>3876</v>
      </c>
      <c r="J884">
        <v>19.23</v>
      </c>
      <c r="K884">
        <v>102</v>
      </c>
      <c r="L884">
        <v>4</v>
      </c>
      <c r="M884">
        <v>17561</v>
      </c>
    </row>
    <row r="885" spans="1:13">
      <c r="A885" t="s">
        <v>953</v>
      </c>
      <c r="B885" t="s">
        <v>38</v>
      </c>
      <c r="C885" t="s">
        <v>39</v>
      </c>
      <c r="D885" t="s">
        <v>16</v>
      </c>
      <c r="E885">
        <v>39</v>
      </c>
      <c r="F885" t="s">
        <v>34</v>
      </c>
      <c r="G885" t="s">
        <v>49</v>
      </c>
      <c r="H885">
        <v>73</v>
      </c>
      <c r="I885">
        <v>2384</v>
      </c>
      <c r="J885">
        <v>10.24</v>
      </c>
      <c r="K885">
        <v>72</v>
      </c>
      <c r="L885">
        <v>4</v>
      </c>
      <c r="M885">
        <v>7722</v>
      </c>
    </row>
    <row r="886" spans="1:13">
      <c r="A886" t="s">
        <v>954</v>
      </c>
      <c r="B886" t="s">
        <v>60</v>
      </c>
      <c r="C886" t="s">
        <v>52</v>
      </c>
      <c r="D886" t="s">
        <v>16</v>
      </c>
      <c r="E886">
        <v>26</v>
      </c>
      <c r="F886" t="s">
        <v>22</v>
      </c>
      <c r="G886" t="s">
        <v>18</v>
      </c>
      <c r="H886">
        <v>76</v>
      </c>
      <c r="I886">
        <v>7657</v>
      </c>
      <c r="J886">
        <v>17.350000000000001</v>
      </c>
      <c r="K886">
        <v>69</v>
      </c>
      <c r="L886">
        <v>3</v>
      </c>
      <c r="M886">
        <v>27732</v>
      </c>
    </row>
    <row r="887" spans="1:13">
      <c r="A887" t="s">
        <v>955</v>
      </c>
      <c r="B887" t="s">
        <v>137</v>
      </c>
      <c r="C887" t="s">
        <v>26</v>
      </c>
      <c r="D887" t="s">
        <v>16</v>
      </c>
      <c r="E887">
        <v>66</v>
      </c>
      <c r="F887" t="s">
        <v>17</v>
      </c>
      <c r="G887" t="s">
        <v>40</v>
      </c>
      <c r="H887">
        <v>88</v>
      </c>
      <c r="I887">
        <v>1911</v>
      </c>
      <c r="J887">
        <v>5.91</v>
      </c>
      <c r="K887">
        <v>41</v>
      </c>
      <c r="L887">
        <v>5</v>
      </c>
      <c r="M887">
        <v>9129</v>
      </c>
    </row>
    <row r="888" spans="1:13">
      <c r="A888" t="s">
        <v>956</v>
      </c>
      <c r="B888" t="s">
        <v>60</v>
      </c>
      <c r="C888" t="s">
        <v>52</v>
      </c>
      <c r="D888" t="s">
        <v>16</v>
      </c>
      <c r="E888">
        <v>42</v>
      </c>
      <c r="F888" t="s">
        <v>34</v>
      </c>
      <c r="G888" t="s">
        <v>40</v>
      </c>
      <c r="H888">
        <v>87</v>
      </c>
      <c r="I888">
        <v>8399</v>
      </c>
      <c r="J888">
        <v>15.6</v>
      </c>
      <c r="K888">
        <v>99</v>
      </c>
      <c r="L888">
        <v>4</v>
      </c>
      <c r="M888">
        <v>30568</v>
      </c>
    </row>
    <row r="889" spans="1:13">
      <c r="A889" t="s">
        <v>957</v>
      </c>
      <c r="B889" t="s">
        <v>135</v>
      </c>
      <c r="C889" t="s">
        <v>48</v>
      </c>
      <c r="D889" t="s">
        <v>16</v>
      </c>
      <c r="E889">
        <v>42</v>
      </c>
      <c r="F889" t="s">
        <v>22</v>
      </c>
      <c r="G889" t="s">
        <v>49</v>
      </c>
      <c r="H889">
        <v>80</v>
      </c>
      <c r="I889">
        <v>5336</v>
      </c>
      <c r="J889">
        <v>12.61</v>
      </c>
      <c r="K889">
        <v>69</v>
      </c>
      <c r="L889">
        <v>4</v>
      </c>
      <c r="M889">
        <v>19553</v>
      </c>
    </row>
    <row r="890" spans="1:13">
      <c r="A890" t="s">
        <v>958</v>
      </c>
      <c r="B890" t="s">
        <v>44</v>
      </c>
      <c r="C890" t="s">
        <v>45</v>
      </c>
      <c r="D890" t="s">
        <v>16</v>
      </c>
      <c r="E890">
        <v>12</v>
      </c>
      <c r="F890" t="s">
        <v>22</v>
      </c>
      <c r="G890" t="s">
        <v>23</v>
      </c>
      <c r="H890">
        <v>70</v>
      </c>
      <c r="I890">
        <v>9904</v>
      </c>
      <c r="J890">
        <v>13.44</v>
      </c>
      <c r="K890">
        <v>86</v>
      </c>
      <c r="L890">
        <v>4</v>
      </c>
      <c r="M890">
        <v>35838</v>
      </c>
    </row>
    <row r="891" spans="1:13">
      <c r="A891" t="s">
        <v>959</v>
      </c>
      <c r="B891" t="s">
        <v>80</v>
      </c>
      <c r="C891" t="s">
        <v>15</v>
      </c>
      <c r="D891" t="s">
        <v>27</v>
      </c>
      <c r="E891">
        <v>30</v>
      </c>
      <c r="F891" t="s">
        <v>22</v>
      </c>
      <c r="G891" t="s">
        <v>49</v>
      </c>
      <c r="H891">
        <v>79</v>
      </c>
      <c r="I891">
        <v>7824</v>
      </c>
      <c r="J891">
        <v>18.91</v>
      </c>
      <c r="K891">
        <v>88</v>
      </c>
      <c r="L891">
        <v>4</v>
      </c>
      <c r="M891">
        <v>37890</v>
      </c>
    </row>
    <row r="892" spans="1:13">
      <c r="A892" t="s">
        <v>960</v>
      </c>
      <c r="B892" t="s">
        <v>51</v>
      </c>
      <c r="C892" t="s">
        <v>52</v>
      </c>
      <c r="D892" t="s">
        <v>16</v>
      </c>
      <c r="E892">
        <v>89</v>
      </c>
      <c r="F892" t="s">
        <v>34</v>
      </c>
      <c r="G892" t="s">
        <v>70</v>
      </c>
      <c r="H892">
        <v>80</v>
      </c>
      <c r="I892">
        <v>8175</v>
      </c>
      <c r="J892">
        <v>12.33</v>
      </c>
      <c r="K892">
        <v>72</v>
      </c>
      <c r="L892">
        <v>5</v>
      </c>
      <c r="M892">
        <v>30666</v>
      </c>
    </row>
    <row r="893" spans="1:13">
      <c r="A893" t="s">
        <v>961</v>
      </c>
      <c r="B893" t="s">
        <v>88</v>
      </c>
      <c r="C893" t="s">
        <v>15</v>
      </c>
      <c r="D893" t="s">
        <v>27</v>
      </c>
      <c r="E893">
        <v>62</v>
      </c>
      <c r="F893" t="s">
        <v>22</v>
      </c>
      <c r="G893" t="s">
        <v>40</v>
      </c>
      <c r="H893">
        <v>85</v>
      </c>
      <c r="I893">
        <v>8050</v>
      </c>
      <c r="J893">
        <v>17.559999999999999</v>
      </c>
      <c r="K893">
        <v>58</v>
      </c>
      <c r="L893">
        <v>4</v>
      </c>
      <c r="M893">
        <v>35941</v>
      </c>
    </row>
    <row r="894" spans="1:13">
      <c r="A894" t="s">
        <v>962</v>
      </c>
      <c r="B894" t="s">
        <v>29</v>
      </c>
      <c r="C894" t="s">
        <v>30</v>
      </c>
      <c r="D894" t="s">
        <v>16</v>
      </c>
      <c r="E894">
        <v>46</v>
      </c>
      <c r="F894" t="s">
        <v>34</v>
      </c>
      <c r="G894" t="s">
        <v>49</v>
      </c>
      <c r="H894">
        <v>69</v>
      </c>
      <c r="I894">
        <v>5349</v>
      </c>
      <c r="J894">
        <v>20.39</v>
      </c>
      <c r="K894">
        <v>130</v>
      </c>
      <c r="L894">
        <v>4</v>
      </c>
      <c r="M894">
        <v>24884</v>
      </c>
    </row>
    <row r="895" spans="1:13">
      <c r="A895" t="s">
        <v>963</v>
      </c>
      <c r="B895" t="s">
        <v>168</v>
      </c>
      <c r="C895" t="s">
        <v>45</v>
      </c>
      <c r="D895" t="s">
        <v>27</v>
      </c>
      <c r="E895">
        <v>26</v>
      </c>
      <c r="F895" t="s">
        <v>22</v>
      </c>
      <c r="G895" t="s">
        <v>18</v>
      </c>
      <c r="H895">
        <v>67</v>
      </c>
      <c r="I895">
        <v>10371</v>
      </c>
      <c r="J895">
        <v>20.3</v>
      </c>
      <c r="K895">
        <v>94</v>
      </c>
      <c r="L895">
        <v>3</v>
      </c>
      <c r="M895">
        <v>56339</v>
      </c>
    </row>
    <row r="896" spans="1:13">
      <c r="A896" t="s">
        <v>964</v>
      </c>
      <c r="B896" t="s">
        <v>42</v>
      </c>
      <c r="C896" t="s">
        <v>39</v>
      </c>
      <c r="D896" t="s">
        <v>27</v>
      </c>
      <c r="E896">
        <v>56</v>
      </c>
      <c r="F896" t="s">
        <v>17</v>
      </c>
      <c r="G896" t="s">
        <v>18</v>
      </c>
      <c r="H896">
        <v>95</v>
      </c>
      <c r="I896">
        <v>3110</v>
      </c>
      <c r="J896">
        <v>9.81</v>
      </c>
      <c r="K896">
        <v>29</v>
      </c>
      <c r="L896">
        <v>4</v>
      </c>
      <c r="M896">
        <v>11519</v>
      </c>
    </row>
    <row r="897" spans="1:13">
      <c r="A897" t="s">
        <v>965</v>
      </c>
      <c r="B897" t="s">
        <v>109</v>
      </c>
      <c r="C897" t="s">
        <v>30</v>
      </c>
      <c r="D897" t="s">
        <v>27</v>
      </c>
      <c r="E897">
        <v>59</v>
      </c>
      <c r="F897" t="s">
        <v>22</v>
      </c>
      <c r="G897" t="s">
        <v>18</v>
      </c>
      <c r="H897">
        <v>70</v>
      </c>
      <c r="I897">
        <v>3188</v>
      </c>
      <c r="J897">
        <v>17.43</v>
      </c>
      <c r="K897">
        <v>135</v>
      </c>
      <c r="L897">
        <v>3</v>
      </c>
      <c r="M897">
        <v>16472</v>
      </c>
    </row>
    <row r="898" spans="1:13">
      <c r="A898" t="s">
        <v>966</v>
      </c>
      <c r="B898" t="s">
        <v>25</v>
      </c>
      <c r="C898" t="s">
        <v>26</v>
      </c>
      <c r="D898" t="s">
        <v>27</v>
      </c>
      <c r="E898">
        <v>69</v>
      </c>
      <c r="F898" t="s">
        <v>22</v>
      </c>
      <c r="G898" t="s">
        <v>31</v>
      </c>
      <c r="H898">
        <v>86</v>
      </c>
      <c r="I898">
        <v>2452</v>
      </c>
      <c r="J898">
        <v>3.67</v>
      </c>
      <c r="K898">
        <v>47</v>
      </c>
      <c r="L898">
        <v>4</v>
      </c>
      <c r="M898">
        <v>6751</v>
      </c>
    </row>
    <row r="899" spans="1:13">
      <c r="A899" t="s">
        <v>967</v>
      </c>
      <c r="B899" t="s">
        <v>25</v>
      </c>
      <c r="C899" t="s">
        <v>26</v>
      </c>
      <c r="D899" t="s">
        <v>16</v>
      </c>
      <c r="E899">
        <v>42</v>
      </c>
      <c r="F899" t="s">
        <v>17</v>
      </c>
      <c r="G899" t="s">
        <v>23</v>
      </c>
      <c r="H899">
        <v>86</v>
      </c>
      <c r="I899">
        <v>2516</v>
      </c>
      <c r="J899">
        <v>6.21</v>
      </c>
      <c r="K899">
        <v>60</v>
      </c>
      <c r="L899">
        <v>4</v>
      </c>
      <c r="M899">
        <v>7520</v>
      </c>
    </row>
    <row r="900" spans="1:13">
      <c r="A900" t="s">
        <v>968</v>
      </c>
      <c r="B900" t="s">
        <v>56</v>
      </c>
      <c r="C900" t="s">
        <v>45</v>
      </c>
      <c r="D900" t="s">
        <v>27</v>
      </c>
      <c r="E900">
        <v>41</v>
      </c>
      <c r="F900" t="s">
        <v>17</v>
      </c>
      <c r="G900" t="s">
        <v>23</v>
      </c>
      <c r="H900">
        <v>70</v>
      </c>
      <c r="I900">
        <v>9129</v>
      </c>
      <c r="J900">
        <v>19.95</v>
      </c>
      <c r="K900">
        <v>77</v>
      </c>
      <c r="L900">
        <v>4</v>
      </c>
      <c r="M900">
        <v>22847</v>
      </c>
    </row>
    <row r="901" spans="1:13">
      <c r="A901" t="s">
        <v>969</v>
      </c>
      <c r="B901" t="s">
        <v>129</v>
      </c>
      <c r="C901" t="s">
        <v>21</v>
      </c>
      <c r="D901" t="s">
        <v>16</v>
      </c>
      <c r="E901">
        <v>59</v>
      </c>
      <c r="F901" t="s">
        <v>22</v>
      </c>
      <c r="G901" t="s">
        <v>18</v>
      </c>
      <c r="H901">
        <v>79</v>
      </c>
      <c r="I901">
        <v>7311</v>
      </c>
      <c r="J901">
        <v>10.6</v>
      </c>
      <c r="K901">
        <v>94</v>
      </c>
      <c r="L901">
        <v>4</v>
      </c>
      <c r="M901">
        <v>22472</v>
      </c>
    </row>
    <row r="902" spans="1:13">
      <c r="A902" t="s">
        <v>970</v>
      </c>
      <c r="B902" t="s">
        <v>122</v>
      </c>
      <c r="C902" t="s">
        <v>48</v>
      </c>
      <c r="D902" t="s">
        <v>27</v>
      </c>
      <c r="E902">
        <v>27</v>
      </c>
      <c r="F902" t="s">
        <v>22</v>
      </c>
      <c r="G902" t="s">
        <v>70</v>
      </c>
      <c r="H902">
        <v>81</v>
      </c>
      <c r="I902">
        <v>8805</v>
      </c>
      <c r="J902">
        <v>8.56</v>
      </c>
      <c r="K902">
        <v>96</v>
      </c>
      <c r="L902">
        <v>4</v>
      </c>
      <c r="M902">
        <v>31339</v>
      </c>
    </row>
    <row r="903" spans="1:13">
      <c r="A903" t="s">
        <v>971</v>
      </c>
      <c r="B903" t="s">
        <v>25</v>
      </c>
      <c r="C903" t="s">
        <v>26</v>
      </c>
      <c r="D903" t="s">
        <v>27</v>
      </c>
      <c r="E903">
        <v>25</v>
      </c>
      <c r="F903" t="s">
        <v>22</v>
      </c>
      <c r="G903" t="s">
        <v>23</v>
      </c>
      <c r="H903">
        <v>77</v>
      </c>
      <c r="I903">
        <v>2119</v>
      </c>
      <c r="J903">
        <v>6.54</v>
      </c>
      <c r="K903">
        <v>54</v>
      </c>
      <c r="L903">
        <v>4</v>
      </c>
      <c r="M903">
        <v>10847</v>
      </c>
    </row>
    <row r="904" spans="1:13">
      <c r="A904" t="s">
        <v>972</v>
      </c>
      <c r="B904" t="s">
        <v>29</v>
      </c>
      <c r="C904" t="s">
        <v>30</v>
      </c>
      <c r="D904" t="s">
        <v>27</v>
      </c>
      <c r="E904">
        <v>56</v>
      </c>
      <c r="F904" t="s">
        <v>22</v>
      </c>
      <c r="G904" t="s">
        <v>49</v>
      </c>
      <c r="H904">
        <v>69</v>
      </c>
      <c r="I904">
        <v>3419</v>
      </c>
      <c r="J904">
        <v>18.59</v>
      </c>
      <c r="K904">
        <v>103</v>
      </c>
      <c r="L904">
        <v>4</v>
      </c>
      <c r="M904">
        <v>13232</v>
      </c>
    </row>
    <row r="905" spans="1:13">
      <c r="A905" t="s">
        <v>973</v>
      </c>
      <c r="B905" t="s">
        <v>109</v>
      </c>
      <c r="C905" t="s">
        <v>30</v>
      </c>
      <c r="D905" t="s">
        <v>27</v>
      </c>
      <c r="E905">
        <v>64</v>
      </c>
      <c r="F905" t="s">
        <v>22</v>
      </c>
      <c r="G905" t="s">
        <v>23</v>
      </c>
      <c r="H905">
        <v>63</v>
      </c>
      <c r="I905">
        <v>2490</v>
      </c>
      <c r="J905">
        <v>21.31</v>
      </c>
      <c r="K905">
        <v>135</v>
      </c>
      <c r="L905">
        <v>3</v>
      </c>
      <c r="M905">
        <v>12491</v>
      </c>
    </row>
    <row r="906" spans="1:13">
      <c r="A906" t="s">
        <v>974</v>
      </c>
      <c r="B906" t="s">
        <v>150</v>
      </c>
      <c r="C906" t="s">
        <v>48</v>
      </c>
      <c r="D906" t="s">
        <v>16</v>
      </c>
      <c r="E906">
        <v>82</v>
      </c>
      <c r="F906" t="s">
        <v>34</v>
      </c>
      <c r="G906" t="s">
        <v>70</v>
      </c>
      <c r="H906">
        <v>87</v>
      </c>
      <c r="I906">
        <v>5037</v>
      </c>
      <c r="J906">
        <v>7.41</v>
      </c>
      <c r="K906">
        <v>75</v>
      </c>
      <c r="L906">
        <v>4</v>
      </c>
      <c r="M906">
        <v>28411</v>
      </c>
    </row>
    <row r="907" spans="1:13">
      <c r="A907" t="s">
        <v>975</v>
      </c>
      <c r="B907" t="s">
        <v>103</v>
      </c>
      <c r="C907" t="s">
        <v>26</v>
      </c>
      <c r="D907" t="s">
        <v>16</v>
      </c>
      <c r="E907">
        <v>1</v>
      </c>
      <c r="F907" t="s">
        <v>17</v>
      </c>
      <c r="G907" t="s">
        <v>70</v>
      </c>
      <c r="H907">
        <v>91</v>
      </c>
      <c r="I907">
        <v>1430</v>
      </c>
      <c r="J907">
        <v>4.42</v>
      </c>
      <c r="K907">
        <v>68</v>
      </c>
      <c r="L907">
        <v>5</v>
      </c>
      <c r="M907">
        <v>4672</v>
      </c>
    </row>
    <row r="908" spans="1:13">
      <c r="A908" t="s">
        <v>976</v>
      </c>
      <c r="B908" t="s">
        <v>84</v>
      </c>
      <c r="C908" t="s">
        <v>21</v>
      </c>
      <c r="D908" t="s">
        <v>27</v>
      </c>
      <c r="E908">
        <v>82</v>
      </c>
      <c r="F908" t="s">
        <v>22</v>
      </c>
      <c r="G908" t="s">
        <v>70</v>
      </c>
      <c r="H908">
        <v>84</v>
      </c>
      <c r="I908">
        <v>5495</v>
      </c>
      <c r="J908">
        <v>11.52</v>
      </c>
      <c r="K908">
        <v>72</v>
      </c>
      <c r="L908">
        <v>4</v>
      </c>
      <c r="M908">
        <v>18679</v>
      </c>
    </row>
    <row r="909" spans="1:13">
      <c r="A909" t="s">
        <v>977</v>
      </c>
      <c r="B909" t="s">
        <v>135</v>
      </c>
      <c r="C909" t="s">
        <v>48</v>
      </c>
      <c r="D909" t="s">
        <v>27</v>
      </c>
      <c r="E909">
        <v>15</v>
      </c>
      <c r="F909" t="s">
        <v>22</v>
      </c>
      <c r="G909" t="s">
        <v>31</v>
      </c>
      <c r="H909">
        <v>71</v>
      </c>
      <c r="I909">
        <v>3988</v>
      </c>
      <c r="J909">
        <v>12.43</v>
      </c>
      <c r="K909">
        <v>67</v>
      </c>
      <c r="L909">
        <v>4</v>
      </c>
      <c r="M909">
        <v>15290</v>
      </c>
    </row>
    <row r="910" spans="1:13">
      <c r="A910" t="s">
        <v>978</v>
      </c>
      <c r="B910" t="s">
        <v>38</v>
      </c>
      <c r="C910" t="s">
        <v>39</v>
      </c>
      <c r="D910" t="s">
        <v>16</v>
      </c>
      <c r="E910">
        <v>76</v>
      </c>
      <c r="F910" t="s">
        <v>22</v>
      </c>
      <c r="G910" t="s">
        <v>18</v>
      </c>
      <c r="H910">
        <v>85</v>
      </c>
      <c r="I910">
        <v>3681</v>
      </c>
      <c r="J910">
        <v>7.38</v>
      </c>
      <c r="K910">
        <v>47</v>
      </c>
      <c r="L910">
        <v>4</v>
      </c>
      <c r="M910">
        <v>16426</v>
      </c>
    </row>
    <row r="911" spans="1:13">
      <c r="A911" t="s">
        <v>979</v>
      </c>
      <c r="B911" t="s">
        <v>14</v>
      </c>
      <c r="C911" t="s">
        <v>15</v>
      </c>
      <c r="D911" t="s">
        <v>27</v>
      </c>
      <c r="E911">
        <v>18</v>
      </c>
      <c r="F911" t="s">
        <v>22</v>
      </c>
      <c r="G911" t="s">
        <v>70</v>
      </c>
      <c r="H911">
        <v>75</v>
      </c>
      <c r="I911">
        <v>10133</v>
      </c>
      <c r="J911">
        <v>12.24</v>
      </c>
      <c r="K911">
        <v>77</v>
      </c>
      <c r="L911">
        <v>4</v>
      </c>
      <c r="M911">
        <v>56155</v>
      </c>
    </row>
    <row r="912" spans="1:13">
      <c r="A912" t="s">
        <v>980</v>
      </c>
      <c r="B912" t="s">
        <v>80</v>
      </c>
      <c r="C912" t="s">
        <v>15</v>
      </c>
      <c r="D912" t="s">
        <v>27</v>
      </c>
      <c r="E912">
        <v>10</v>
      </c>
      <c r="F912" t="s">
        <v>22</v>
      </c>
      <c r="G912" t="s">
        <v>31</v>
      </c>
      <c r="H912">
        <v>75</v>
      </c>
      <c r="I912">
        <v>6914</v>
      </c>
      <c r="J912">
        <v>13</v>
      </c>
      <c r="K912">
        <v>124</v>
      </c>
      <c r="L912">
        <v>4</v>
      </c>
      <c r="M912">
        <v>37422</v>
      </c>
    </row>
    <row r="913" spans="1:13">
      <c r="A913" t="s">
        <v>981</v>
      </c>
      <c r="B913" t="s">
        <v>66</v>
      </c>
      <c r="C913" t="s">
        <v>39</v>
      </c>
      <c r="D913" t="s">
        <v>27</v>
      </c>
      <c r="E913">
        <v>13</v>
      </c>
      <c r="F913" t="s">
        <v>22</v>
      </c>
      <c r="G913" t="s">
        <v>49</v>
      </c>
      <c r="H913">
        <v>82</v>
      </c>
      <c r="I913">
        <v>3588</v>
      </c>
      <c r="J913">
        <v>10.68</v>
      </c>
      <c r="K913">
        <v>59</v>
      </c>
      <c r="L913">
        <v>3</v>
      </c>
      <c r="M913">
        <v>14258</v>
      </c>
    </row>
    <row r="914" spans="1:13">
      <c r="A914" t="s">
        <v>982</v>
      </c>
      <c r="B914" t="s">
        <v>143</v>
      </c>
      <c r="C914" t="s">
        <v>21</v>
      </c>
      <c r="D914" t="s">
        <v>27</v>
      </c>
      <c r="E914">
        <v>16</v>
      </c>
      <c r="F914" t="s">
        <v>22</v>
      </c>
      <c r="G914" t="s">
        <v>40</v>
      </c>
      <c r="H914">
        <v>75</v>
      </c>
      <c r="I914">
        <v>6111</v>
      </c>
      <c r="J914">
        <v>13.57</v>
      </c>
      <c r="K914">
        <v>80</v>
      </c>
      <c r="L914">
        <v>3</v>
      </c>
      <c r="M914">
        <v>22931</v>
      </c>
    </row>
    <row r="915" spans="1:13">
      <c r="A915" t="s">
        <v>983</v>
      </c>
      <c r="B915" t="s">
        <v>51</v>
      </c>
      <c r="C915" t="s">
        <v>52</v>
      </c>
      <c r="D915" t="s">
        <v>27</v>
      </c>
      <c r="E915">
        <v>46</v>
      </c>
      <c r="F915" t="s">
        <v>22</v>
      </c>
      <c r="G915" t="s">
        <v>23</v>
      </c>
      <c r="H915">
        <v>82</v>
      </c>
      <c r="I915">
        <v>11287</v>
      </c>
      <c r="J915">
        <v>16.329999999999998</v>
      </c>
      <c r="K915">
        <v>99</v>
      </c>
      <c r="L915">
        <v>4</v>
      </c>
      <c r="M915">
        <v>29986</v>
      </c>
    </row>
    <row r="916" spans="1:13">
      <c r="A916" t="s">
        <v>984</v>
      </c>
      <c r="B916" t="s">
        <v>44</v>
      </c>
      <c r="C916" t="s">
        <v>45</v>
      </c>
      <c r="D916" t="s">
        <v>27</v>
      </c>
      <c r="E916">
        <v>43</v>
      </c>
      <c r="F916" t="s">
        <v>22</v>
      </c>
      <c r="G916" t="s">
        <v>23</v>
      </c>
      <c r="H916">
        <v>74</v>
      </c>
      <c r="I916">
        <v>10770</v>
      </c>
      <c r="J916">
        <v>17.5</v>
      </c>
      <c r="K916">
        <v>81</v>
      </c>
      <c r="L916">
        <v>3</v>
      </c>
      <c r="M916">
        <v>38859</v>
      </c>
    </row>
    <row r="917" spans="1:13">
      <c r="A917" t="s">
        <v>985</v>
      </c>
      <c r="B917" t="s">
        <v>58</v>
      </c>
      <c r="C917" t="s">
        <v>48</v>
      </c>
      <c r="D917" t="s">
        <v>27</v>
      </c>
      <c r="E917">
        <v>23</v>
      </c>
      <c r="F917" t="s">
        <v>22</v>
      </c>
      <c r="G917" t="s">
        <v>70</v>
      </c>
      <c r="H917">
        <v>78</v>
      </c>
      <c r="I917">
        <v>7705</v>
      </c>
      <c r="J917">
        <v>12.07</v>
      </c>
      <c r="K917">
        <v>68</v>
      </c>
      <c r="L917">
        <v>3</v>
      </c>
      <c r="M917">
        <v>42151</v>
      </c>
    </row>
    <row r="918" spans="1:13">
      <c r="A918" t="s">
        <v>986</v>
      </c>
      <c r="B918" t="s">
        <v>25</v>
      </c>
      <c r="C918" t="s">
        <v>39</v>
      </c>
      <c r="D918" t="s">
        <v>27</v>
      </c>
      <c r="E918">
        <v>17</v>
      </c>
      <c r="F918" t="s">
        <v>22</v>
      </c>
      <c r="G918" t="s">
        <v>18</v>
      </c>
      <c r="H918">
        <v>72</v>
      </c>
      <c r="I918">
        <v>3312</v>
      </c>
      <c r="J918">
        <v>6.69</v>
      </c>
      <c r="K918">
        <v>97</v>
      </c>
      <c r="L918">
        <v>4</v>
      </c>
      <c r="M918">
        <v>11399</v>
      </c>
    </row>
    <row r="919" spans="1:13">
      <c r="A919" t="s">
        <v>987</v>
      </c>
      <c r="B919" t="s">
        <v>80</v>
      </c>
      <c r="C919" t="s">
        <v>15</v>
      </c>
      <c r="D919" t="s">
        <v>16</v>
      </c>
      <c r="E919">
        <v>35</v>
      </c>
      <c r="F919" t="s">
        <v>17</v>
      </c>
      <c r="G919" t="s">
        <v>40</v>
      </c>
      <c r="H919">
        <v>78</v>
      </c>
      <c r="I919">
        <v>8461</v>
      </c>
      <c r="J919">
        <v>15.91</v>
      </c>
      <c r="K919">
        <v>110</v>
      </c>
      <c r="L919">
        <v>3</v>
      </c>
      <c r="M919">
        <v>22612</v>
      </c>
    </row>
    <row r="920" spans="1:13">
      <c r="A920" t="s">
        <v>988</v>
      </c>
      <c r="B920" t="s">
        <v>168</v>
      </c>
      <c r="C920" t="s">
        <v>45</v>
      </c>
      <c r="D920" t="s">
        <v>27</v>
      </c>
      <c r="E920">
        <v>29</v>
      </c>
      <c r="F920" t="s">
        <v>22</v>
      </c>
      <c r="G920" t="s">
        <v>40</v>
      </c>
      <c r="H920">
        <v>82</v>
      </c>
      <c r="I920">
        <v>8610</v>
      </c>
      <c r="J920">
        <v>13.24</v>
      </c>
      <c r="K920">
        <v>102</v>
      </c>
      <c r="L920">
        <v>4</v>
      </c>
      <c r="M920">
        <v>26902</v>
      </c>
    </row>
    <row r="921" spans="1:13">
      <c r="A921" t="s">
        <v>989</v>
      </c>
      <c r="B921" t="s">
        <v>84</v>
      </c>
      <c r="C921" t="s">
        <v>21</v>
      </c>
      <c r="D921" t="s">
        <v>16</v>
      </c>
      <c r="E921">
        <v>58</v>
      </c>
      <c r="F921" t="s">
        <v>34</v>
      </c>
      <c r="G921" t="s">
        <v>70</v>
      </c>
      <c r="H921">
        <v>78</v>
      </c>
      <c r="I921">
        <v>6982</v>
      </c>
      <c r="J921">
        <v>16.98</v>
      </c>
      <c r="K921">
        <v>81</v>
      </c>
      <c r="L921">
        <v>4</v>
      </c>
      <c r="M921">
        <v>36253</v>
      </c>
    </row>
    <row r="922" spans="1:13">
      <c r="A922" t="s">
        <v>990</v>
      </c>
      <c r="B922" t="s">
        <v>20</v>
      </c>
      <c r="C922" t="s">
        <v>21</v>
      </c>
      <c r="D922" t="s">
        <v>27</v>
      </c>
      <c r="E922">
        <v>11</v>
      </c>
      <c r="F922" t="s">
        <v>17</v>
      </c>
      <c r="G922" t="s">
        <v>31</v>
      </c>
      <c r="H922">
        <v>88</v>
      </c>
      <c r="I922">
        <v>5759</v>
      </c>
      <c r="J922">
        <v>13.57</v>
      </c>
      <c r="K922">
        <v>110</v>
      </c>
      <c r="L922">
        <v>5</v>
      </c>
      <c r="M922">
        <v>21640</v>
      </c>
    </row>
    <row r="923" spans="1:13">
      <c r="A923" t="s">
        <v>991</v>
      </c>
      <c r="B923" t="s">
        <v>25</v>
      </c>
      <c r="C923" t="s">
        <v>26</v>
      </c>
      <c r="D923" t="s">
        <v>16</v>
      </c>
      <c r="E923">
        <v>1</v>
      </c>
      <c r="F923" t="s">
        <v>17</v>
      </c>
      <c r="G923" t="s">
        <v>31</v>
      </c>
      <c r="H923">
        <v>86</v>
      </c>
      <c r="I923">
        <v>2879</v>
      </c>
      <c r="J923">
        <v>6.07</v>
      </c>
      <c r="K923">
        <v>36</v>
      </c>
      <c r="L923">
        <v>4</v>
      </c>
      <c r="M923">
        <v>8616</v>
      </c>
    </row>
    <row r="924" spans="1:13">
      <c r="A924" t="s">
        <v>992</v>
      </c>
      <c r="B924" t="s">
        <v>54</v>
      </c>
      <c r="C924" t="s">
        <v>39</v>
      </c>
      <c r="D924" t="s">
        <v>27</v>
      </c>
      <c r="E924">
        <v>7</v>
      </c>
      <c r="F924" t="s">
        <v>34</v>
      </c>
      <c r="G924" t="s">
        <v>40</v>
      </c>
      <c r="H924">
        <v>78</v>
      </c>
      <c r="I924">
        <v>2905</v>
      </c>
      <c r="J924">
        <v>9.23</v>
      </c>
      <c r="K924">
        <v>75</v>
      </c>
      <c r="L924">
        <v>4</v>
      </c>
      <c r="M924">
        <v>16349</v>
      </c>
    </row>
    <row r="925" spans="1:13">
      <c r="A925" t="s">
        <v>993</v>
      </c>
      <c r="B925" t="s">
        <v>44</v>
      </c>
      <c r="C925" t="s">
        <v>45</v>
      </c>
      <c r="D925" t="s">
        <v>27</v>
      </c>
      <c r="E925">
        <v>85</v>
      </c>
      <c r="F925" t="s">
        <v>22</v>
      </c>
      <c r="G925" t="s">
        <v>49</v>
      </c>
      <c r="H925">
        <v>69</v>
      </c>
      <c r="I925">
        <v>8498</v>
      </c>
      <c r="J925">
        <v>18.059999999999999</v>
      </c>
      <c r="K925">
        <v>102</v>
      </c>
      <c r="L925">
        <v>3</v>
      </c>
      <c r="M925">
        <v>35178</v>
      </c>
    </row>
    <row r="926" spans="1:13">
      <c r="A926" t="s">
        <v>994</v>
      </c>
      <c r="B926" t="s">
        <v>80</v>
      </c>
      <c r="C926" t="s">
        <v>15</v>
      </c>
      <c r="D926" t="s">
        <v>16</v>
      </c>
      <c r="E926">
        <v>36</v>
      </c>
      <c r="F926" t="s">
        <v>17</v>
      </c>
      <c r="G926" t="s">
        <v>49</v>
      </c>
      <c r="H926">
        <v>71</v>
      </c>
      <c r="I926">
        <v>8274</v>
      </c>
      <c r="J926">
        <v>15.27</v>
      </c>
      <c r="K926">
        <v>86</v>
      </c>
      <c r="L926">
        <v>4</v>
      </c>
      <c r="M926">
        <v>47377</v>
      </c>
    </row>
    <row r="927" spans="1:13">
      <c r="A927" t="s">
        <v>995</v>
      </c>
      <c r="B927" t="s">
        <v>62</v>
      </c>
      <c r="C927" t="s">
        <v>52</v>
      </c>
      <c r="D927" t="s">
        <v>16</v>
      </c>
      <c r="E927">
        <v>61</v>
      </c>
      <c r="F927" t="s">
        <v>22</v>
      </c>
      <c r="G927" t="s">
        <v>23</v>
      </c>
      <c r="H927">
        <v>78</v>
      </c>
      <c r="I927">
        <v>6530</v>
      </c>
      <c r="J927">
        <v>16.559999999999999</v>
      </c>
      <c r="K927">
        <v>98</v>
      </c>
      <c r="L927">
        <v>3</v>
      </c>
      <c r="M927">
        <v>21346</v>
      </c>
    </row>
    <row r="928" spans="1:13">
      <c r="A928" t="s">
        <v>996</v>
      </c>
      <c r="B928" t="s">
        <v>14</v>
      </c>
      <c r="C928" t="s">
        <v>15</v>
      </c>
      <c r="D928" t="s">
        <v>16</v>
      </c>
      <c r="E928">
        <v>73</v>
      </c>
      <c r="F928" t="s">
        <v>22</v>
      </c>
      <c r="G928" t="s">
        <v>23</v>
      </c>
      <c r="H928">
        <v>77</v>
      </c>
      <c r="I928">
        <v>6661</v>
      </c>
      <c r="J928">
        <v>21.87</v>
      </c>
      <c r="K928">
        <v>78</v>
      </c>
      <c r="L928">
        <v>4</v>
      </c>
      <c r="M928">
        <v>31917</v>
      </c>
    </row>
    <row r="929" spans="1:13">
      <c r="A929" t="s">
        <v>997</v>
      </c>
      <c r="B929" t="s">
        <v>137</v>
      </c>
      <c r="C929" t="s">
        <v>26</v>
      </c>
      <c r="D929" t="s">
        <v>27</v>
      </c>
      <c r="E929">
        <v>29</v>
      </c>
      <c r="F929" t="s">
        <v>17</v>
      </c>
      <c r="G929" t="s">
        <v>49</v>
      </c>
      <c r="H929">
        <v>86</v>
      </c>
      <c r="I929">
        <v>2138</v>
      </c>
      <c r="J929">
        <v>3.6</v>
      </c>
      <c r="K929">
        <v>26</v>
      </c>
      <c r="L929">
        <v>4</v>
      </c>
      <c r="M929">
        <v>8752</v>
      </c>
    </row>
    <row r="930" spans="1:13">
      <c r="A930" t="s">
        <v>998</v>
      </c>
      <c r="B930" t="s">
        <v>47</v>
      </c>
      <c r="C930" t="s">
        <v>48</v>
      </c>
      <c r="D930" t="s">
        <v>16</v>
      </c>
      <c r="E930">
        <v>64</v>
      </c>
      <c r="F930" t="s">
        <v>22</v>
      </c>
      <c r="G930" t="s">
        <v>70</v>
      </c>
      <c r="H930">
        <v>71</v>
      </c>
      <c r="I930">
        <v>3663</v>
      </c>
      <c r="J930">
        <v>15.91</v>
      </c>
      <c r="K930">
        <v>97</v>
      </c>
      <c r="L930">
        <v>4</v>
      </c>
      <c r="M930">
        <v>18048</v>
      </c>
    </row>
    <row r="931" spans="1:13">
      <c r="A931" t="s">
        <v>999</v>
      </c>
      <c r="B931" t="s">
        <v>129</v>
      </c>
      <c r="C931" t="s">
        <v>21</v>
      </c>
      <c r="D931" t="s">
        <v>27</v>
      </c>
      <c r="E931">
        <v>86</v>
      </c>
      <c r="F931" t="s">
        <v>22</v>
      </c>
      <c r="G931" t="s">
        <v>31</v>
      </c>
      <c r="H931">
        <v>80</v>
      </c>
      <c r="I931">
        <v>7397</v>
      </c>
      <c r="J931">
        <v>10.65</v>
      </c>
      <c r="K931">
        <v>74</v>
      </c>
      <c r="L931">
        <v>5</v>
      </c>
      <c r="M931">
        <v>34485</v>
      </c>
    </row>
    <row r="932" spans="1:13">
      <c r="A932" t="s">
        <v>1000</v>
      </c>
      <c r="B932" t="s">
        <v>135</v>
      </c>
      <c r="C932" t="s">
        <v>48</v>
      </c>
      <c r="D932" t="s">
        <v>27</v>
      </c>
      <c r="E932">
        <v>64</v>
      </c>
      <c r="F932" t="s">
        <v>22</v>
      </c>
      <c r="G932" t="s">
        <v>23</v>
      </c>
      <c r="H932">
        <v>78</v>
      </c>
      <c r="I932">
        <v>7480</v>
      </c>
      <c r="J932">
        <v>11.97</v>
      </c>
      <c r="K932">
        <v>72</v>
      </c>
      <c r="L932">
        <v>4</v>
      </c>
      <c r="M932">
        <v>24723</v>
      </c>
    </row>
    <row r="933" spans="1:13">
      <c r="A933" t="s">
        <v>1001</v>
      </c>
      <c r="B933" t="s">
        <v>25</v>
      </c>
      <c r="C933" t="s">
        <v>26</v>
      </c>
      <c r="D933" t="s">
        <v>16</v>
      </c>
      <c r="E933">
        <v>68</v>
      </c>
      <c r="F933" t="s">
        <v>22</v>
      </c>
      <c r="G933" t="s">
        <v>18</v>
      </c>
      <c r="H933">
        <v>88</v>
      </c>
      <c r="I933">
        <v>2569</v>
      </c>
      <c r="J933">
        <v>0</v>
      </c>
      <c r="K933">
        <v>38</v>
      </c>
      <c r="L933">
        <v>5</v>
      </c>
      <c r="M933">
        <v>12196</v>
      </c>
    </row>
    <row r="934" spans="1:13">
      <c r="A934" t="s">
        <v>1002</v>
      </c>
      <c r="B934" t="s">
        <v>84</v>
      </c>
      <c r="C934" t="s">
        <v>21</v>
      </c>
      <c r="D934" t="s">
        <v>27</v>
      </c>
      <c r="E934">
        <v>36</v>
      </c>
      <c r="F934" t="s">
        <v>17</v>
      </c>
      <c r="G934" t="s">
        <v>18</v>
      </c>
      <c r="H934">
        <v>80</v>
      </c>
      <c r="I934">
        <v>6351</v>
      </c>
      <c r="J934">
        <v>15.34</v>
      </c>
      <c r="K934">
        <v>84</v>
      </c>
      <c r="L934">
        <v>4</v>
      </c>
      <c r="M934">
        <v>23578</v>
      </c>
    </row>
    <row r="935" spans="1:13">
      <c r="A935" t="s">
        <v>1003</v>
      </c>
      <c r="B935" t="s">
        <v>36</v>
      </c>
      <c r="C935" t="s">
        <v>21</v>
      </c>
      <c r="D935" t="s">
        <v>16</v>
      </c>
      <c r="E935">
        <v>36</v>
      </c>
      <c r="F935" t="s">
        <v>17</v>
      </c>
      <c r="G935" t="s">
        <v>18</v>
      </c>
      <c r="H935">
        <v>78</v>
      </c>
      <c r="I935">
        <v>6889</v>
      </c>
      <c r="J935">
        <v>12.69</v>
      </c>
      <c r="K935">
        <v>126</v>
      </c>
      <c r="L935">
        <v>4</v>
      </c>
      <c r="M935">
        <v>26810</v>
      </c>
    </row>
    <row r="936" spans="1:13">
      <c r="A936" t="s">
        <v>1004</v>
      </c>
      <c r="B936" t="s">
        <v>68</v>
      </c>
      <c r="C936" t="s">
        <v>45</v>
      </c>
      <c r="D936" t="s">
        <v>27</v>
      </c>
      <c r="E936">
        <v>21</v>
      </c>
      <c r="F936" t="s">
        <v>34</v>
      </c>
      <c r="G936" t="s">
        <v>18</v>
      </c>
      <c r="H936">
        <v>72</v>
      </c>
      <c r="I936">
        <v>14003</v>
      </c>
      <c r="J936">
        <v>12.85</v>
      </c>
      <c r="K936">
        <v>80</v>
      </c>
      <c r="L936">
        <v>4</v>
      </c>
      <c r="M936">
        <v>81501</v>
      </c>
    </row>
    <row r="937" spans="1:13">
      <c r="A937" t="s">
        <v>1005</v>
      </c>
      <c r="B937" t="s">
        <v>97</v>
      </c>
      <c r="C937" t="s">
        <v>30</v>
      </c>
      <c r="D937" t="s">
        <v>16</v>
      </c>
      <c r="E937">
        <v>44</v>
      </c>
      <c r="F937" t="s">
        <v>34</v>
      </c>
      <c r="G937" t="s">
        <v>70</v>
      </c>
      <c r="H937">
        <v>68</v>
      </c>
      <c r="I937">
        <v>3080</v>
      </c>
      <c r="J937">
        <v>10.14</v>
      </c>
      <c r="K937">
        <v>103</v>
      </c>
      <c r="L937">
        <v>4</v>
      </c>
      <c r="M937">
        <v>12172</v>
      </c>
    </row>
    <row r="938" spans="1:13">
      <c r="A938" t="s">
        <v>1006</v>
      </c>
      <c r="B938" t="s">
        <v>168</v>
      </c>
      <c r="C938" t="s">
        <v>45</v>
      </c>
      <c r="D938" t="s">
        <v>16</v>
      </c>
      <c r="E938">
        <v>62</v>
      </c>
      <c r="F938" t="s">
        <v>17</v>
      </c>
      <c r="G938" t="s">
        <v>31</v>
      </c>
      <c r="H938">
        <v>77</v>
      </c>
      <c r="I938">
        <v>8077</v>
      </c>
      <c r="J938">
        <v>19.73</v>
      </c>
      <c r="K938">
        <v>117</v>
      </c>
      <c r="L938">
        <v>5</v>
      </c>
      <c r="M938">
        <v>30644</v>
      </c>
    </row>
    <row r="939" spans="1:13">
      <c r="A939" t="s">
        <v>1007</v>
      </c>
      <c r="B939" t="s">
        <v>38</v>
      </c>
      <c r="C939" t="s">
        <v>39</v>
      </c>
      <c r="D939" t="s">
        <v>16</v>
      </c>
      <c r="E939">
        <v>5</v>
      </c>
      <c r="F939" t="s">
        <v>22</v>
      </c>
      <c r="G939" t="s">
        <v>31</v>
      </c>
      <c r="H939">
        <v>86</v>
      </c>
      <c r="I939">
        <v>2779</v>
      </c>
      <c r="J939">
        <v>6.16</v>
      </c>
      <c r="K939">
        <v>57</v>
      </c>
      <c r="L939">
        <v>4</v>
      </c>
      <c r="M939">
        <v>13374</v>
      </c>
    </row>
    <row r="940" spans="1:13">
      <c r="A940" t="s">
        <v>1008</v>
      </c>
      <c r="B940" t="s">
        <v>150</v>
      </c>
      <c r="C940" t="s">
        <v>48</v>
      </c>
      <c r="D940" t="s">
        <v>16</v>
      </c>
      <c r="E940">
        <v>41</v>
      </c>
      <c r="F940" t="s">
        <v>22</v>
      </c>
      <c r="G940" t="s">
        <v>18</v>
      </c>
      <c r="H940">
        <v>81</v>
      </c>
      <c r="I940">
        <v>6429</v>
      </c>
      <c r="J940">
        <v>12.26</v>
      </c>
      <c r="K940">
        <v>96</v>
      </c>
      <c r="L940">
        <v>4</v>
      </c>
      <c r="M940">
        <v>17940</v>
      </c>
    </row>
    <row r="941" spans="1:13">
      <c r="A941" t="s">
        <v>1009</v>
      </c>
      <c r="B941" t="s">
        <v>103</v>
      </c>
      <c r="C941" t="s">
        <v>26</v>
      </c>
      <c r="D941" t="s">
        <v>27</v>
      </c>
      <c r="E941">
        <v>39</v>
      </c>
      <c r="F941" t="s">
        <v>22</v>
      </c>
      <c r="G941" t="s">
        <v>23</v>
      </c>
      <c r="H941">
        <v>83</v>
      </c>
      <c r="I941">
        <v>3128</v>
      </c>
      <c r="J941">
        <v>6.35</v>
      </c>
      <c r="K941">
        <v>18</v>
      </c>
      <c r="L941">
        <v>4</v>
      </c>
      <c r="M941">
        <v>13237</v>
      </c>
    </row>
    <row r="942" spans="1:13">
      <c r="A942" t="s">
        <v>1010</v>
      </c>
      <c r="B942" t="s">
        <v>122</v>
      </c>
      <c r="C942" t="s">
        <v>48</v>
      </c>
      <c r="D942" t="s">
        <v>72</v>
      </c>
      <c r="E942">
        <v>61</v>
      </c>
      <c r="F942" t="s">
        <v>17</v>
      </c>
      <c r="G942" t="s">
        <v>49</v>
      </c>
      <c r="H942">
        <v>70</v>
      </c>
      <c r="I942">
        <v>3669</v>
      </c>
      <c r="J942">
        <v>11.98</v>
      </c>
      <c r="K942">
        <v>90</v>
      </c>
      <c r="L942">
        <v>3</v>
      </c>
      <c r="M942">
        <v>18560</v>
      </c>
    </row>
    <row r="943" spans="1:13">
      <c r="A943" t="s">
        <v>1011</v>
      </c>
      <c r="B943" t="s">
        <v>25</v>
      </c>
      <c r="C943" t="s">
        <v>26</v>
      </c>
      <c r="D943" t="s">
        <v>16</v>
      </c>
      <c r="E943">
        <v>31</v>
      </c>
      <c r="F943" t="s">
        <v>34</v>
      </c>
      <c r="G943" t="s">
        <v>70</v>
      </c>
      <c r="H943">
        <v>83</v>
      </c>
      <c r="I943">
        <v>1583</v>
      </c>
      <c r="J943">
        <v>6.04</v>
      </c>
      <c r="K943">
        <v>34</v>
      </c>
      <c r="L943">
        <v>4</v>
      </c>
      <c r="M943">
        <v>7586</v>
      </c>
    </row>
    <row r="944" spans="1:13">
      <c r="A944" t="s">
        <v>1012</v>
      </c>
      <c r="B944" t="s">
        <v>44</v>
      </c>
      <c r="C944" t="s">
        <v>45</v>
      </c>
      <c r="D944" t="s">
        <v>27</v>
      </c>
      <c r="E944">
        <v>37</v>
      </c>
      <c r="F944" t="s">
        <v>17</v>
      </c>
      <c r="G944" t="s">
        <v>70</v>
      </c>
      <c r="H944">
        <v>70</v>
      </c>
      <c r="I944">
        <v>9938</v>
      </c>
      <c r="J944">
        <v>22.35</v>
      </c>
      <c r="K944">
        <v>105</v>
      </c>
      <c r="L944">
        <v>4</v>
      </c>
      <c r="M944">
        <v>48548</v>
      </c>
    </row>
    <row r="945" spans="1:13">
      <c r="A945" t="s">
        <v>1013</v>
      </c>
      <c r="B945" t="s">
        <v>143</v>
      </c>
      <c r="C945" t="s">
        <v>21</v>
      </c>
      <c r="D945" t="s">
        <v>27</v>
      </c>
      <c r="E945">
        <v>41</v>
      </c>
      <c r="F945" t="s">
        <v>22</v>
      </c>
      <c r="G945" t="s">
        <v>40</v>
      </c>
      <c r="H945">
        <v>74</v>
      </c>
      <c r="I945">
        <v>6558</v>
      </c>
      <c r="J945">
        <v>17.13</v>
      </c>
      <c r="K945">
        <v>77</v>
      </c>
      <c r="L945">
        <v>4</v>
      </c>
      <c r="M945">
        <v>32543</v>
      </c>
    </row>
    <row r="946" spans="1:13">
      <c r="A946" t="s">
        <v>1014</v>
      </c>
      <c r="B946" t="s">
        <v>60</v>
      </c>
      <c r="C946" t="s">
        <v>52</v>
      </c>
      <c r="D946" t="s">
        <v>27</v>
      </c>
      <c r="E946">
        <v>19</v>
      </c>
      <c r="F946" t="s">
        <v>34</v>
      </c>
      <c r="G946" t="s">
        <v>49</v>
      </c>
      <c r="H946">
        <v>69</v>
      </c>
      <c r="I946">
        <v>8786</v>
      </c>
      <c r="J946">
        <v>13.08</v>
      </c>
      <c r="K946">
        <v>109</v>
      </c>
      <c r="L946">
        <v>3</v>
      </c>
      <c r="M946">
        <v>38392</v>
      </c>
    </row>
    <row r="947" spans="1:13">
      <c r="A947" t="s">
        <v>1015</v>
      </c>
      <c r="B947" t="s">
        <v>54</v>
      </c>
      <c r="C947" t="s">
        <v>15</v>
      </c>
      <c r="D947" t="s">
        <v>27</v>
      </c>
      <c r="E947">
        <v>56</v>
      </c>
      <c r="F947" t="s">
        <v>34</v>
      </c>
      <c r="G947" t="s">
        <v>31</v>
      </c>
      <c r="H947">
        <v>81</v>
      </c>
      <c r="I947">
        <v>5016</v>
      </c>
      <c r="J947">
        <v>9.33</v>
      </c>
      <c r="K947">
        <v>67</v>
      </c>
      <c r="L947">
        <v>4</v>
      </c>
      <c r="M947">
        <v>20983</v>
      </c>
    </row>
    <row r="948" spans="1:13">
      <c r="A948" t="s">
        <v>1016</v>
      </c>
      <c r="B948" t="s">
        <v>88</v>
      </c>
      <c r="C948" t="s">
        <v>15</v>
      </c>
      <c r="D948" t="s">
        <v>16</v>
      </c>
      <c r="E948">
        <v>15</v>
      </c>
      <c r="F948" t="s">
        <v>34</v>
      </c>
      <c r="G948" t="s">
        <v>18</v>
      </c>
      <c r="H948">
        <v>74</v>
      </c>
      <c r="I948">
        <v>7189</v>
      </c>
      <c r="J948">
        <v>14.7</v>
      </c>
      <c r="K948">
        <v>58</v>
      </c>
      <c r="L948">
        <v>4</v>
      </c>
      <c r="M948">
        <v>38505</v>
      </c>
    </row>
    <row r="949" spans="1:13">
      <c r="A949" t="s">
        <v>1017</v>
      </c>
      <c r="B949" t="s">
        <v>36</v>
      </c>
      <c r="C949" t="s">
        <v>21</v>
      </c>
      <c r="D949" t="s">
        <v>27</v>
      </c>
      <c r="E949">
        <v>43</v>
      </c>
      <c r="F949" t="s">
        <v>17</v>
      </c>
      <c r="G949" t="s">
        <v>18</v>
      </c>
      <c r="H949">
        <v>71</v>
      </c>
      <c r="I949">
        <v>7743</v>
      </c>
      <c r="J949">
        <v>9.42</v>
      </c>
      <c r="K949">
        <v>118</v>
      </c>
      <c r="L949">
        <v>3</v>
      </c>
      <c r="M949">
        <v>39154</v>
      </c>
    </row>
    <row r="950" spans="1:13">
      <c r="A950" t="s">
        <v>1018</v>
      </c>
      <c r="B950" t="s">
        <v>143</v>
      </c>
      <c r="C950" t="s">
        <v>21</v>
      </c>
      <c r="D950" t="s">
        <v>16</v>
      </c>
      <c r="E950">
        <v>29</v>
      </c>
      <c r="F950" t="s">
        <v>17</v>
      </c>
      <c r="G950" t="s">
        <v>49</v>
      </c>
      <c r="H950">
        <v>75</v>
      </c>
      <c r="I950">
        <v>3571</v>
      </c>
      <c r="J950">
        <v>16.34</v>
      </c>
      <c r="K950">
        <v>80</v>
      </c>
      <c r="L950">
        <v>4</v>
      </c>
      <c r="M950">
        <v>13114</v>
      </c>
    </row>
    <row r="951" spans="1:13">
      <c r="A951" t="s">
        <v>1019</v>
      </c>
      <c r="B951" t="s">
        <v>20</v>
      </c>
      <c r="C951" t="s">
        <v>21</v>
      </c>
      <c r="D951" t="s">
        <v>27</v>
      </c>
      <c r="E951">
        <v>34</v>
      </c>
      <c r="F951" t="s">
        <v>17</v>
      </c>
      <c r="G951" t="s">
        <v>49</v>
      </c>
      <c r="H951">
        <v>85</v>
      </c>
      <c r="I951">
        <v>7983</v>
      </c>
      <c r="J951">
        <v>10.28</v>
      </c>
      <c r="K951">
        <v>65</v>
      </c>
      <c r="L951">
        <v>4</v>
      </c>
      <c r="M951">
        <v>21798</v>
      </c>
    </row>
    <row r="952" spans="1:13">
      <c r="A952" t="s">
        <v>1020</v>
      </c>
      <c r="B952" t="s">
        <v>137</v>
      </c>
      <c r="C952" t="s">
        <v>26</v>
      </c>
      <c r="D952" t="s">
        <v>72</v>
      </c>
      <c r="E952">
        <v>37</v>
      </c>
      <c r="F952" t="s">
        <v>22</v>
      </c>
      <c r="G952" t="s">
        <v>23</v>
      </c>
      <c r="H952">
        <v>83</v>
      </c>
      <c r="I952">
        <v>2415</v>
      </c>
      <c r="J952">
        <v>7.4</v>
      </c>
      <c r="K952">
        <v>19</v>
      </c>
      <c r="L952">
        <v>4</v>
      </c>
      <c r="M952">
        <v>7111</v>
      </c>
    </row>
    <row r="953" spans="1:13">
      <c r="A953" t="s">
        <v>1021</v>
      </c>
      <c r="B953" t="s">
        <v>58</v>
      </c>
      <c r="C953" t="s">
        <v>48</v>
      </c>
      <c r="D953" t="s">
        <v>27</v>
      </c>
      <c r="E953">
        <v>41</v>
      </c>
      <c r="F953" t="s">
        <v>22</v>
      </c>
      <c r="G953" t="s">
        <v>70</v>
      </c>
      <c r="H953">
        <v>71</v>
      </c>
      <c r="I953">
        <v>5607</v>
      </c>
      <c r="J953">
        <v>10.63</v>
      </c>
      <c r="K953">
        <v>68</v>
      </c>
      <c r="L953">
        <v>4</v>
      </c>
      <c r="M953">
        <v>23958</v>
      </c>
    </row>
    <row r="954" spans="1:13">
      <c r="A954" t="s">
        <v>1022</v>
      </c>
      <c r="B954" t="s">
        <v>68</v>
      </c>
      <c r="C954" t="s">
        <v>45</v>
      </c>
      <c r="D954" t="s">
        <v>27</v>
      </c>
      <c r="E954">
        <v>8</v>
      </c>
      <c r="F954" t="s">
        <v>34</v>
      </c>
      <c r="G954" t="s">
        <v>49</v>
      </c>
      <c r="H954">
        <v>74</v>
      </c>
      <c r="I954">
        <v>10866</v>
      </c>
      <c r="J954">
        <v>13.36</v>
      </c>
      <c r="K954">
        <v>107</v>
      </c>
      <c r="L954">
        <v>4</v>
      </c>
      <c r="M954">
        <v>30877</v>
      </c>
    </row>
    <row r="955" spans="1:13">
      <c r="A955" t="s">
        <v>1023</v>
      </c>
      <c r="B955" t="s">
        <v>84</v>
      </c>
      <c r="C955" t="s">
        <v>21</v>
      </c>
      <c r="D955" t="s">
        <v>16</v>
      </c>
      <c r="E955">
        <v>39</v>
      </c>
      <c r="F955" t="s">
        <v>17</v>
      </c>
      <c r="G955" t="s">
        <v>49</v>
      </c>
      <c r="H955">
        <v>74</v>
      </c>
      <c r="I955">
        <v>3816</v>
      </c>
      <c r="J955">
        <v>18.02</v>
      </c>
      <c r="K955">
        <v>105</v>
      </c>
      <c r="L955">
        <v>3</v>
      </c>
      <c r="M955">
        <v>16553</v>
      </c>
    </row>
    <row r="956" spans="1:13">
      <c r="A956" t="s">
        <v>1024</v>
      </c>
      <c r="B956" t="s">
        <v>135</v>
      </c>
      <c r="C956" t="s">
        <v>48</v>
      </c>
      <c r="D956" t="s">
        <v>16</v>
      </c>
      <c r="E956">
        <v>40</v>
      </c>
      <c r="F956" t="s">
        <v>34</v>
      </c>
      <c r="G956" t="s">
        <v>70</v>
      </c>
      <c r="H956">
        <v>81</v>
      </c>
      <c r="I956">
        <v>6482</v>
      </c>
      <c r="J956">
        <v>17.28</v>
      </c>
      <c r="K956">
        <v>46</v>
      </c>
      <c r="L956">
        <v>4</v>
      </c>
      <c r="M956">
        <v>32148</v>
      </c>
    </row>
    <row r="957" spans="1:13">
      <c r="A957" t="s">
        <v>1025</v>
      </c>
      <c r="B957" t="s">
        <v>54</v>
      </c>
      <c r="C957" t="s">
        <v>15</v>
      </c>
      <c r="D957" t="s">
        <v>27</v>
      </c>
      <c r="E957">
        <v>55</v>
      </c>
      <c r="F957" t="s">
        <v>17</v>
      </c>
      <c r="G957" t="s">
        <v>23</v>
      </c>
      <c r="H957">
        <v>66</v>
      </c>
      <c r="I957">
        <v>7661</v>
      </c>
      <c r="J957">
        <v>12.88</v>
      </c>
      <c r="K957">
        <v>109</v>
      </c>
      <c r="L957">
        <v>3</v>
      </c>
      <c r="M957">
        <v>37101</v>
      </c>
    </row>
    <row r="958" spans="1:13">
      <c r="A958" t="s">
        <v>1026</v>
      </c>
      <c r="B958" t="s">
        <v>97</v>
      </c>
      <c r="C958" t="s">
        <v>30</v>
      </c>
      <c r="D958" t="s">
        <v>16</v>
      </c>
      <c r="E958">
        <v>53</v>
      </c>
      <c r="F958" t="s">
        <v>22</v>
      </c>
      <c r="G958" t="s">
        <v>31</v>
      </c>
      <c r="H958">
        <v>83</v>
      </c>
      <c r="I958">
        <v>4245</v>
      </c>
      <c r="J958">
        <v>16.97</v>
      </c>
      <c r="K958">
        <v>82</v>
      </c>
      <c r="L958">
        <v>4</v>
      </c>
      <c r="M958">
        <v>11884</v>
      </c>
    </row>
    <row r="959" spans="1:13">
      <c r="A959" t="s">
        <v>1027</v>
      </c>
      <c r="B959" t="s">
        <v>33</v>
      </c>
      <c r="C959" t="s">
        <v>26</v>
      </c>
      <c r="D959" t="s">
        <v>16</v>
      </c>
      <c r="E959">
        <v>56</v>
      </c>
      <c r="F959" t="s">
        <v>17</v>
      </c>
      <c r="G959" t="s">
        <v>70</v>
      </c>
      <c r="H959">
        <v>86</v>
      </c>
      <c r="I959">
        <v>3152</v>
      </c>
      <c r="J959">
        <v>0</v>
      </c>
      <c r="K959">
        <v>31</v>
      </c>
      <c r="L959">
        <v>5</v>
      </c>
      <c r="M959">
        <v>9071</v>
      </c>
    </row>
    <row r="960" spans="1:13">
      <c r="A960" t="s">
        <v>1028</v>
      </c>
      <c r="B960" t="s">
        <v>29</v>
      </c>
      <c r="C960" t="s">
        <v>30</v>
      </c>
      <c r="D960" t="s">
        <v>16</v>
      </c>
      <c r="E960">
        <v>47</v>
      </c>
      <c r="F960" t="s">
        <v>17</v>
      </c>
      <c r="G960" t="s">
        <v>23</v>
      </c>
      <c r="H960">
        <v>60</v>
      </c>
      <c r="I960">
        <v>4684</v>
      </c>
      <c r="J960">
        <v>18.579999999999998</v>
      </c>
      <c r="K960">
        <v>95</v>
      </c>
      <c r="L960">
        <v>3</v>
      </c>
      <c r="M960">
        <v>18236</v>
      </c>
    </row>
    <row r="961" spans="1:13">
      <c r="A961" t="s">
        <v>1029</v>
      </c>
      <c r="B961" t="s">
        <v>68</v>
      </c>
      <c r="C961" t="s">
        <v>45</v>
      </c>
      <c r="D961" t="s">
        <v>16</v>
      </c>
      <c r="E961">
        <v>62</v>
      </c>
      <c r="F961" t="s">
        <v>22</v>
      </c>
      <c r="G961" t="s">
        <v>23</v>
      </c>
      <c r="H961">
        <v>79</v>
      </c>
      <c r="I961">
        <v>8644</v>
      </c>
      <c r="J961">
        <v>21.67</v>
      </c>
      <c r="K961">
        <v>60</v>
      </c>
      <c r="L961">
        <v>4</v>
      </c>
      <c r="M961">
        <v>42582</v>
      </c>
    </row>
    <row r="962" spans="1:13">
      <c r="A962" t="s">
        <v>1030</v>
      </c>
      <c r="B962" t="s">
        <v>137</v>
      </c>
      <c r="C962" t="s">
        <v>26</v>
      </c>
      <c r="D962" t="s">
        <v>27</v>
      </c>
      <c r="E962">
        <v>56</v>
      </c>
      <c r="F962" t="s">
        <v>17</v>
      </c>
      <c r="G962" t="s">
        <v>31</v>
      </c>
      <c r="H962">
        <v>80</v>
      </c>
      <c r="I962">
        <v>3270</v>
      </c>
      <c r="J962">
        <v>10.02</v>
      </c>
      <c r="K962">
        <v>54</v>
      </c>
      <c r="L962">
        <v>4</v>
      </c>
      <c r="M962">
        <v>16285</v>
      </c>
    </row>
    <row r="963" spans="1:13">
      <c r="A963" t="s">
        <v>1031</v>
      </c>
      <c r="B963" t="s">
        <v>33</v>
      </c>
      <c r="C963" t="s">
        <v>26</v>
      </c>
      <c r="D963" t="s">
        <v>16</v>
      </c>
      <c r="E963">
        <v>34</v>
      </c>
      <c r="F963" t="s">
        <v>34</v>
      </c>
      <c r="G963" t="s">
        <v>70</v>
      </c>
      <c r="H963">
        <v>74</v>
      </c>
      <c r="I963">
        <v>2048</v>
      </c>
      <c r="J963">
        <v>0</v>
      </c>
      <c r="K963">
        <v>35</v>
      </c>
      <c r="L963">
        <v>4</v>
      </c>
      <c r="M963">
        <v>7060</v>
      </c>
    </row>
    <row r="964" spans="1:13">
      <c r="A964" t="s">
        <v>1032</v>
      </c>
      <c r="B964" t="s">
        <v>42</v>
      </c>
      <c r="C964" t="s">
        <v>39</v>
      </c>
      <c r="D964" t="s">
        <v>16</v>
      </c>
      <c r="E964">
        <v>15</v>
      </c>
      <c r="F964" t="s">
        <v>22</v>
      </c>
      <c r="G964" t="s">
        <v>49</v>
      </c>
      <c r="H964">
        <v>88</v>
      </c>
      <c r="I964">
        <v>2052</v>
      </c>
      <c r="J964">
        <v>4.7300000000000004</v>
      </c>
      <c r="K964">
        <v>52</v>
      </c>
      <c r="L964">
        <v>5</v>
      </c>
      <c r="M964">
        <v>11290</v>
      </c>
    </row>
    <row r="965" spans="1:13">
      <c r="A965" t="s">
        <v>1033</v>
      </c>
      <c r="B965" t="s">
        <v>88</v>
      </c>
      <c r="C965" t="s">
        <v>15</v>
      </c>
      <c r="D965" t="s">
        <v>27</v>
      </c>
      <c r="E965">
        <v>22</v>
      </c>
      <c r="F965" t="s">
        <v>34</v>
      </c>
      <c r="G965" t="s">
        <v>18</v>
      </c>
      <c r="H965">
        <v>72</v>
      </c>
      <c r="I965">
        <v>5628</v>
      </c>
      <c r="J965">
        <v>18.62</v>
      </c>
      <c r="K965">
        <v>84</v>
      </c>
      <c r="L965">
        <v>4</v>
      </c>
      <c r="M965">
        <v>30326</v>
      </c>
    </row>
    <row r="966" spans="1:13">
      <c r="A966" t="s">
        <v>1034</v>
      </c>
      <c r="B966" t="s">
        <v>80</v>
      </c>
      <c r="C966" t="s">
        <v>15</v>
      </c>
      <c r="D966" t="s">
        <v>16</v>
      </c>
      <c r="E966">
        <v>42</v>
      </c>
      <c r="F966" t="s">
        <v>22</v>
      </c>
      <c r="G966" t="s">
        <v>70</v>
      </c>
      <c r="H966">
        <v>69</v>
      </c>
      <c r="I966">
        <v>7959</v>
      </c>
      <c r="J966">
        <v>21.61</v>
      </c>
      <c r="K966">
        <v>107</v>
      </c>
      <c r="L966">
        <v>4</v>
      </c>
      <c r="M966">
        <v>41787</v>
      </c>
    </row>
    <row r="967" spans="1:13">
      <c r="A967" t="s">
        <v>1035</v>
      </c>
      <c r="B967" t="s">
        <v>135</v>
      </c>
      <c r="C967" t="s">
        <v>48</v>
      </c>
      <c r="D967" t="s">
        <v>27</v>
      </c>
      <c r="E967">
        <v>58</v>
      </c>
      <c r="F967" t="s">
        <v>22</v>
      </c>
      <c r="G967" t="s">
        <v>23</v>
      </c>
      <c r="H967">
        <v>85</v>
      </c>
      <c r="I967">
        <v>2412</v>
      </c>
      <c r="J967">
        <v>7.64</v>
      </c>
      <c r="K967">
        <v>73</v>
      </c>
      <c r="L967">
        <v>4</v>
      </c>
      <c r="M967">
        <v>10710</v>
      </c>
    </row>
    <row r="968" spans="1:13">
      <c r="A968" t="s">
        <v>1036</v>
      </c>
      <c r="B968" t="s">
        <v>78</v>
      </c>
      <c r="C968" t="s">
        <v>15</v>
      </c>
      <c r="D968" t="s">
        <v>27</v>
      </c>
      <c r="E968">
        <v>42</v>
      </c>
      <c r="F968" t="s">
        <v>22</v>
      </c>
      <c r="G968" t="s">
        <v>18</v>
      </c>
      <c r="H968">
        <v>81</v>
      </c>
      <c r="I968">
        <v>10000</v>
      </c>
      <c r="J968">
        <v>14.12</v>
      </c>
      <c r="K968">
        <v>58</v>
      </c>
      <c r="L968">
        <v>5</v>
      </c>
      <c r="M968">
        <v>31905</v>
      </c>
    </row>
    <row r="969" spans="1:13">
      <c r="A969" t="s">
        <v>1037</v>
      </c>
      <c r="B969" t="s">
        <v>54</v>
      </c>
      <c r="C969" t="s">
        <v>39</v>
      </c>
      <c r="D969" t="s">
        <v>27</v>
      </c>
      <c r="E969">
        <v>18</v>
      </c>
      <c r="F969" t="s">
        <v>17</v>
      </c>
      <c r="G969" t="s">
        <v>70</v>
      </c>
      <c r="H969">
        <v>88</v>
      </c>
      <c r="I969">
        <v>2608</v>
      </c>
      <c r="J969">
        <v>8.18</v>
      </c>
      <c r="K969">
        <v>40</v>
      </c>
      <c r="L969">
        <v>4</v>
      </c>
      <c r="M969">
        <v>7730</v>
      </c>
    </row>
    <row r="970" spans="1:13">
      <c r="A970" t="s">
        <v>1038</v>
      </c>
      <c r="B970" t="s">
        <v>150</v>
      </c>
      <c r="C970" t="s">
        <v>48</v>
      </c>
      <c r="D970" t="s">
        <v>16</v>
      </c>
      <c r="E970">
        <v>39</v>
      </c>
      <c r="F970" t="s">
        <v>34</v>
      </c>
      <c r="G970" t="s">
        <v>49</v>
      </c>
      <c r="H970">
        <v>90</v>
      </c>
      <c r="I970">
        <v>7913</v>
      </c>
      <c r="J970">
        <v>12.41</v>
      </c>
      <c r="K970">
        <v>44</v>
      </c>
      <c r="L970">
        <v>4</v>
      </c>
      <c r="M970">
        <v>36907</v>
      </c>
    </row>
    <row r="971" spans="1:13">
      <c r="A971" t="s">
        <v>1039</v>
      </c>
      <c r="B971" t="s">
        <v>42</v>
      </c>
      <c r="C971" t="s">
        <v>39</v>
      </c>
      <c r="D971" t="s">
        <v>27</v>
      </c>
      <c r="E971">
        <v>4</v>
      </c>
      <c r="F971" t="s">
        <v>22</v>
      </c>
      <c r="G971" t="s">
        <v>70</v>
      </c>
      <c r="H971">
        <v>78</v>
      </c>
      <c r="I971">
        <v>3308</v>
      </c>
      <c r="J971">
        <v>14.2</v>
      </c>
      <c r="K971">
        <v>35</v>
      </c>
      <c r="L971">
        <v>4</v>
      </c>
      <c r="M971">
        <v>10896</v>
      </c>
    </row>
    <row r="972" spans="1:13">
      <c r="A972" t="s">
        <v>1040</v>
      </c>
      <c r="B972" t="s">
        <v>185</v>
      </c>
      <c r="C972" t="s">
        <v>52</v>
      </c>
      <c r="D972" t="s">
        <v>16</v>
      </c>
      <c r="E972">
        <v>9</v>
      </c>
      <c r="F972" t="s">
        <v>22</v>
      </c>
      <c r="G972" t="s">
        <v>70</v>
      </c>
      <c r="H972">
        <v>78</v>
      </c>
      <c r="I972">
        <v>5936</v>
      </c>
      <c r="J972">
        <v>14.23</v>
      </c>
      <c r="K972">
        <v>114</v>
      </c>
      <c r="L972">
        <v>4</v>
      </c>
      <c r="M972">
        <v>20198</v>
      </c>
    </row>
    <row r="973" spans="1:13">
      <c r="A973" t="s">
        <v>1041</v>
      </c>
      <c r="B973" t="s">
        <v>129</v>
      </c>
      <c r="C973" t="s">
        <v>21</v>
      </c>
      <c r="D973" t="s">
        <v>16</v>
      </c>
      <c r="E973">
        <v>53</v>
      </c>
      <c r="F973" t="s">
        <v>34</v>
      </c>
      <c r="G973" t="s">
        <v>40</v>
      </c>
      <c r="H973">
        <v>81</v>
      </c>
      <c r="I973">
        <v>7759</v>
      </c>
      <c r="J973">
        <v>8.1999999999999993</v>
      </c>
      <c r="K973">
        <v>89</v>
      </c>
      <c r="L973">
        <v>4</v>
      </c>
      <c r="M973">
        <v>21831</v>
      </c>
    </row>
    <row r="974" spans="1:13">
      <c r="A974" t="s">
        <v>1042</v>
      </c>
      <c r="B974" t="s">
        <v>47</v>
      </c>
      <c r="C974" t="s">
        <v>48</v>
      </c>
      <c r="D974" t="s">
        <v>27</v>
      </c>
      <c r="E974">
        <v>58</v>
      </c>
      <c r="F974" t="s">
        <v>22</v>
      </c>
      <c r="G974" t="s">
        <v>70</v>
      </c>
      <c r="H974">
        <v>77</v>
      </c>
      <c r="I974">
        <v>4528</v>
      </c>
      <c r="J974">
        <v>20.79</v>
      </c>
      <c r="K974">
        <v>94</v>
      </c>
      <c r="L974">
        <v>4</v>
      </c>
      <c r="M974">
        <v>20564</v>
      </c>
    </row>
    <row r="975" spans="1:13">
      <c r="A975" t="s">
        <v>1043</v>
      </c>
      <c r="B975" t="s">
        <v>20</v>
      </c>
      <c r="C975" t="s">
        <v>21</v>
      </c>
      <c r="D975" t="s">
        <v>16</v>
      </c>
      <c r="E975">
        <v>1</v>
      </c>
      <c r="F975" t="s">
        <v>34</v>
      </c>
      <c r="G975" t="s">
        <v>31</v>
      </c>
      <c r="H975">
        <v>70</v>
      </c>
      <c r="I975">
        <v>6579</v>
      </c>
      <c r="J975">
        <v>8.51</v>
      </c>
      <c r="K975">
        <v>127</v>
      </c>
      <c r="L975">
        <v>3</v>
      </c>
      <c r="M975">
        <v>39028</v>
      </c>
    </row>
    <row r="976" spans="1:13">
      <c r="A976" t="s">
        <v>1044</v>
      </c>
      <c r="B976" t="s">
        <v>20</v>
      </c>
      <c r="C976" t="s">
        <v>21</v>
      </c>
      <c r="D976" t="s">
        <v>27</v>
      </c>
      <c r="E976">
        <v>31</v>
      </c>
      <c r="F976" t="s">
        <v>34</v>
      </c>
      <c r="G976" t="s">
        <v>40</v>
      </c>
      <c r="H976">
        <v>76</v>
      </c>
      <c r="I976">
        <v>6985</v>
      </c>
      <c r="J976">
        <v>20.82</v>
      </c>
      <c r="K976">
        <v>49</v>
      </c>
      <c r="L976">
        <v>4</v>
      </c>
      <c r="M976">
        <v>31442</v>
      </c>
    </row>
    <row r="977" spans="1:13">
      <c r="A977" t="s">
        <v>1045</v>
      </c>
      <c r="B977" t="s">
        <v>97</v>
      </c>
      <c r="C977" t="s">
        <v>30</v>
      </c>
      <c r="D977" t="s">
        <v>27</v>
      </c>
      <c r="E977">
        <v>28</v>
      </c>
      <c r="F977" t="s">
        <v>22</v>
      </c>
      <c r="G977" t="s">
        <v>23</v>
      </c>
      <c r="H977">
        <v>73</v>
      </c>
      <c r="I977">
        <v>3005</v>
      </c>
      <c r="J977">
        <v>16.59</v>
      </c>
      <c r="K977">
        <v>95</v>
      </c>
      <c r="L977">
        <v>4</v>
      </c>
      <c r="M977">
        <v>13693</v>
      </c>
    </row>
    <row r="978" spans="1:13">
      <c r="A978" t="s">
        <v>1046</v>
      </c>
      <c r="B978" t="s">
        <v>54</v>
      </c>
      <c r="C978" t="s">
        <v>15</v>
      </c>
      <c r="D978" t="s">
        <v>27</v>
      </c>
      <c r="E978">
        <v>37</v>
      </c>
      <c r="F978" t="s">
        <v>22</v>
      </c>
      <c r="G978" t="s">
        <v>70</v>
      </c>
      <c r="H978">
        <v>69</v>
      </c>
      <c r="I978">
        <v>5461</v>
      </c>
      <c r="J978">
        <v>23.19</v>
      </c>
      <c r="K978">
        <v>84</v>
      </c>
      <c r="L978">
        <v>3</v>
      </c>
      <c r="M978">
        <v>26153</v>
      </c>
    </row>
    <row r="979" spans="1:13">
      <c r="A979" t="s">
        <v>1047</v>
      </c>
      <c r="B979" t="s">
        <v>14</v>
      </c>
      <c r="C979" t="s">
        <v>15</v>
      </c>
      <c r="D979" t="s">
        <v>27</v>
      </c>
      <c r="E979">
        <v>20</v>
      </c>
      <c r="F979" t="s">
        <v>34</v>
      </c>
      <c r="G979" t="s">
        <v>23</v>
      </c>
      <c r="H979">
        <v>77</v>
      </c>
      <c r="I979">
        <v>7872</v>
      </c>
      <c r="J979">
        <v>23.24</v>
      </c>
      <c r="K979">
        <v>78</v>
      </c>
      <c r="L979">
        <v>4</v>
      </c>
      <c r="M979">
        <v>22848</v>
      </c>
    </row>
    <row r="980" spans="1:13">
      <c r="A980" t="s">
        <v>1048</v>
      </c>
      <c r="B980" t="s">
        <v>187</v>
      </c>
      <c r="C980" t="s">
        <v>30</v>
      </c>
      <c r="D980" t="s">
        <v>16</v>
      </c>
      <c r="E980">
        <v>34</v>
      </c>
      <c r="F980" t="s">
        <v>34</v>
      </c>
      <c r="G980" t="s">
        <v>49</v>
      </c>
      <c r="H980">
        <v>64</v>
      </c>
      <c r="I980">
        <v>2611</v>
      </c>
      <c r="J980">
        <v>24.14</v>
      </c>
      <c r="K980">
        <v>146</v>
      </c>
      <c r="L980">
        <v>3</v>
      </c>
      <c r="M980">
        <v>15320</v>
      </c>
    </row>
    <row r="981" spans="1:13">
      <c r="A981" t="s">
        <v>1049</v>
      </c>
      <c r="B981" t="s">
        <v>47</v>
      </c>
      <c r="C981" t="s">
        <v>48</v>
      </c>
      <c r="D981" t="s">
        <v>27</v>
      </c>
      <c r="E981">
        <v>39</v>
      </c>
      <c r="F981" t="s">
        <v>17</v>
      </c>
      <c r="G981" t="s">
        <v>31</v>
      </c>
      <c r="H981">
        <v>72</v>
      </c>
      <c r="I981">
        <v>5512</v>
      </c>
      <c r="J981">
        <v>5.65</v>
      </c>
      <c r="K981">
        <v>84</v>
      </c>
      <c r="L981">
        <v>4</v>
      </c>
      <c r="M981">
        <v>14074</v>
      </c>
    </row>
    <row r="982" spans="1:13">
      <c r="A982" t="s">
        <v>1050</v>
      </c>
      <c r="B982" t="s">
        <v>168</v>
      </c>
      <c r="C982" t="s">
        <v>45</v>
      </c>
      <c r="D982" t="s">
        <v>27</v>
      </c>
      <c r="E982">
        <v>30</v>
      </c>
      <c r="F982" t="s">
        <v>22</v>
      </c>
      <c r="G982" t="s">
        <v>49</v>
      </c>
      <c r="H982">
        <v>79</v>
      </c>
      <c r="I982">
        <v>6743</v>
      </c>
      <c r="J982">
        <v>16.14</v>
      </c>
      <c r="K982">
        <v>76</v>
      </c>
      <c r="L982">
        <v>4</v>
      </c>
      <c r="M982">
        <v>18868</v>
      </c>
    </row>
    <row r="983" spans="1:13">
      <c r="A983" t="s">
        <v>1051</v>
      </c>
      <c r="B983" t="s">
        <v>135</v>
      </c>
      <c r="C983" t="s">
        <v>48</v>
      </c>
      <c r="D983" t="s">
        <v>27</v>
      </c>
      <c r="E983">
        <v>71</v>
      </c>
      <c r="F983" t="s">
        <v>22</v>
      </c>
      <c r="G983" t="s">
        <v>49</v>
      </c>
      <c r="H983">
        <v>77</v>
      </c>
      <c r="I983">
        <v>6172</v>
      </c>
      <c r="J983">
        <v>11.66</v>
      </c>
      <c r="K983">
        <v>100</v>
      </c>
      <c r="L983">
        <v>4</v>
      </c>
      <c r="M983">
        <v>31972</v>
      </c>
    </row>
    <row r="984" spans="1:13">
      <c r="A984" t="s">
        <v>1052</v>
      </c>
      <c r="B984" t="s">
        <v>95</v>
      </c>
      <c r="C984" t="s">
        <v>52</v>
      </c>
      <c r="D984" t="s">
        <v>27</v>
      </c>
      <c r="E984">
        <v>45</v>
      </c>
      <c r="F984" t="s">
        <v>17</v>
      </c>
      <c r="G984" t="s">
        <v>40</v>
      </c>
      <c r="H984">
        <v>80</v>
      </c>
      <c r="I984">
        <v>6955</v>
      </c>
      <c r="J984">
        <v>11.8</v>
      </c>
      <c r="K984">
        <v>62</v>
      </c>
      <c r="L984">
        <v>4</v>
      </c>
      <c r="M984">
        <v>28795</v>
      </c>
    </row>
    <row r="985" spans="1:13">
      <c r="A985" t="s">
        <v>1053</v>
      </c>
      <c r="B985" t="s">
        <v>51</v>
      </c>
      <c r="C985" t="s">
        <v>52</v>
      </c>
      <c r="D985" t="s">
        <v>72</v>
      </c>
      <c r="E985">
        <v>19</v>
      </c>
      <c r="F985" t="s">
        <v>17</v>
      </c>
      <c r="G985" t="s">
        <v>40</v>
      </c>
      <c r="H985">
        <v>75</v>
      </c>
      <c r="I985">
        <v>6832</v>
      </c>
      <c r="J985">
        <v>6.89</v>
      </c>
      <c r="K985">
        <v>84</v>
      </c>
      <c r="L985">
        <v>3</v>
      </c>
      <c r="M985">
        <v>40327</v>
      </c>
    </row>
    <row r="986" spans="1:13">
      <c r="A986" t="s">
        <v>1054</v>
      </c>
      <c r="B986" t="s">
        <v>25</v>
      </c>
      <c r="C986" t="s">
        <v>26</v>
      </c>
      <c r="D986" t="s">
        <v>16</v>
      </c>
      <c r="E986">
        <v>54</v>
      </c>
      <c r="F986" t="s">
        <v>34</v>
      </c>
      <c r="G986" t="s">
        <v>49</v>
      </c>
      <c r="H986">
        <v>90</v>
      </c>
      <c r="I986">
        <v>2381</v>
      </c>
      <c r="J986">
        <v>6.87</v>
      </c>
      <c r="K986">
        <v>30</v>
      </c>
      <c r="L986">
        <v>4</v>
      </c>
      <c r="M986">
        <v>11890</v>
      </c>
    </row>
    <row r="987" spans="1:13">
      <c r="A987" t="s">
        <v>1055</v>
      </c>
      <c r="B987" t="s">
        <v>95</v>
      </c>
      <c r="C987" t="s">
        <v>52</v>
      </c>
      <c r="D987" t="s">
        <v>27</v>
      </c>
      <c r="E987">
        <v>22</v>
      </c>
      <c r="F987" t="s">
        <v>22</v>
      </c>
      <c r="G987" t="s">
        <v>23</v>
      </c>
      <c r="H987">
        <v>73</v>
      </c>
      <c r="I987">
        <v>7870</v>
      </c>
      <c r="J987">
        <v>17.2</v>
      </c>
      <c r="K987">
        <v>103</v>
      </c>
      <c r="L987">
        <v>4</v>
      </c>
      <c r="M987">
        <v>31364</v>
      </c>
    </row>
    <row r="988" spans="1:13">
      <c r="A988" t="s">
        <v>1056</v>
      </c>
      <c r="B988" t="s">
        <v>78</v>
      </c>
      <c r="C988" t="s">
        <v>15</v>
      </c>
      <c r="D988" t="s">
        <v>27</v>
      </c>
      <c r="E988">
        <v>40</v>
      </c>
      <c r="F988" t="s">
        <v>22</v>
      </c>
      <c r="G988" t="s">
        <v>49</v>
      </c>
      <c r="H988">
        <v>87</v>
      </c>
      <c r="I988">
        <v>6421</v>
      </c>
      <c r="J988">
        <v>16.13</v>
      </c>
      <c r="K988">
        <v>61</v>
      </c>
      <c r="L988">
        <v>4</v>
      </c>
      <c r="M988">
        <v>31335</v>
      </c>
    </row>
    <row r="989" spans="1:13">
      <c r="A989" t="s">
        <v>1057</v>
      </c>
      <c r="B989" t="s">
        <v>25</v>
      </c>
      <c r="C989" t="s">
        <v>39</v>
      </c>
      <c r="D989" t="s">
        <v>72</v>
      </c>
      <c r="E989">
        <v>6</v>
      </c>
      <c r="F989" t="s">
        <v>34</v>
      </c>
      <c r="G989" t="s">
        <v>18</v>
      </c>
      <c r="H989">
        <v>85</v>
      </c>
      <c r="I989">
        <v>3024</v>
      </c>
      <c r="J989">
        <v>6.63</v>
      </c>
      <c r="K989">
        <v>64</v>
      </c>
      <c r="L989">
        <v>5</v>
      </c>
      <c r="M989">
        <v>10988</v>
      </c>
    </row>
    <row r="990" spans="1:13">
      <c r="A990" t="s">
        <v>1058</v>
      </c>
      <c r="B990" t="s">
        <v>185</v>
      </c>
      <c r="C990" t="s">
        <v>52</v>
      </c>
      <c r="D990" t="s">
        <v>16</v>
      </c>
      <c r="E990">
        <v>65</v>
      </c>
      <c r="F990" t="s">
        <v>22</v>
      </c>
      <c r="G990" t="s">
        <v>23</v>
      </c>
      <c r="H990">
        <v>79</v>
      </c>
      <c r="I990">
        <v>10791</v>
      </c>
      <c r="J990">
        <v>17.440000000000001</v>
      </c>
      <c r="K990">
        <v>78</v>
      </c>
      <c r="L990">
        <v>4</v>
      </c>
      <c r="M990">
        <v>42011</v>
      </c>
    </row>
    <row r="991" spans="1:13">
      <c r="A991" t="s">
        <v>1059</v>
      </c>
      <c r="B991" t="s">
        <v>135</v>
      </c>
      <c r="C991" t="s">
        <v>48</v>
      </c>
      <c r="D991" t="s">
        <v>27</v>
      </c>
      <c r="E991">
        <v>73</v>
      </c>
      <c r="F991" t="s">
        <v>17</v>
      </c>
      <c r="G991" t="s">
        <v>49</v>
      </c>
      <c r="H991">
        <v>84</v>
      </c>
      <c r="I991">
        <v>4341</v>
      </c>
      <c r="J991">
        <v>5.76</v>
      </c>
      <c r="K991">
        <v>76</v>
      </c>
      <c r="L991">
        <v>4</v>
      </c>
      <c r="M991">
        <v>17130</v>
      </c>
    </row>
    <row r="992" spans="1:13">
      <c r="A992" t="s">
        <v>1060</v>
      </c>
      <c r="B992" t="s">
        <v>78</v>
      </c>
      <c r="C992" t="s">
        <v>15</v>
      </c>
      <c r="D992" t="s">
        <v>27</v>
      </c>
      <c r="E992">
        <v>78</v>
      </c>
      <c r="F992" t="s">
        <v>17</v>
      </c>
      <c r="G992" t="s">
        <v>49</v>
      </c>
      <c r="H992">
        <v>83</v>
      </c>
      <c r="I992">
        <v>7206</v>
      </c>
      <c r="J992">
        <v>13.28</v>
      </c>
      <c r="K992">
        <v>67</v>
      </c>
      <c r="L992">
        <v>4</v>
      </c>
      <c r="M992">
        <v>22315</v>
      </c>
    </row>
    <row r="993" spans="1:13">
      <c r="A993" t="s">
        <v>1061</v>
      </c>
      <c r="B993" t="s">
        <v>47</v>
      </c>
      <c r="C993" t="s">
        <v>48</v>
      </c>
      <c r="D993" t="s">
        <v>16</v>
      </c>
      <c r="E993">
        <v>50</v>
      </c>
      <c r="F993" t="s">
        <v>22</v>
      </c>
      <c r="G993" t="s">
        <v>40</v>
      </c>
      <c r="H993">
        <v>80</v>
      </c>
      <c r="I993">
        <v>5952</v>
      </c>
      <c r="J993">
        <v>16.14</v>
      </c>
      <c r="K993">
        <v>89</v>
      </c>
      <c r="L993">
        <v>4</v>
      </c>
      <c r="M993">
        <v>33626</v>
      </c>
    </row>
    <row r="994" spans="1:13">
      <c r="A994" t="s">
        <v>1062</v>
      </c>
      <c r="B994" t="s">
        <v>168</v>
      </c>
      <c r="C994" t="s">
        <v>45</v>
      </c>
      <c r="D994" t="s">
        <v>16</v>
      </c>
      <c r="E994">
        <v>10</v>
      </c>
      <c r="F994" t="s">
        <v>17</v>
      </c>
      <c r="G994" t="s">
        <v>40</v>
      </c>
      <c r="H994">
        <v>74</v>
      </c>
      <c r="I994">
        <v>6177</v>
      </c>
      <c r="J994">
        <v>11.03</v>
      </c>
      <c r="K994">
        <v>87</v>
      </c>
      <c r="L994">
        <v>3</v>
      </c>
      <c r="M994">
        <v>34058</v>
      </c>
    </row>
    <row r="995" spans="1:13">
      <c r="A995" t="s">
        <v>1063</v>
      </c>
      <c r="B995" t="s">
        <v>168</v>
      </c>
      <c r="C995" t="s">
        <v>45</v>
      </c>
      <c r="D995" t="s">
        <v>16</v>
      </c>
      <c r="E995">
        <v>49</v>
      </c>
      <c r="F995" t="s">
        <v>17</v>
      </c>
      <c r="G995" t="s">
        <v>70</v>
      </c>
      <c r="H995">
        <v>77</v>
      </c>
      <c r="I995">
        <v>8122</v>
      </c>
      <c r="J995">
        <v>12.9</v>
      </c>
      <c r="K995">
        <v>85</v>
      </c>
      <c r="L995">
        <v>4</v>
      </c>
      <c r="M995">
        <v>42148</v>
      </c>
    </row>
    <row r="996" spans="1:13">
      <c r="A996" t="s">
        <v>1064</v>
      </c>
      <c r="B996" t="s">
        <v>80</v>
      </c>
      <c r="C996" t="s">
        <v>15</v>
      </c>
      <c r="D996" t="s">
        <v>27</v>
      </c>
      <c r="E996">
        <v>39</v>
      </c>
      <c r="F996" t="s">
        <v>22</v>
      </c>
      <c r="G996" t="s">
        <v>18</v>
      </c>
      <c r="H996">
        <v>82</v>
      </c>
      <c r="I996">
        <v>4281</v>
      </c>
      <c r="J996">
        <v>6.46</v>
      </c>
      <c r="K996">
        <v>92</v>
      </c>
      <c r="L996">
        <v>4</v>
      </c>
      <c r="M996">
        <v>18390</v>
      </c>
    </row>
    <row r="997" spans="1:13">
      <c r="A997" t="s">
        <v>1065</v>
      </c>
      <c r="B997" t="s">
        <v>62</v>
      </c>
      <c r="C997" t="s">
        <v>52</v>
      </c>
      <c r="D997" t="s">
        <v>27</v>
      </c>
      <c r="E997">
        <v>63</v>
      </c>
      <c r="F997" t="s">
        <v>34</v>
      </c>
      <c r="G997" t="s">
        <v>49</v>
      </c>
      <c r="H997">
        <v>78</v>
      </c>
      <c r="I997">
        <v>7996</v>
      </c>
      <c r="J997">
        <v>13.95</v>
      </c>
      <c r="K997">
        <v>88</v>
      </c>
      <c r="L997">
        <v>4</v>
      </c>
      <c r="M997">
        <v>35181</v>
      </c>
    </row>
    <row r="998" spans="1:13">
      <c r="A998" t="s">
        <v>1066</v>
      </c>
      <c r="B998" t="s">
        <v>64</v>
      </c>
      <c r="C998" t="s">
        <v>30</v>
      </c>
      <c r="D998" t="s">
        <v>27</v>
      </c>
      <c r="E998">
        <v>2</v>
      </c>
      <c r="F998" t="s">
        <v>17</v>
      </c>
      <c r="G998" t="s">
        <v>70</v>
      </c>
      <c r="H998">
        <v>79</v>
      </c>
      <c r="I998">
        <v>4994</v>
      </c>
      <c r="J998">
        <v>19.13</v>
      </c>
      <c r="K998">
        <v>118</v>
      </c>
      <c r="L998">
        <v>4</v>
      </c>
      <c r="M998">
        <v>27538</v>
      </c>
    </row>
    <row r="999" spans="1:13">
      <c r="A999" t="s">
        <v>1067</v>
      </c>
      <c r="B999" t="s">
        <v>38</v>
      </c>
      <c r="C999" t="s">
        <v>39</v>
      </c>
      <c r="D999" t="s">
        <v>16</v>
      </c>
      <c r="E999">
        <v>7</v>
      </c>
      <c r="F999" t="s">
        <v>17</v>
      </c>
      <c r="G999" t="s">
        <v>70</v>
      </c>
      <c r="H999">
        <v>92</v>
      </c>
      <c r="I999">
        <v>4006</v>
      </c>
      <c r="J999">
        <v>4.71</v>
      </c>
      <c r="K999">
        <v>36</v>
      </c>
      <c r="L999">
        <v>4</v>
      </c>
      <c r="M999">
        <v>22318</v>
      </c>
    </row>
    <row r="1000" spans="1:13">
      <c r="A1000" t="s">
        <v>1068</v>
      </c>
      <c r="B1000" t="s">
        <v>25</v>
      </c>
      <c r="C1000" t="s">
        <v>39</v>
      </c>
      <c r="D1000" t="s">
        <v>27</v>
      </c>
      <c r="E1000">
        <v>13</v>
      </c>
      <c r="F1000" t="s">
        <v>22</v>
      </c>
      <c r="G1000" t="s">
        <v>40</v>
      </c>
      <c r="H1000">
        <v>84</v>
      </c>
      <c r="I1000">
        <v>3721</v>
      </c>
      <c r="J1000">
        <v>8.0399999999999991</v>
      </c>
      <c r="K1000">
        <v>56</v>
      </c>
      <c r="L1000">
        <v>4</v>
      </c>
      <c r="M1000">
        <v>12910</v>
      </c>
    </row>
    <row r="1001" spans="1:13">
      <c r="A1001" t="s">
        <v>1069</v>
      </c>
      <c r="B1001" t="s">
        <v>143</v>
      </c>
      <c r="C1001" t="s">
        <v>21</v>
      </c>
      <c r="D1001" t="s">
        <v>16</v>
      </c>
      <c r="E1001">
        <v>36</v>
      </c>
      <c r="F1001" t="s">
        <v>17</v>
      </c>
      <c r="G1001" t="s">
        <v>18</v>
      </c>
      <c r="H1001">
        <v>64</v>
      </c>
      <c r="I1001">
        <v>7953</v>
      </c>
      <c r="J1001">
        <v>19.79</v>
      </c>
      <c r="K1001">
        <v>104</v>
      </c>
      <c r="L1001">
        <v>3</v>
      </c>
      <c r="M1001">
        <v>42400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2"/>
  <sheetViews>
    <sheetView topLeftCell="B1" workbookViewId="0">
      <selection activeCell="M17" sqref="M17"/>
    </sheetView>
  </sheetViews>
  <sheetFormatPr defaultColWidth="15.6640625" defaultRowHeight="14.4"/>
  <cols>
    <col min="1" max="4" width="15.6640625" customWidth="1"/>
    <col min="5" max="5" width="8.6640625" customWidth="1"/>
    <col min="6" max="7" width="15.6640625" customWidth="1"/>
    <col min="8" max="8" width="15.6640625" style="2" customWidth="1"/>
    <col min="9" max="9" width="15.6640625" style="3" customWidth="1"/>
    <col min="10" max="10" width="15.6640625" style="4" customWidth="1"/>
    <col min="11" max="11" width="15.6640625" style="2" customWidth="1"/>
    <col min="12" max="12" width="15.6640625" customWidth="1"/>
    <col min="13" max="13" width="15.6640625" style="3" customWidth="1"/>
    <col min="14" max="14" width="15.6640625" customWidth="1"/>
  </cols>
  <sheetData>
    <row r="1" spans="1:13" s="1" customFormat="1" ht="28.8">
      <c r="A1" s="1" t="s">
        <v>0</v>
      </c>
      <c r="B1" s="1" t="s">
        <v>1</v>
      </c>
      <c r="C1" s="1" t="s">
        <v>2</v>
      </c>
      <c r="D1" s="1" t="s">
        <v>3</v>
      </c>
      <c r="E1" s="1" t="s">
        <v>4</v>
      </c>
      <c r="F1" s="1" t="s">
        <v>5</v>
      </c>
      <c r="G1" s="1" t="s">
        <v>6</v>
      </c>
      <c r="H1" s="5" t="s">
        <v>7</v>
      </c>
      <c r="I1" s="9" t="s">
        <v>8</v>
      </c>
      <c r="J1" s="7" t="s">
        <v>9</v>
      </c>
      <c r="K1" s="5" t="s">
        <v>10</v>
      </c>
      <c r="L1" s="1" t="s">
        <v>11</v>
      </c>
      <c r="M1" s="9" t="s">
        <v>12</v>
      </c>
    </row>
    <row r="2" spans="1:13">
      <c r="A2" t="s">
        <v>13</v>
      </c>
      <c r="B2" t="s">
        <v>14</v>
      </c>
      <c r="C2" t="s">
        <v>15</v>
      </c>
      <c r="D2" t="s">
        <v>16</v>
      </c>
      <c r="E2" s="2">
        <v>54</v>
      </c>
      <c r="F2" t="s">
        <v>17</v>
      </c>
      <c r="G2" t="s">
        <v>18</v>
      </c>
      <c r="H2" s="2">
        <v>73</v>
      </c>
      <c r="I2" s="3">
        <v>7906</v>
      </c>
      <c r="J2" s="4">
        <v>22.09</v>
      </c>
      <c r="K2" s="2">
        <v>82</v>
      </c>
      <c r="L2" s="2">
        <v>4</v>
      </c>
      <c r="M2" s="3">
        <v>21372</v>
      </c>
    </row>
    <row r="3" spans="1:13">
      <c r="A3" t="s">
        <v>19</v>
      </c>
      <c r="B3" t="s">
        <v>20</v>
      </c>
      <c r="C3" t="s">
        <v>21</v>
      </c>
      <c r="D3" t="s">
        <v>16</v>
      </c>
      <c r="E3" s="2">
        <v>50</v>
      </c>
      <c r="F3" t="s">
        <v>22</v>
      </c>
      <c r="G3" t="s">
        <v>23</v>
      </c>
      <c r="H3" s="2">
        <v>72</v>
      </c>
      <c r="I3" s="3">
        <v>5744</v>
      </c>
      <c r="J3" s="4">
        <v>12.9</v>
      </c>
      <c r="K3" s="2">
        <v>110</v>
      </c>
      <c r="L3" s="2">
        <v>3</v>
      </c>
      <c r="M3" s="3">
        <v>24909</v>
      </c>
    </row>
    <row r="4" spans="1:13">
      <c r="A4" t="s">
        <v>24</v>
      </c>
      <c r="B4" t="s">
        <v>25</v>
      </c>
      <c r="C4" t="s">
        <v>26</v>
      </c>
      <c r="D4" t="s">
        <v>27</v>
      </c>
      <c r="E4" s="2">
        <v>10</v>
      </c>
      <c r="F4" t="s">
        <v>17</v>
      </c>
      <c r="G4" t="s">
        <v>18</v>
      </c>
      <c r="H4" s="2">
        <v>83</v>
      </c>
      <c r="I4" s="3">
        <v>1993</v>
      </c>
      <c r="J4" s="4">
        <v>6.26</v>
      </c>
      <c r="K4" s="2">
        <v>33</v>
      </c>
      <c r="L4" s="2">
        <v>4</v>
      </c>
      <c r="M4" s="3">
        <v>8163</v>
      </c>
    </row>
    <row r="5" spans="1:13">
      <c r="A5" t="s">
        <v>28</v>
      </c>
      <c r="B5" t="s">
        <v>29</v>
      </c>
      <c r="C5" t="s">
        <v>30</v>
      </c>
      <c r="D5" t="s">
        <v>27</v>
      </c>
      <c r="E5" s="2">
        <v>32</v>
      </c>
      <c r="F5" t="s">
        <v>22</v>
      </c>
      <c r="G5" t="s">
        <v>31</v>
      </c>
      <c r="H5" s="2">
        <v>71</v>
      </c>
      <c r="I5" s="3">
        <v>5291</v>
      </c>
      <c r="J5" s="4">
        <v>19.579999999999998</v>
      </c>
      <c r="K5" s="2">
        <v>121</v>
      </c>
      <c r="L5" s="2">
        <v>3</v>
      </c>
      <c r="M5" s="3">
        <v>16385</v>
      </c>
    </row>
    <row r="6" spans="1:13">
      <c r="A6" t="s">
        <v>32</v>
      </c>
      <c r="B6" t="s">
        <v>33</v>
      </c>
      <c r="C6" t="s">
        <v>26</v>
      </c>
      <c r="D6" t="s">
        <v>27</v>
      </c>
      <c r="E6" s="2">
        <v>32</v>
      </c>
      <c r="F6" t="s">
        <v>34</v>
      </c>
      <c r="G6" t="s">
        <v>23</v>
      </c>
      <c r="H6" s="2">
        <v>84</v>
      </c>
      <c r="I6" s="3">
        <v>2199</v>
      </c>
      <c r="J6" s="4">
        <v>12.41</v>
      </c>
      <c r="K6" s="2">
        <v>39</v>
      </c>
      <c r="L6" s="2">
        <v>4</v>
      </c>
      <c r="M6" s="3">
        <v>5762</v>
      </c>
    </row>
    <row r="7" spans="1:13">
      <c r="A7" t="s">
        <v>35</v>
      </c>
      <c r="B7" t="s">
        <v>36</v>
      </c>
      <c r="C7" t="s">
        <v>21</v>
      </c>
      <c r="D7" t="s">
        <v>27</v>
      </c>
      <c r="E7" s="2">
        <v>40</v>
      </c>
      <c r="F7" t="s">
        <v>17</v>
      </c>
      <c r="G7" t="s">
        <v>18</v>
      </c>
      <c r="H7" s="2">
        <v>87</v>
      </c>
      <c r="I7" s="3">
        <v>4855</v>
      </c>
      <c r="J7" s="4">
        <v>19.37</v>
      </c>
      <c r="K7" s="2">
        <v>97</v>
      </c>
      <c r="L7" s="2">
        <v>5</v>
      </c>
      <c r="M7" s="3">
        <v>15278</v>
      </c>
    </row>
    <row r="8" spans="1:13">
      <c r="A8" t="s">
        <v>37</v>
      </c>
      <c r="B8" t="s">
        <v>38</v>
      </c>
      <c r="C8" t="s">
        <v>39</v>
      </c>
      <c r="D8" t="s">
        <v>27</v>
      </c>
      <c r="E8" s="2">
        <v>10</v>
      </c>
      <c r="F8" t="s">
        <v>17</v>
      </c>
      <c r="G8" t="s">
        <v>40</v>
      </c>
      <c r="H8" s="2">
        <v>76</v>
      </c>
      <c r="I8" s="3">
        <v>2930</v>
      </c>
      <c r="J8" s="4">
        <v>6.8</v>
      </c>
      <c r="K8" s="2">
        <v>63</v>
      </c>
      <c r="L8" s="2">
        <v>4</v>
      </c>
      <c r="M8" s="3">
        <v>15823</v>
      </c>
    </row>
    <row r="9" spans="1:13">
      <c r="A9" t="s">
        <v>41</v>
      </c>
      <c r="B9" t="s">
        <v>42</v>
      </c>
      <c r="C9" t="s">
        <v>39</v>
      </c>
      <c r="D9" t="s">
        <v>27</v>
      </c>
      <c r="E9" s="2">
        <v>18</v>
      </c>
      <c r="F9" t="s">
        <v>17</v>
      </c>
      <c r="G9" t="s">
        <v>31</v>
      </c>
      <c r="H9" s="2">
        <v>88</v>
      </c>
      <c r="I9" s="3">
        <v>2321</v>
      </c>
      <c r="J9" s="4">
        <v>8.5399999999999991</v>
      </c>
      <c r="K9" s="2">
        <v>42</v>
      </c>
      <c r="L9" s="2">
        <v>5</v>
      </c>
      <c r="M9" s="3">
        <v>11724</v>
      </c>
    </row>
    <row r="10" spans="1:13">
      <c r="A10" t="s">
        <v>43</v>
      </c>
      <c r="B10" t="s">
        <v>44</v>
      </c>
      <c r="C10" t="s">
        <v>45</v>
      </c>
      <c r="D10" t="s">
        <v>27</v>
      </c>
      <c r="E10" s="2">
        <v>28</v>
      </c>
      <c r="F10" t="s">
        <v>34</v>
      </c>
      <c r="G10" t="s">
        <v>23</v>
      </c>
      <c r="H10" s="2">
        <v>71</v>
      </c>
      <c r="I10" s="3">
        <v>9596</v>
      </c>
      <c r="J10" s="4">
        <v>20.9</v>
      </c>
      <c r="K10" s="2">
        <v>88</v>
      </c>
      <c r="L10" s="2">
        <v>3</v>
      </c>
      <c r="M10" s="3">
        <v>34434</v>
      </c>
    </row>
    <row r="11" spans="1:13">
      <c r="A11" t="s">
        <v>46</v>
      </c>
      <c r="B11" t="s">
        <v>47</v>
      </c>
      <c r="C11" t="s">
        <v>48</v>
      </c>
      <c r="D11" t="s">
        <v>16</v>
      </c>
      <c r="E11" s="2">
        <v>68</v>
      </c>
      <c r="F11" t="s">
        <v>34</v>
      </c>
      <c r="G11" t="s">
        <v>49</v>
      </c>
      <c r="H11" s="2">
        <v>76</v>
      </c>
      <c r="I11" s="3">
        <v>7001</v>
      </c>
      <c r="J11" s="4">
        <v>13.19</v>
      </c>
      <c r="K11" s="2">
        <v>57</v>
      </c>
      <c r="L11" s="2">
        <v>4</v>
      </c>
      <c r="M11" s="3">
        <v>34979</v>
      </c>
    </row>
    <row r="12" spans="1:13">
      <c r="A12" t="s">
        <v>50</v>
      </c>
      <c r="B12" t="s">
        <v>51</v>
      </c>
      <c r="C12" t="s">
        <v>52</v>
      </c>
      <c r="D12" t="s">
        <v>27</v>
      </c>
      <c r="E12" s="2">
        <v>52</v>
      </c>
      <c r="F12" t="s">
        <v>17</v>
      </c>
      <c r="G12" t="s">
        <v>40</v>
      </c>
      <c r="H12" s="2">
        <v>58</v>
      </c>
      <c r="I12" s="3">
        <v>7942</v>
      </c>
      <c r="J12" s="4">
        <v>20.260000000000002</v>
      </c>
      <c r="K12" s="2">
        <v>110</v>
      </c>
      <c r="L12" s="2">
        <v>3</v>
      </c>
      <c r="M12" s="3">
        <v>20561</v>
      </c>
    </row>
    <row r="13" spans="1:13">
      <c r="A13" t="s">
        <v>53</v>
      </c>
      <c r="B13" t="s">
        <v>54</v>
      </c>
      <c r="C13" t="s">
        <v>15</v>
      </c>
      <c r="D13" t="s">
        <v>16</v>
      </c>
      <c r="E13" s="2">
        <v>16</v>
      </c>
      <c r="F13" t="s">
        <v>34</v>
      </c>
      <c r="G13" t="s">
        <v>40</v>
      </c>
      <c r="H13" s="2">
        <v>71</v>
      </c>
      <c r="I13" s="3">
        <v>8264</v>
      </c>
      <c r="J13" s="4">
        <v>16.079999999999998</v>
      </c>
      <c r="K13" s="2">
        <v>105</v>
      </c>
      <c r="L13" s="2">
        <v>3</v>
      </c>
      <c r="M13" s="3">
        <v>42513</v>
      </c>
    </row>
    <row r="14" spans="1:13">
      <c r="A14" t="s">
        <v>55</v>
      </c>
      <c r="B14" t="s">
        <v>56</v>
      </c>
      <c r="C14" t="s">
        <v>45</v>
      </c>
      <c r="D14" t="s">
        <v>27</v>
      </c>
      <c r="E14" s="2">
        <v>28</v>
      </c>
      <c r="F14" t="s">
        <v>34</v>
      </c>
      <c r="G14" t="s">
        <v>18</v>
      </c>
      <c r="H14" s="2">
        <v>73</v>
      </c>
      <c r="I14" s="3">
        <v>10647</v>
      </c>
      <c r="J14" s="4">
        <v>18.32</v>
      </c>
      <c r="K14" s="2">
        <v>84</v>
      </c>
      <c r="L14" s="2">
        <v>4</v>
      </c>
      <c r="M14" s="3">
        <v>59878</v>
      </c>
    </row>
    <row r="15" spans="1:13">
      <c r="A15" t="s">
        <v>57</v>
      </c>
      <c r="B15" t="s">
        <v>58</v>
      </c>
      <c r="C15" t="s">
        <v>48</v>
      </c>
      <c r="D15" t="s">
        <v>16</v>
      </c>
      <c r="E15" s="2">
        <v>72</v>
      </c>
      <c r="F15" t="s">
        <v>17</v>
      </c>
      <c r="G15" t="s">
        <v>49</v>
      </c>
      <c r="H15" s="2">
        <v>77</v>
      </c>
      <c r="I15" s="3">
        <v>5628</v>
      </c>
      <c r="J15" s="4">
        <v>14.69</v>
      </c>
      <c r="K15" s="2">
        <v>78</v>
      </c>
      <c r="L15" s="2">
        <v>4</v>
      </c>
      <c r="M15" s="3">
        <v>22483</v>
      </c>
    </row>
    <row r="16" spans="1:13">
      <c r="A16" t="s">
        <v>59</v>
      </c>
      <c r="B16" t="s">
        <v>60</v>
      </c>
      <c r="C16" t="s">
        <v>52</v>
      </c>
      <c r="D16" t="s">
        <v>27</v>
      </c>
      <c r="E16" s="2">
        <v>50</v>
      </c>
      <c r="F16" t="s">
        <v>34</v>
      </c>
      <c r="G16" t="s">
        <v>31</v>
      </c>
      <c r="H16" s="2">
        <v>71</v>
      </c>
      <c r="I16" s="3">
        <v>8008</v>
      </c>
      <c r="J16" s="4">
        <v>13.06</v>
      </c>
      <c r="K16" s="2">
        <v>85</v>
      </c>
      <c r="L16" s="2">
        <v>3</v>
      </c>
      <c r="M16" s="3">
        <v>23379</v>
      </c>
    </row>
    <row r="17" spans="1:13">
      <c r="A17" t="s">
        <v>61</v>
      </c>
      <c r="B17" t="s">
        <v>62</v>
      </c>
      <c r="C17" t="s">
        <v>52</v>
      </c>
      <c r="D17" t="s">
        <v>16</v>
      </c>
      <c r="E17" s="2">
        <v>54</v>
      </c>
      <c r="F17" t="s">
        <v>17</v>
      </c>
      <c r="G17" t="s">
        <v>18</v>
      </c>
      <c r="H17" s="2">
        <v>78</v>
      </c>
      <c r="I17" s="3">
        <v>8343</v>
      </c>
      <c r="J17" s="4">
        <v>5.91</v>
      </c>
      <c r="K17" s="2">
        <v>76</v>
      </c>
      <c r="L17" s="2">
        <v>4</v>
      </c>
      <c r="M17" s="3">
        <v>49234</v>
      </c>
    </row>
    <row r="18" spans="1:13">
      <c r="A18" t="s">
        <v>63</v>
      </c>
      <c r="B18" t="s">
        <v>64</v>
      </c>
      <c r="C18" t="s">
        <v>30</v>
      </c>
      <c r="D18" t="s">
        <v>27</v>
      </c>
      <c r="E18" s="2">
        <v>6</v>
      </c>
      <c r="F18" t="s">
        <v>17</v>
      </c>
      <c r="G18" t="s">
        <v>18</v>
      </c>
      <c r="H18" s="2">
        <v>66</v>
      </c>
      <c r="I18" s="3">
        <v>3542</v>
      </c>
      <c r="J18" s="4">
        <v>27.85</v>
      </c>
      <c r="K18" s="2">
        <v>109</v>
      </c>
      <c r="L18" s="2">
        <v>3</v>
      </c>
      <c r="M18" s="3">
        <v>10651</v>
      </c>
    </row>
    <row r="19" spans="1:13">
      <c r="A19" t="s">
        <v>65</v>
      </c>
      <c r="B19" t="s">
        <v>66</v>
      </c>
      <c r="C19" t="s">
        <v>39</v>
      </c>
      <c r="D19" t="s">
        <v>16</v>
      </c>
      <c r="E19" s="2">
        <v>12</v>
      </c>
      <c r="F19" t="s">
        <v>34</v>
      </c>
      <c r="G19" t="s">
        <v>31</v>
      </c>
      <c r="H19" s="2">
        <v>82</v>
      </c>
      <c r="I19" s="3">
        <v>3460</v>
      </c>
      <c r="J19" s="4">
        <v>3.4</v>
      </c>
      <c r="K19" s="2">
        <v>59</v>
      </c>
      <c r="L19" s="2">
        <v>4</v>
      </c>
      <c r="M19" s="3">
        <v>17468</v>
      </c>
    </row>
    <row r="20" spans="1:13">
      <c r="A20" t="s">
        <v>67</v>
      </c>
      <c r="B20" t="s">
        <v>68</v>
      </c>
      <c r="C20" t="s">
        <v>45</v>
      </c>
      <c r="D20" t="s">
        <v>27</v>
      </c>
      <c r="E20" s="2">
        <v>73</v>
      </c>
      <c r="F20" t="s">
        <v>17</v>
      </c>
      <c r="G20" t="s">
        <v>31</v>
      </c>
      <c r="H20" s="2">
        <v>69</v>
      </c>
      <c r="I20" s="3">
        <v>10056</v>
      </c>
      <c r="J20" s="4">
        <v>25.76</v>
      </c>
      <c r="K20" s="2">
        <v>66</v>
      </c>
      <c r="L20" s="2">
        <v>3</v>
      </c>
      <c r="M20" s="3">
        <v>26575</v>
      </c>
    </row>
    <row r="21" spans="1:13">
      <c r="A21" t="s">
        <v>69</v>
      </c>
      <c r="B21" t="s">
        <v>47</v>
      </c>
      <c r="C21" t="s">
        <v>48</v>
      </c>
      <c r="D21" t="s">
        <v>27</v>
      </c>
      <c r="E21" s="2">
        <v>79</v>
      </c>
      <c r="F21" t="s">
        <v>22</v>
      </c>
      <c r="G21" t="s">
        <v>70</v>
      </c>
      <c r="H21" s="2">
        <v>81</v>
      </c>
      <c r="I21" s="3">
        <v>6010</v>
      </c>
      <c r="J21" s="4">
        <v>10.54</v>
      </c>
      <c r="K21" s="2">
        <v>92</v>
      </c>
      <c r="L21" s="2">
        <v>4</v>
      </c>
      <c r="M21" s="3">
        <v>18692</v>
      </c>
    </row>
    <row r="22" spans="1:13">
      <c r="A22" t="s">
        <v>71</v>
      </c>
      <c r="B22" t="s">
        <v>66</v>
      </c>
      <c r="C22" t="s">
        <v>39</v>
      </c>
      <c r="D22" t="s">
        <v>72</v>
      </c>
      <c r="E22" s="2">
        <v>18</v>
      </c>
      <c r="F22" t="s">
        <v>17</v>
      </c>
      <c r="G22" t="s">
        <v>49</v>
      </c>
      <c r="H22" s="2">
        <v>84</v>
      </c>
      <c r="I22" s="3">
        <v>2530</v>
      </c>
      <c r="J22" s="4">
        <v>6.71</v>
      </c>
      <c r="K22" s="2">
        <v>90</v>
      </c>
      <c r="L22" s="2">
        <v>4</v>
      </c>
      <c r="M22" s="3">
        <v>13561</v>
      </c>
    </row>
    <row r="23" spans="1:13">
      <c r="A23" t="s">
        <v>73</v>
      </c>
      <c r="B23" t="s">
        <v>74</v>
      </c>
      <c r="C23" t="s">
        <v>45</v>
      </c>
      <c r="D23" t="s">
        <v>16</v>
      </c>
      <c r="E23" s="2">
        <v>72</v>
      </c>
      <c r="F23" t="s">
        <v>17</v>
      </c>
      <c r="G23" t="s">
        <v>18</v>
      </c>
      <c r="H23" s="2">
        <v>62</v>
      </c>
      <c r="I23" s="3">
        <v>8415</v>
      </c>
      <c r="J23" s="4">
        <v>16.18</v>
      </c>
      <c r="K23" s="2">
        <v>145</v>
      </c>
      <c r="L23" s="2">
        <v>4</v>
      </c>
      <c r="M23" s="3">
        <v>31322</v>
      </c>
    </row>
    <row r="24" spans="1:13">
      <c r="A24" t="s">
        <v>75</v>
      </c>
      <c r="B24" t="s">
        <v>36</v>
      </c>
      <c r="C24" t="s">
        <v>21</v>
      </c>
      <c r="D24" t="s">
        <v>16</v>
      </c>
      <c r="E24" s="2">
        <v>55</v>
      </c>
      <c r="F24" t="s">
        <v>34</v>
      </c>
      <c r="G24" t="s">
        <v>70</v>
      </c>
      <c r="H24" s="2">
        <v>72</v>
      </c>
      <c r="I24" s="3">
        <v>6825</v>
      </c>
      <c r="J24" s="4">
        <v>16.39</v>
      </c>
      <c r="K24" s="2">
        <v>95</v>
      </c>
      <c r="L24" s="2">
        <v>4</v>
      </c>
      <c r="M24" s="3">
        <v>20923</v>
      </c>
    </row>
    <row r="25" spans="1:13">
      <c r="A25" t="s">
        <v>76</v>
      </c>
      <c r="B25" t="s">
        <v>44</v>
      </c>
      <c r="C25" t="s">
        <v>45</v>
      </c>
      <c r="D25" t="s">
        <v>27</v>
      </c>
      <c r="E25" s="2">
        <v>49</v>
      </c>
      <c r="F25" t="s">
        <v>22</v>
      </c>
      <c r="G25" t="s">
        <v>23</v>
      </c>
      <c r="H25" s="2">
        <v>80</v>
      </c>
      <c r="I25" s="3">
        <v>9314</v>
      </c>
      <c r="J25" s="4">
        <v>12.13</v>
      </c>
      <c r="K25" s="2">
        <v>111</v>
      </c>
      <c r="L25" s="2">
        <v>5</v>
      </c>
      <c r="M25" s="3">
        <v>30595</v>
      </c>
    </row>
    <row r="26" spans="1:13">
      <c r="A26" t="s">
        <v>77</v>
      </c>
      <c r="B26" t="s">
        <v>78</v>
      </c>
      <c r="C26" t="s">
        <v>15</v>
      </c>
      <c r="D26" t="s">
        <v>16</v>
      </c>
      <c r="E26" s="2">
        <v>25</v>
      </c>
      <c r="F26" t="s">
        <v>22</v>
      </c>
      <c r="G26" t="s">
        <v>40</v>
      </c>
      <c r="H26" s="2">
        <v>81</v>
      </c>
      <c r="I26" s="3">
        <v>8622</v>
      </c>
      <c r="J26" s="4">
        <v>12.72</v>
      </c>
      <c r="K26" s="2">
        <v>100</v>
      </c>
      <c r="L26" s="2">
        <v>4</v>
      </c>
      <c r="M26" s="3">
        <v>41399</v>
      </c>
    </row>
    <row r="27" spans="1:13">
      <c r="A27" t="s">
        <v>79</v>
      </c>
      <c r="B27" t="s">
        <v>80</v>
      </c>
      <c r="C27" t="s">
        <v>15</v>
      </c>
      <c r="D27" t="s">
        <v>27</v>
      </c>
      <c r="E27" s="2">
        <v>27</v>
      </c>
      <c r="F27" t="s">
        <v>34</v>
      </c>
      <c r="G27" t="s">
        <v>23</v>
      </c>
      <c r="H27" s="2">
        <v>82</v>
      </c>
      <c r="I27" s="3">
        <v>5082</v>
      </c>
      <c r="J27" s="4">
        <v>12.91</v>
      </c>
      <c r="K27" s="2">
        <v>87</v>
      </c>
      <c r="L27" s="2">
        <v>4</v>
      </c>
      <c r="M27" s="3">
        <v>23931</v>
      </c>
    </row>
    <row r="28" spans="1:13">
      <c r="A28" t="s">
        <v>81</v>
      </c>
      <c r="B28" t="s">
        <v>47</v>
      </c>
      <c r="C28" t="s">
        <v>48</v>
      </c>
      <c r="D28" t="s">
        <v>16</v>
      </c>
      <c r="E28" s="2">
        <v>45</v>
      </c>
      <c r="F28" t="s">
        <v>22</v>
      </c>
      <c r="G28" t="s">
        <v>23</v>
      </c>
      <c r="H28" s="2">
        <v>74</v>
      </c>
      <c r="I28" s="3">
        <v>5682</v>
      </c>
      <c r="J28" s="4">
        <v>22.88</v>
      </c>
      <c r="K28" s="2">
        <v>104</v>
      </c>
      <c r="L28" s="2">
        <v>3</v>
      </c>
      <c r="M28" s="3">
        <v>19788</v>
      </c>
    </row>
    <row r="29" spans="1:13">
      <c r="A29" t="s">
        <v>82</v>
      </c>
      <c r="B29" t="s">
        <v>47</v>
      </c>
      <c r="C29" t="s">
        <v>48</v>
      </c>
      <c r="D29" t="s">
        <v>16</v>
      </c>
      <c r="E29" s="2">
        <v>45</v>
      </c>
      <c r="F29" t="s">
        <v>17</v>
      </c>
      <c r="G29" t="s">
        <v>40</v>
      </c>
      <c r="H29" s="2">
        <v>76</v>
      </c>
      <c r="I29" s="3">
        <v>5851</v>
      </c>
      <c r="J29" s="4">
        <v>14.96</v>
      </c>
      <c r="K29" s="2">
        <v>72</v>
      </c>
      <c r="L29" s="2">
        <v>4</v>
      </c>
      <c r="M29" s="3">
        <v>22513</v>
      </c>
    </row>
    <row r="30" spans="1:13">
      <c r="A30" t="s">
        <v>83</v>
      </c>
      <c r="B30" t="s">
        <v>84</v>
      </c>
      <c r="C30" t="s">
        <v>21</v>
      </c>
      <c r="D30" t="s">
        <v>16</v>
      </c>
      <c r="E30" s="2">
        <v>36</v>
      </c>
      <c r="F30" t="s">
        <v>22</v>
      </c>
      <c r="G30" t="s">
        <v>23</v>
      </c>
      <c r="H30" s="2">
        <v>77</v>
      </c>
      <c r="I30" s="3">
        <v>6778</v>
      </c>
      <c r="J30" s="4">
        <v>10.02</v>
      </c>
      <c r="K30" s="2">
        <v>107</v>
      </c>
      <c r="L30" s="2">
        <v>4</v>
      </c>
      <c r="M30" s="3">
        <v>30468</v>
      </c>
    </row>
    <row r="31" spans="1:13">
      <c r="A31" t="s">
        <v>85</v>
      </c>
      <c r="B31" t="s">
        <v>54</v>
      </c>
      <c r="C31" t="s">
        <v>39</v>
      </c>
      <c r="D31" t="s">
        <v>27</v>
      </c>
      <c r="E31" s="2">
        <v>13</v>
      </c>
      <c r="F31" t="s">
        <v>34</v>
      </c>
      <c r="G31" t="s">
        <v>40</v>
      </c>
      <c r="H31" s="2">
        <v>90</v>
      </c>
      <c r="I31" s="3">
        <v>3634</v>
      </c>
      <c r="J31" s="4">
        <v>8.2100000000000009</v>
      </c>
      <c r="K31" s="2">
        <v>43</v>
      </c>
      <c r="L31" s="2">
        <v>5</v>
      </c>
      <c r="M31" s="3">
        <v>18019</v>
      </c>
    </row>
    <row r="32" spans="1:13">
      <c r="A32" t="s">
        <v>86</v>
      </c>
      <c r="B32" t="s">
        <v>51</v>
      </c>
      <c r="C32" t="s">
        <v>52</v>
      </c>
      <c r="D32" t="s">
        <v>27</v>
      </c>
      <c r="E32" s="2">
        <v>17</v>
      </c>
      <c r="F32" t="s">
        <v>22</v>
      </c>
      <c r="G32" t="s">
        <v>23</v>
      </c>
      <c r="H32" s="2">
        <v>82</v>
      </c>
      <c r="I32" s="3">
        <v>8824</v>
      </c>
      <c r="J32" s="4">
        <v>16.059999999999999</v>
      </c>
      <c r="K32" s="2">
        <v>61</v>
      </c>
      <c r="L32" s="2">
        <v>5</v>
      </c>
      <c r="M32" s="3">
        <v>46714</v>
      </c>
    </row>
    <row r="33" spans="1:13">
      <c r="A33" t="s">
        <v>87</v>
      </c>
      <c r="B33" t="s">
        <v>88</v>
      </c>
      <c r="C33" t="s">
        <v>15</v>
      </c>
      <c r="D33" t="s">
        <v>16</v>
      </c>
      <c r="E33" s="2">
        <v>71</v>
      </c>
      <c r="F33" t="s">
        <v>22</v>
      </c>
      <c r="G33" t="s">
        <v>18</v>
      </c>
      <c r="H33" s="2">
        <v>68</v>
      </c>
      <c r="I33" s="3">
        <v>7325</v>
      </c>
      <c r="J33" s="4">
        <v>16.7</v>
      </c>
      <c r="K33" s="2">
        <v>104</v>
      </c>
      <c r="L33" s="2">
        <v>3</v>
      </c>
      <c r="M33" s="3">
        <v>20721</v>
      </c>
    </row>
    <row r="34" spans="1:13">
      <c r="A34" t="s">
        <v>89</v>
      </c>
      <c r="B34" t="s">
        <v>36</v>
      </c>
      <c r="C34" t="s">
        <v>21</v>
      </c>
      <c r="D34" t="s">
        <v>16</v>
      </c>
      <c r="E34" s="2">
        <v>35</v>
      </c>
      <c r="F34" t="s">
        <v>17</v>
      </c>
      <c r="G34" t="s">
        <v>40</v>
      </c>
      <c r="H34" s="2">
        <v>83</v>
      </c>
      <c r="I34" s="3">
        <v>9509</v>
      </c>
      <c r="J34" s="4">
        <v>7.53</v>
      </c>
      <c r="K34" s="2">
        <v>91</v>
      </c>
      <c r="L34" s="2">
        <v>4</v>
      </c>
      <c r="M34" s="3">
        <v>24787</v>
      </c>
    </row>
    <row r="35" spans="1:13">
      <c r="A35" t="s">
        <v>90</v>
      </c>
      <c r="B35" t="s">
        <v>33</v>
      </c>
      <c r="C35" t="s">
        <v>26</v>
      </c>
      <c r="D35" t="s">
        <v>16</v>
      </c>
      <c r="E35" s="2">
        <v>27</v>
      </c>
      <c r="F35" t="s">
        <v>22</v>
      </c>
      <c r="G35" t="s">
        <v>31</v>
      </c>
      <c r="H35" s="2">
        <v>90</v>
      </c>
      <c r="I35" s="3">
        <v>3280</v>
      </c>
      <c r="J35" s="4">
        <v>5.51</v>
      </c>
      <c r="K35" s="2">
        <v>38</v>
      </c>
      <c r="L35" s="2">
        <v>4</v>
      </c>
      <c r="M35" s="3">
        <v>9179</v>
      </c>
    </row>
    <row r="36" spans="1:13">
      <c r="A36" t="s">
        <v>91</v>
      </c>
      <c r="B36" t="s">
        <v>62</v>
      </c>
      <c r="C36" t="s">
        <v>52</v>
      </c>
      <c r="D36" t="s">
        <v>27</v>
      </c>
      <c r="E36" s="2">
        <v>45</v>
      </c>
      <c r="F36" t="s">
        <v>22</v>
      </c>
      <c r="G36" t="s">
        <v>31</v>
      </c>
      <c r="H36" s="2">
        <v>68</v>
      </c>
      <c r="I36" s="3">
        <v>11430</v>
      </c>
      <c r="J36" s="4">
        <v>16.54</v>
      </c>
      <c r="K36" s="2">
        <v>66</v>
      </c>
      <c r="L36" s="2">
        <v>3</v>
      </c>
      <c r="M36" s="3">
        <v>60386</v>
      </c>
    </row>
    <row r="37" spans="1:13">
      <c r="A37" t="s">
        <v>92</v>
      </c>
      <c r="B37" t="s">
        <v>54</v>
      </c>
      <c r="C37" t="s">
        <v>39</v>
      </c>
      <c r="D37" t="s">
        <v>16</v>
      </c>
      <c r="E37" s="2">
        <v>12</v>
      </c>
      <c r="F37" t="s">
        <v>34</v>
      </c>
      <c r="G37" t="s">
        <v>23</v>
      </c>
      <c r="H37" s="2">
        <v>83</v>
      </c>
      <c r="I37" s="3">
        <v>2536</v>
      </c>
      <c r="J37" s="4">
        <v>14.65</v>
      </c>
      <c r="K37" s="2">
        <v>26</v>
      </c>
      <c r="L37" s="2">
        <v>4</v>
      </c>
      <c r="M37" s="3">
        <v>8561</v>
      </c>
    </row>
    <row r="38" spans="1:13">
      <c r="A38" t="s">
        <v>93</v>
      </c>
      <c r="B38" t="s">
        <v>60</v>
      </c>
      <c r="C38" t="s">
        <v>52</v>
      </c>
      <c r="D38" t="s">
        <v>27</v>
      </c>
      <c r="E38" s="2">
        <v>80</v>
      </c>
      <c r="F38" t="s">
        <v>17</v>
      </c>
      <c r="G38" t="s">
        <v>49</v>
      </c>
      <c r="H38" s="2">
        <v>86</v>
      </c>
      <c r="I38" s="3">
        <v>5982</v>
      </c>
      <c r="J38" s="4">
        <v>17.670000000000002</v>
      </c>
      <c r="K38" s="2">
        <v>88</v>
      </c>
      <c r="L38" s="2">
        <v>5</v>
      </c>
      <c r="M38" s="3">
        <v>23740</v>
      </c>
    </row>
    <row r="39" spans="1:13">
      <c r="A39" t="s">
        <v>94</v>
      </c>
      <c r="B39" t="s">
        <v>95</v>
      </c>
      <c r="C39" t="s">
        <v>52</v>
      </c>
      <c r="D39" t="s">
        <v>27</v>
      </c>
      <c r="E39" s="2">
        <v>30</v>
      </c>
      <c r="F39" t="s">
        <v>17</v>
      </c>
      <c r="G39" t="s">
        <v>31</v>
      </c>
      <c r="H39" s="2">
        <v>77</v>
      </c>
      <c r="I39" s="3">
        <v>7620</v>
      </c>
      <c r="J39" s="4">
        <v>21.49</v>
      </c>
      <c r="K39" s="2">
        <v>54</v>
      </c>
      <c r="L39" s="2">
        <v>3</v>
      </c>
      <c r="M39" s="3">
        <v>31677</v>
      </c>
    </row>
    <row r="40" spans="1:13">
      <c r="A40" t="s">
        <v>96</v>
      </c>
      <c r="B40" t="s">
        <v>97</v>
      </c>
      <c r="C40" t="s">
        <v>30</v>
      </c>
      <c r="D40" t="s">
        <v>27</v>
      </c>
      <c r="E40" s="2">
        <v>39</v>
      </c>
      <c r="F40" t="s">
        <v>17</v>
      </c>
      <c r="G40" t="s">
        <v>40</v>
      </c>
      <c r="H40" s="2">
        <v>76</v>
      </c>
      <c r="I40" s="3">
        <v>4642</v>
      </c>
      <c r="J40" s="4">
        <v>12.28</v>
      </c>
      <c r="K40" s="2">
        <v>85</v>
      </c>
      <c r="L40" s="2">
        <v>4</v>
      </c>
      <c r="M40" s="3">
        <v>17691</v>
      </c>
    </row>
    <row r="41" spans="1:13">
      <c r="A41" t="s">
        <v>98</v>
      </c>
      <c r="B41" t="s">
        <v>78</v>
      </c>
      <c r="C41" t="s">
        <v>15</v>
      </c>
      <c r="D41" t="s">
        <v>27</v>
      </c>
      <c r="E41" s="2">
        <v>46</v>
      </c>
      <c r="F41" t="s">
        <v>22</v>
      </c>
      <c r="G41" t="s">
        <v>70</v>
      </c>
      <c r="H41" s="2">
        <v>68</v>
      </c>
      <c r="I41" s="3">
        <v>7566</v>
      </c>
      <c r="J41" s="4">
        <v>19.64</v>
      </c>
      <c r="K41" s="2">
        <v>131</v>
      </c>
      <c r="L41" s="2">
        <v>3</v>
      </c>
      <c r="M41" s="3">
        <v>34426</v>
      </c>
    </row>
    <row r="42" spans="1:13">
      <c r="A42" t="s">
        <v>99</v>
      </c>
      <c r="B42" t="s">
        <v>95</v>
      </c>
      <c r="C42" t="s">
        <v>52</v>
      </c>
      <c r="D42" t="s">
        <v>27</v>
      </c>
      <c r="E42" s="2">
        <v>47</v>
      </c>
      <c r="F42" t="s">
        <v>22</v>
      </c>
      <c r="G42" t="s">
        <v>49</v>
      </c>
      <c r="H42" s="2">
        <v>90</v>
      </c>
      <c r="I42" s="3">
        <v>10537</v>
      </c>
      <c r="J42" s="4">
        <v>9.0500000000000007</v>
      </c>
      <c r="K42" s="2">
        <v>93</v>
      </c>
      <c r="L42" s="2">
        <v>4</v>
      </c>
      <c r="M42" s="3">
        <v>61063</v>
      </c>
    </row>
    <row r="43" spans="1:13">
      <c r="A43" t="s">
        <v>100</v>
      </c>
      <c r="B43" t="s">
        <v>68</v>
      </c>
      <c r="C43" t="s">
        <v>45</v>
      </c>
      <c r="D43" t="s">
        <v>16</v>
      </c>
      <c r="E43" s="2">
        <v>53</v>
      </c>
      <c r="F43" t="s">
        <v>34</v>
      </c>
      <c r="G43" t="s">
        <v>18</v>
      </c>
      <c r="H43" s="2">
        <v>79</v>
      </c>
      <c r="I43" s="3">
        <v>8124</v>
      </c>
      <c r="J43" s="4">
        <v>17.829999999999998</v>
      </c>
      <c r="K43" s="2">
        <v>92</v>
      </c>
      <c r="L43" s="2">
        <v>4</v>
      </c>
      <c r="M43" s="3">
        <v>20971</v>
      </c>
    </row>
    <row r="44" spans="1:13">
      <c r="A44" t="s">
        <v>101</v>
      </c>
      <c r="B44" t="s">
        <v>14</v>
      </c>
      <c r="C44" t="s">
        <v>15</v>
      </c>
      <c r="D44" t="s">
        <v>16</v>
      </c>
      <c r="E44" s="2">
        <v>33</v>
      </c>
      <c r="F44" t="s">
        <v>34</v>
      </c>
      <c r="G44" t="s">
        <v>70</v>
      </c>
      <c r="H44" s="2">
        <v>80</v>
      </c>
      <c r="I44" s="3">
        <v>7499</v>
      </c>
      <c r="J44" s="4">
        <v>13.23</v>
      </c>
      <c r="K44" s="2">
        <v>101</v>
      </c>
      <c r="L44" s="2">
        <v>4</v>
      </c>
      <c r="M44" s="3">
        <v>38040</v>
      </c>
    </row>
    <row r="45" spans="1:13">
      <c r="A45" t="s">
        <v>102</v>
      </c>
      <c r="B45" t="s">
        <v>103</v>
      </c>
      <c r="C45" t="s">
        <v>26</v>
      </c>
      <c r="D45" t="s">
        <v>16</v>
      </c>
      <c r="E45" s="2">
        <v>32</v>
      </c>
      <c r="F45" t="s">
        <v>17</v>
      </c>
      <c r="G45" t="s">
        <v>31</v>
      </c>
      <c r="H45" s="2">
        <v>77</v>
      </c>
      <c r="I45" s="3">
        <v>2775</v>
      </c>
      <c r="J45" s="4">
        <v>2.16</v>
      </c>
      <c r="K45" s="2">
        <v>62</v>
      </c>
      <c r="L45" s="2">
        <v>3</v>
      </c>
      <c r="M45" s="3">
        <v>14478</v>
      </c>
    </row>
    <row r="46" spans="1:13">
      <c r="A46" t="s">
        <v>104</v>
      </c>
      <c r="B46" t="s">
        <v>14</v>
      </c>
      <c r="C46" t="s">
        <v>15</v>
      </c>
      <c r="D46" t="s">
        <v>27</v>
      </c>
      <c r="E46" s="2">
        <v>55</v>
      </c>
      <c r="F46" t="s">
        <v>34</v>
      </c>
      <c r="G46" t="s">
        <v>23</v>
      </c>
      <c r="H46" s="2">
        <v>79</v>
      </c>
      <c r="I46" s="3">
        <v>6695</v>
      </c>
      <c r="J46" s="4">
        <v>20.399999999999999</v>
      </c>
      <c r="K46" s="2">
        <v>80</v>
      </c>
      <c r="L46" s="2">
        <v>4</v>
      </c>
      <c r="M46" s="3">
        <v>19153</v>
      </c>
    </row>
    <row r="47" spans="1:13">
      <c r="A47" t="s">
        <v>105</v>
      </c>
      <c r="B47" t="s">
        <v>60</v>
      </c>
      <c r="C47" t="s">
        <v>52</v>
      </c>
      <c r="D47" t="s">
        <v>27</v>
      </c>
      <c r="E47" s="2">
        <v>45</v>
      </c>
      <c r="F47" t="s">
        <v>34</v>
      </c>
      <c r="G47" t="s">
        <v>18</v>
      </c>
      <c r="H47" s="2">
        <v>73</v>
      </c>
      <c r="I47" s="3">
        <v>7162</v>
      </c>
      <c r="J47" s="4">
        <v>17.8</v>
      </c>
      <c r="K47" s="2">
        <v>98</v>
      </c>
      <c r="L47" s="2">
        <v>4</v>
      </c>
      <c r="M47" s="3">
        <v>18176</v>
      </c>
    </row>
    <row r="48" spans="1:13">
      <c r="A48" t="s">
        <v>106</v>
      </c>
      <c r="B48" t="s">
        <v>33</v>
      </c>
      <c r="C48" t="s">
        <v>26</v>
      </c>
      <c r="D48" t="s">
        <v>27</v>
      </c>
      <c r="E48" s="2">
        <v>51</v>
      </c>
      <c r="F48" t="s">
        <v>17</v>
      </c>
      <c r="G48" t="s">
        <v>23</v>
      </c>
      <c r="H48" s="2">
        <v>82</v>
      </c>
      <c r="I48" s="3">
        <v>2548</v>
      </c>
      <c r="J48" s="4">
        <v>7.38</v>
      </c>
      <c r="K48" s="2">
        <v>42</v>
      </c>
      <c r="L48" s="2">
        <v>5</v>
      </c>
      <c r="M48" s="3">
        <v>8984</v>
      </c>
    </row>
    <row r="49" spans="1:13">
      <c r="A49" t="s">
        <v>107</v>
      </c>
      <c r="B49" t="s">
        <v>44</v>
      </c>
      <c r="C49" t="s">
        <v>45</v>
      </c>
      <c r="D49" t="s">
        <v>27</v>
      </c>
      <c r="E49" s="2">
        <v>69</v>
      </c>
      <c r="F49" t="s">
        <v>22</v>
      </c>
      <c r="G49" t="s">
        <v>49</v>
      </c>
      <c r="H49" s="2">
        <v>73</v>
      </c>
      <c r="I49" s="3">
        <v>10387</v>
      </c>
      <c r="J49" s="4">
        <v>19.670000000000002</v>
      </c>
      <c r="K49" s="2">
        <v>71</v>
      </c>
      <c r="L49" s="2">
        <v>4</v>
      </c>
      <c r="M49" s="3">
        <v>45945</v>
      </c>
    </row>
    <row r="50" spans="1:13">
      <c r="A50" t="s">
        <v>108</v>
      </c>
      <c r="B50" t="s">
        <v>109</v>
      </c>
      <c r="C50" t="s">
        <v>30</v>
      </c>
      <c r="D50" t="s">
        <v>16</v>
      </c>
      <c r="E50" s="2">
        <v>64</v>
      </c>
      <c r="F50" t="s">
        <v>17</v>
      </c>
      <c r="G50" t="s">
        <v>18</v>
      </c>
      <c r="H50" s="2">
        <v>75</v>
      </c>
      <c r="I50" s="3">
        <v>2922</v>
      </c>
      <c r="J50" s="4">
        <v>16.71</v>
      </c>
      <c r="K50" s="2">
        <v>107</v>
      </c>
      <c r="L50" s="2">
        <v>4</v>
      </c>
      <c r="M50" s="3">
        <v>13627</v>
      </c>
    </row>
    <row r="51" spans="1:13">
      <c r="A51" t="s">
        <v>110</v>
      </c>
      <c r="B51" t="s">
        <v>103</v>
      </c>
      <c r="C51" t="s">
        <v>26</v>
      </c>
      <c r="D51" t="s">
        <v>16</v>
      </c>
      <c r="E51" s="2">
        <v>36</v>
      </c>
      <c r="F51" t="s">
        <v>34</v>
      </c>
      <c r="G51" t="s">
        <v>23</v>
      </c>
      <c r="H51" s="2">
        <v>90</v>
      </c>
      <c r="I51" s="3">
        <v>2779</v>
      </c>
      <c r="J51" s="4">
        <v>8.49</v>
      </c>
      <c r="K51" s="2">
        <v>49</v>
      </c>
      <c r="L51" s="2">
        <v>4</v>
      </c>
      <c r="M51" s="3">
        <v>16160</v>
      </c>
    </row>
    <row r="52" spans="1:13">
      <c r="A52" t="s">
        <v>111</v>
      </c>
      <c r="B52" t="s">
        <v>36</v>
      </c>
      <c r="C52" t="s">
        <v>21</v>
      </c>
      <c r="D52" t="s">
        <v>27</v>
      </c>
      <c r="E52" s="2">
        <v>30</v>
      </c>
      <c r="F52" t="s">
        <v>34</v>
      </c>
      <c r="G52" t="s">
        <v>40</v>
      </c>
      <c r="H52" s="2">
        <v>78</v>
      </c>
      <c r="I52" s="3">
        <v>6904</v>
      </c>
      <c r="J52" s="4">
        <v>20.9</v>
      </c>
      <c r="K52" s="2">
        <v>85</v>
      </c>
      <c r="L52" s="2">
        <v>4</v>
      </c>
      <c r="M52" s="3">
        <v>19946</v>
      </c>
    </row>
    <row r="53" spans="1:13">
      <c r="A53" t="s">
        <v>112</v>
      </c>
      <c r="B53" t="s">
        <v>56</v>
      </c>
      <c r="C53" t="s">
        <v>45</v>
      </c>
      <c r="D53" t="s">
        <v>27</v>
      </c>
      <c r="E53" s="2">
        <v>38</v>
      </c>
      <c r="F53" t="s">
        <v>22</v>
      </c>
      <c r="G53" t="s">
        <v>49</v>
      </c>
      <c r="H53" s="2">
        <v>81</v>
      </c>
      <c r="I53" s="3">
        <v>7771</v>
      </c>
      <c r="J53" s="4">
        <v>16.809999999999999</v>
      </c>
      <c r="K53" s="2">
        <v>94</v>
      </c>
      <c r="L53" s="2">
        <v>4</v>
      </c>
      <c r="M53" s="3">
        <v>35294</v>
      </c>
    </row>
    <row r="54" spans="1:13">
      <c r="A54" t="s">
        <v>113</v>
      </c>
      <c r="B54" t="s">
        <v>68</v>
      </c>
      <c r="C54" t="s">
        <v>45</v>
      </c>
      <c r="D54" t="s">
        <v>27</v>
      </c>
      <c r="E54" s="2">
        <v>42</v>
      </c>
      <c r="F54" t="s">
        <v>17</v>
      </c>
      <c r="G54" t="s">
        <v>23</v>
      </c>
      <c r="H54" s="2">
        <v>76</v>
      </c>
      <c r="I54" s="3">
        <v>10242</v>
      </c>
      <c r="J54" s="4">
        <v>15.4</v>
      </c>
      <c r="K54" s="2">
        <v>103</v>
      </c>
      <c r="L54" s="2">
        <v>4</v>
      </c>
      <c r="M54" s="3">
        <v>28250</v>
      </c>
    </row>
    <row r="55" spans="1:13">
      <c r="A55" t="s">
        <v>114</v>
      </c>
      <c r="B55" t="s">
        <v>64</v>
      </c>
      <c r="C55" t="s">
        <v>30</v>
      </c>
      <c r="D55" t="s">
        <v>27</v>
      </c>
      <c r="E55" s="2">
        <v>54</v>
      </c>
      <c r="F55" t="s">
        <v>22</v>
      </c>
      <c r="G55" t="s">
        <v>70</v>
      </c>
      <c r="H55" s="2">
        <v>69</v>
      </c>
      <c r="I55" s="3">
        <v>5093</v>
      </c>
      <c r="J55" s="4">
        <v>19.62</v>
      </c>
      <c r="K55" s="2">
        <v>111</v>
      </c>
      <c r="L55" s="2">
        <v>4</v>
      </c>
      <c r="M55" s="3">
        <v>23919</v>
      </c>
    </row>
    <row r="56" spans="1:13">
      <c r="A56" t="s">
        <v>115</v>
      </c>
      <c r="B56" t="s">
        <v>20</v>
      </c>
      <c r="C56" t="s">
        <v>21</v>
      </c>
      <c r="D56" t="s">
        <v>72</v>
      </c>
      <c r="E56" s="2">
        <v>62</v>
      </c>
      <c r="F56" t="s">
        <v>17</v>
      </c>
      <c r="G56" t="s">
        <v>18</v>
      </c>
      <c r="H56" s="2">
        <v>73</v>
      </c>
      <c r="I56" s="3">
        <v>9346</v>
      </c>
      <c r="J56" s="4">
        <v>11.77</v>
      </c>
      <c r="K56" s="2">
        <v>93</v>
      </c>
      <c r="L56" s="2">
        <v>3</v>
      </c>
      <c r="M56" s="3">
        <v>38533</v>
      </c>
    </row>
    <row r="57" spans="1:13">
      <c r="A57" t="s">
        <v>116</v>
      </c>
      <c r="B57" t="s">
        <v>78</v>
      </c>
      <c r="C57" t="s">
        <v>15</v>
      </c>
      <c r="D57" t="s">
        <v>27</v>
      </c>
      <c r="E57" s="2">
        <v>65</v>
      </c>
      <c r="F57" t="s">
        <v>17</v>
      </c>
      <c r="G57" t="s">
        <v>70</v>
      </c>
      <c r="H57" s="2">
        <v>83</v>
      </c>
      <c r="I57" s="3">
        <v>4322</v>
      </c>
      <c r="J57" s="4">
        <v>17.45</v>
      </c>
      <c r="K57" s="2">
        <v>48</v>
      </c>
      <c r="L57" s="2">
        <v>5</v>
      </c>
      <c r="M57" s="3">
        <v>13264</v>
      </c>
    </row>
    <row r="58" spans="1:13">
      <c r="A58" t="s">
        <v>117</v>
      </c>
      <c r="B58" t="s">
        <v>78</v>
      </c>
      <c r="C58" t="s">
        <v>15</v>
      </c>
      <c r="D58" t="s">
        <v>27</v>
      </c>
      <c r="E58" s="2">
        <v>18</v>
      </c>
      <c r="F58" t="s">
        <v>22</v>
      </c>
      <c r="G58" t="s">
        <v>23</v>
      </c>
      <c r="H58" s="2">
        <v>64</v>
      </c>
      <c r="I58" s="3">
        <v>8651</v>
      </c>
      <c r="J58" s="4">
        <v>14.12</v>
      </c>
      <c r="K58" s="2">
        <v>121</v>
      </c>
      <c r="L58" s="2">
        <v>4</v>
      </c>
      <c r="M58" s="3">
        <v>50995</v>
      </c>
    </row>
    <row r="59" spans="1:13">
      <c r="A59" t="s">
        <v>118</v>
      </c>
      <c r="B59" t="s">
        <v>88</v>
      </c>
      <c r="C59" t="s">
        <v>15</v>
      </c>
      <c r="D59" t="s">
        <v>16</v>
      </c>
      <c r="E59" s="2">
        <v>50</v>
      </c>
      <c r="F59" t="s">
        <v>22</v>
      </c>
      <c r="G59" t="s">
        <v>49</v>
      </c>
      <c r="H59" s="2">
        <v>77</v>
      </c>
      <c r="I59" s="3">
        <v>3566</v>
      </c>
      <c r="J59" s="4">
        <v>12.39</v>
      </c>
      <c r="K59" s="2">
        <v>90</v>
      </c>
      <c r="L59" s="2">
        <v>4</v>
      </c>
      <c r="M59" s="3">
        <v>19707</v>
      </c>
    </row>
    <row r="60" spans="1:13">
      <c r="A60" t="s">
        <v>119</v>
      </c>
      <c r="B60" t="s">
        <v>25</v>
      </c>
      <c r="C60" t="s">
        <v>39</v>
      </c>
      <c r="D60" t="s">
        <v>27</v>
      </c>
      <c r="E60" s="2">
        <v>9</v>
      </c>
      <c r="F60" t="s">
        <v>22</v>
      </c>
      <c r="G60" t="s">
        <v>40</v>
      </c>
      <c r="H60" s="2">
        <v>77</v>
      </c>
      <c r="I60" s="3">
        <v>2729</v>
      </c>
      <c r="J60" s="4">
        <v>10.49</v>
      </c>
      <c r="K60" s="2">
        <v>60</v>
      </c>
      <c r="L60" s="2">
        <v>4</v>
      </c>
      <c r="M60" s="3">
        <v>15935</v>
      </c>
    </row>
    <row r="61" spans="1:13">
      <c r="A61" t="s">
        <v>120</v>
      </c>
      <c r="B61" t="s">
        <v>62</v>
      </c>
      <c r="C61" t="s">
        <v>52</v>
      </c>
      <c r="D61" t="s">
        <v>27</v>
      </c>
      <c r="E61" s="2">
        <v>17</v>
      </c>
      <c r="F61" t="s">
        <v>22</v>
      </c>
      <c r="G61" t="s">
        <v>31</v>
      </c>
      <c r="H61" s="2">
        <v>70</v>
      </c>
      <c r="I61" s="3">
        <v>9696</v>
      </c>
      <c r="J61" s="4">
        <v>20.170000000000002</v>
      </c>
      <c r="K61" s="2">
        <v>90</v>
      </c>
      <c r="L61" s="2">
        <v>3</v>
      </c>
      <c r="M61" s="3">
        <v>47030</v>
      </c>
    </row>
    <row r="62" spans="1:13">
      <c r="A62" t="s">
        <v>121</v>
      </c>
      <c r="B62" t="s">
        <v>122</v>
      </c>
      <c r="C62" t="s">
        <v>48</v>
      </c>
      <c r="D62" t="s">
        <v>27</v>
      </c>
      <c r="E62" s="2">
        <v>76</v>
      </c>
      <c r="F62" t="s">
        <v>17</v>
      </c>
      <c r="G62" t="s">
        <v>23</v>
      </c>
      <c r="H62" s="2">
        <v>90</v>
      </c>
      <c r="I62" s="3">
        <v>7415</v>
      </c>
      <c r="J62" s="4">
        <v>12.27</v>
      </c>
      <c r="K62" s="2">
        <v>77</v>
      </c>
      <c r="L62" s="2">
        <v>5</v>
      </c>
      <c r="M62" s="3">
        <v>41288</v>
      </c>
    </row>
    <row r="63" spans="1:13">
      <c r="A63" t="s">
        <v>123</v>
      </c>
      <c r="B63" t="s">
        <v>44</v>
      </c>
      <c r="C63" t="s">
        <v>45</v>
      </c>
      <c r="D63" t="s">
        <v>72</v>
      </c>
      <c r="E63" s="2">
        <v>24</v>
      </c>
      <c r="F63" t="s">
        <v>17</v>
      </c>
      <c r="G63" t="s">
        <v>23</v>
      </c>
      <c r="H63" s="2">
        <v>71</v>
      </c>
      <c r="I63" s="3">
        <v>11680</v>
      </c>
      <c r="J63" s="4">
        <v>20.51</v>
      </c>
      <c r="K63" s="2">
        <v>89</v>
      </c>
      <c r="L63" s="2">
        <v>3</v>
      </c>
      <c r="M63" s="3">
        <v>29794</v>
      </c>
    </row>
    <row r="64" spans="1:13">
      <c r="A64" t="s">
        <v>124</v>
      </c>
      <c r="B64" t="s">
        <v>95</v>
      </c>
      <c r="C64" t="s">
        <v>52</v>
      </c>
      <c r="D64" t="s">
        <v>27</v>
      </c>
      <c r="E64" s="2">
        <v>66</v>
      </c>
      <c r="F64" t="s">
        <v>34</v>
      </c>
      <c r="G64" t="s">
        <v>23</v>
      </c>
      <c r="H64" s="2">
        <v>85</v>
      </c>
      <c r="I64" s="3">
        <v>6106</v>
      </c>
      <c r="J64" s="4">
        <v>5.84</v>
      </c>
      <c r="K64" s="2">
        <v>44</v>
      </c>
      <c r="L64" s="2">
        <v>5</v>
      </c>
      <c r="M64" s="3">
        <v>26249</v>
      </c>
    </row>
    <row r="65" spans="1:13">
      <c r="A65" t="s">
        <v>125</v>
      </c>
      <c r="B65" t="s">
        <v>62</v>
      </c>
      <c r="C65" t="s">
        <v>52</v>
      </c>
      <c r="D65" t="s">
        <v>27</v>
      </c>
      <c r="E65" s="2">
        <v>35</v>
      </c>
      <c r="F65" t="s">
        <v>34</v>
      </c>
      <c r="G65" t="s">
        <v>49</v>
      </c>
      <c r="H65" s="2">
        <v>74</v>
      </c>
      <c r="I65" s="3">
        <v>9570</v>
      </c>
      <c r="J65" s="4">
        <v>15.32</v>
      </c>
      <c r="K65" s="2">
        <v>106</v>
      </c>
      <c r="L65" s="2">
        <v>4</v>
      </c>
      <c r="M65" s="3">
        <v>32574</v>
      </c>
    </row>
    <row r="66" spans="1:13">
      <c r="A66" t="s">
        <v>126</v>
      </c>
      <c r="B66" t="s">
        <v>47</v>
      </c>
      <c r="C66" t="s">
        <v>48</v>
      </c>
      <c r="D66" t="s">
        <v>72</v>
      </c>
      <c r="E66" s="2">
        <v>52</v>
      </c>
      <c r="F66" t="s">
        <v>22</v>
      </c>
      <c r="G66" t="s">
        <v>49</v>
      </c>
      <c r="H66" s="2">
        <v>73</v>
      </c>
      <c r="I66" s="3">
        <v>3519</v>
      </c>
      <c r="J66" s="4">
        <v>11.64</v>
      </c>
      <c r="K66" s="2">
        <v>74</v>
      </c>
      <c r="L66" s="2">
        <v>4</v>
      </c>
      <c r="M66" s="3">
        <v>9731</v>
      </c>
    </row>
    <row r="67" spans="1:13">
      <c r="A67" t="s">
        <v>127</v>
      </c>
      <c r="B67" t="s">
        <v>29</v>
      </c>
      <c r="C67" t="s">
        <v>30</v>
      </c>
      <c r="D67" t="s">
        <v>27</v>
      </c>
      <c r="E67" s="2">
        <v>22</v>
      </c>
      <c r="F67" t="s">
        <v>22</v>
      </c>
      <c r="G67" t="s">
        <v>23</v>
      </c>
      <c r="H67" s="2">
        <v>82</v>
      </c>
      <c r="I67" s="3">
        <v>4023</v>
      </c>
      <c r="J67" s="4">
        <v>16.84</v>
      </c>
      <c r="K67" s="2">
        <v>119</v>
      </c>
      <c r="L67" s="2">
        <v>4</v>
      </c>
      <c r="M67" s="3">
        <v>12483</v>
      </c>
    </row>
    <row r="68" spans="1:13">
      <c r="A68" t="s">
        <v>128</v>
      </c>
      <c r="B68" t="s">
        <v>129</v>
      </c>
      <c r="C68" t="s">
        <v>21</v>
      </c>
      <c r="D68" t="s">
        <v>27</v>
      </c>
      <c r="E68" s="2">
        <v>34</v>
      </c>
      <c r="F68" t="s">
        <v>17</v>
      </c>
      <c r="G68" t="s">
        <v>31</v>
      </c>
      <c r="H68" s="2">
        <v>78</v>
      </c>
      <c r="I68" s="3">
        <v>6360</v>
      </c>
      <c r="J68" s="4">
        <v>10.86</v>
      </c>
      <c r="K68" s="2">
        <v>74</v>
      </c>
      <c r="L68" s="2">
        <v>3</v>
      </c>
      <c r="M68" s="3">
        <v>27106</v>
      </c>
    </row>
    <row r="69" spans="1:13">
      <c r="A69" t="s">
        <v>130</v>
      </c>
      <c r="B69" t="s">
        <v>129</v>
      </c>
      <c r="C69" t="s">
        <v>21</v>
      </c>
      <c r="D69" t="s">
        <v>27</v>
      </c>
      <c r="E69" s="2">
        <v>42</v>
      </c>
      <c r="F69" t="s">
        <v>17</v>
      </c>
      <c r="G69" t="s">
        <v>31</v>
      </c>
      <c r="H69" s="2">
        <v>78</v>
      </c>
      <c r="I69" s="3">
        <v>7168</v>
      </c>
      <c r="J69" s="4">
        <v>19.82</v>
      </c>
      <c r="K69" s="2">
        <v>90</v>
      </c>
      <c r="L69" s="2">
        <v>4</v>
      </c>
      <c r="M69" s="3">
        <v>36692</v>
      </c>
    </row>
    <row r="70" spans="1:13">
      <c r="A70" t="s">
        <v>131</v>
      </c>
      <c r="B70" t="s">
        <v>66</v>
      </c>
      <c r="C70" t="s">
        <v>39</v>
      </c>
      <c r="D70" t="s">
        <v>16</v>
      </c>
      <c r="E70" s="2">
        <v>17</v>
      </c>
      <c r="F70" t="s">
        <v>34</v>
      </c>
      <c r="G70" t="s">
        <v>49</v>
      </c>
      <c r="H70" s="2">
        <v>81</v>
      </c>
      <c r="I70" s="3">
        <v>2834</v>
      </c>
      <c r="J70" s="4">
        <v>0</v>
      </c>
      <c r="K70" s="2">
        <v>48</v>
      </c>
      <c r="L70" s="2">
        <v>5</v>
      </c>
      <c r="M70" s="3">
        <v>11672</v>
      </c>
    </row>
    <row r="71" spans="1:13">
      <c r="A71" t="s">
        <v>132</v>
      </c>
      <c r="B71" t="s">
        <v>56</v>
      </c>
      <c r="C71" t="s">
        <v>45</v>
      </c>
      <c r="D71" t="s">
        <v>16</v>
      </c>
      <c r="E71" s="2">
        <v>62</v>
      </c>
      <c r="F71" t="s">
        <v>17</v>
      </c>
      <c r="G71" t="s">
        <v>23</v>
      </c>
      <c r="H71" s="2">
        <v>70</v>
      </c>
      <c r="I71" s="3">
        <v>9051</v>
      </c>
      <c r="J71" s="4">
        <v>20.87</v>
      </c>
      <c r="K71" s="2">
        <v>75</v>
      </c>
      <c r="L71" s="2">
        <v>4</v>
      </c>
      <c r="M71" s="3">
        <v>36800</v>
      </c>
    </row>
    <row r="72" spans="1:13">
      <c r="A72" t="s">
        <v>133</v>
      </c>
      <c r="B72" t="s">
        <v>25</v>
      </c>
      <c r="C72" t="s">
        <v>26</v>
      </c>
      <c r="D72" t="s">
        <v>27</v>
      </c>
      <c r="E72" s="2">
        <v>12</v>
      </c>
      <c r="F72" t="s">
        <v>34</v>
      </c>
      <c r="G72" t="s">
        <v>18</v>
      </c>
      <c r="H72" s="2">
        <v>86</v>
      </c>
      <c r="I72" s="3">
        <v>2121</v>
      </c>
      <c r="J72" s="4">
        <v>0</v>
      </c>
      <c r="K72" s="2">
        <v>49</v>
      </c>
      <c r="L72" s="2">
        <v>4</v>
      </c>
      <c r="M72" s="3">
        <v>6191</v>
      </c>
    </row>
    <row r="73" spans="1:13">
      <c r="A73" t="s">
        <v>134</v>
      </c>
      <c r="B73" t="s">
        <v>135</v>
      </c>
      <c r="C73" t="s">
        <v>48</v>
      </c>
      <c r="D73" t="s">
        <v>16</v>
      </c>
      <c r="E73" s="2">
        <v>49</v>
      </c>
      <c r="F73" t="s">
        <v>22</v>
      </c>
      <c r="G73" t="s">
        <v>31</v>
      </c>
      <c r="H73" s="2">
        <v>72</v>
      </c>
      <c r="I73" s="3">
        <v>7266</v>
      </c>
      <c r="J73" s="4">
        <v>14.61</v>
      </c>
      <c r="K73" s="2">
        <v>93</v>
      </c>
      <c r="L73" s="2">
        <v>4</v>
      </c>
      <c r="M73" s="3">
        <v>31824</v>
      </c>
    </row>
    <row r="74" spans="1:13">
      <c r="A74" t="s">
        <v>136</v>
      </c>
      <c r="B74" t="s">
        <v>137</v>
      </c>
      <c r="C74" t="s">
        <v>26</v>
      </c>
      <c r="D74" t="s">
        <v>27</v>
      </c>
      <c r="E74" s="2">
        <v>75</v>
      </c>
      <c r="F74" t="s">
        <v>17</v>
      </c>
      <c r="G74" t="s">
        <v>31</v>
      </c>
      <c r="H74" s="2">
        <v>82</v>
      </c>
      <c r="I74" s="3">
        <v>1981</v>
      </c>
      <c r="J74" s="4">
        <v>4.24</v>
      </c>
      <c r="K74" s="2">
        <v>55</v>
      </c>
      <c r="L74" s="2">
        <v>4</v>
      </c>
      <c r="M74" s="3">
        <v>9430</v>
      </c>
    </row>
    <row r="75" spans="1:13">
      <c r="A75" t="s">
        <v>138</v>
      </c>
      <c r="B75" t="s">
        <v>84</v>
      </c>
      <c r="C75" t="s">
        <v>21</v>
      </c>
      <c r="D75" t="s">
        <v>27</v>
      </c>
      <c r="E75" s="2">
        <v>6</v>
      </c>
      <c r="F75" t="s">
        <v>34</v>
      </c>
      <c r="G75" t="s">
        <v>49</v>
      </c>
      <c r="H75" s="2">
        <v>72</v>
      </c>
      <c r="I75" s="3">
        <v>6535</v>
      </c>
      <c r="J75" s="4">
        <v>15.51</v>
      </c>
      <c r="K75" s="2">
        <v>108</v>
      </c>
      <c r="L75" s="2">
        <v>4</v>
      </c>
      <c r="M75" s="3">
        <v>19833</v>
      </c>
    </row>
    <row r="76" spans="1:13">
      <c r="A76" t="s">
        <v>139</v>
      </c>
      <c r="B76" t="s">
        <v>36</v>
      </c>
      <c r="C76" t="s">
        <v>21</v>
      </c>
      <c r="D76" t="s">
        <v>27</v>
      </c>
      <c r="E76" s="2">
        <v>31</v>
      </c>
      <c r="F76" t="s">
        <v>34</v>
      </c>
      <c r="G76" t="s">
        <v>40</v>
      </c>
      <c r="H76" s="2">
        <v>79</v>
      </c>
      <c r="I76" s="3">
        <v>5729</v>
      </c>
      <c r="J76" s="4">
        <v>11.54</v>
      </c>
      <c r="K76" s="2">
        <v>80</v>
      </c>
      <c r="L76" s="2">
        <v>4</v>
      </c>
      <c r="M76" s="3">
        <v>22551</v>
      </c>
    </row>
    <row r="77" spans="1:13">
      <c r="A77" t="s">
        <v>140</v>
      </c>
      <c r="B77" t="s">
        <v>64</v>
      </c>
      <c r="C77" t="s">
        <v>30</v>
      </c>
      <c r="D77" t="s">
        <v>27</v>
      </c>
      <c r="E77" s="2">
        <v>52</v>
      </c>
      <c r="F77" t="s">
        <v>17</v>
      </c>
      <c r="G77" t="s">
        <v>31</v>
      </c>
      <c r="H77" s="2">
        <v>68</v>
      </c>
      <c r="I77" s="3">
        <v>3666</v>
      </c>
      <c r="J77" s="4">
        <v>19.09</v>
      </c>
      <c r="K77" s="2">
        <v>108</v>
      </c>
      <c r="L77" s="2">
        <v>3</v>
      </c>
      <c r="M77" s="3">
        <v>17744</v>
      </c>
    </row>
    <row r="78" spans="1:13">
      <c r="A78" t="s">
        <v>141</v>
      </c>
      <c r="B78" t="s">
        <v>80</v>
      </c>
      <c r="C78" t="s">
        <v>15</v>
      </c>
      <c r="D78" t="s">
        <v>16</v>
      </c>
      <c r="E78" s="2">
        <v>46</v>
      </c>
      <c r="F78" t="s">
        <v>34</v>
      </c>
      <c r="G78" t="s">
        <v>49</v>
      </c>
      <c r="H78" s="2">
        <v>70</v>
      </c>
      <c r="I78" s="3">
        <v>4662</v>
      </c>
      <c r="J78" s="4">
        <v>18.170000000000002</v>
      </c>
      <c r="K78" s="2">
        <v>100</v>
      </c>
      <c r="L78" s="2">
        <v>4</v>
      </c>
      <c r="M78" s="3">
        <v>16936</v>
      </c>
    </row>
    <row r="79" spans="1:13">
      <c r="A79" t="s">
        <v>142</v>
      </c>
      <c r="B79" t="s">
        <v>143</v>
      </c>
      <c r="C79" t="s">
        <v>21</v>
      </c>
      <c r="D79" t="s">
        <v>16</v>
      </c>
      <c r="E79" s="2">
        <v>50</v>
      </c>
      <c r="F79" t="s">
        <v>17</v>
      </c>
      <c r="G79" t="s">
        <v>70</v>
      </c>
      <c r="H79" s="2">
        <v>76</v>
      </c>
      <c r="I79" s="3">
        <v>5903</v>
      </c>
      <c r="J79" s="4">
        <v>13.77</v>
      </c>
      <c r="K79" s="2">
        <v>35</v>
      </c>
      <c r="L79" s="2">
        <v>4</v>
      </c>
      <c r="M79" s="3">
        <v>26766</v>
      </c>
    </row>
    <row r="80" spans="1:13">
      <c r="A80" t="s">
        <v>144</v>
      </c>
      <c r="B80" t="s">
        <v>97</v>
      </c>
      <c r="C80" t="s">
        <v>30</v>
      </c>
      <c r="D80" t="s">
        <v>16</v>
      </c>
      <c r="E80" s="2">
        <v>43</v>
      </c>
      <c r="F80" t="s">
        <v>34</v>
      </c>
      <c r="G80" t="s">
        <v>70</v>
      </c>
      <c r="H80" s="2">
        <v>71</v>
      </c>
      <c r="I80" s="3">
        <v>3043</v>
      </c>
      <c r="J80" s="4">
        <v>18.190000000000001</v>
      </c>
      <c r="K80" s="2">
        <v>85</v>
      </c>
      <c r="L80" s="2">
        <v>3</v>
      </c>
      <c r="M80" s="3">
        <v>8282</v>
      </c>
    </row>
    <row r="81" spans="1:13">
      <c r="A81" t="s">
        <v>145</v>
      </c>
      <c r="B81" t="s">
        <v>62</v>
      </c>
      <c r="C81" t="s">
        <v>52</v>
      </c>
      <c r="D81" t="s">
        <v>27</v>
      </c>
      <c r="E81" s="2">
        <v>32</v>
      </c>
      <c r="F81" t="s">
        <v>22</v>
      </c>
      <c r="G81" t="s">
        <v>23</v>
      </c>
      <c r="H81" s="2">
        <v>71</v>
      </c>
      <c r="I81" s="3">
        <v>9770</v>
      </c>
      <c r="J81" s="4">
        <v>17.09</v>
      </c>
      <c r="K81" s="2">
        <v>95</v>
      </c>
      <c r="L81" s="2">
        <v>5</v>
      </c>
      <c r="M81" s="3">
        <v>38507</v>
      </c>
    </row>
    <row r="82" spans="1:13">
      <c r="A82" t="s">
        <v>146</v>
      </c>
      <c r="B82" t="s">
        <v>25</v>
      </c>
      <c r="C82" t="s">
        <v>26</v>
      </c>
      <c r="D82" t="s">
        <v>16</v>
      </c>
      <c r="E82" s="2">
        <v>56</v>
      </c>
      <c r="F82" t="s">
        <v>17</v>
      </c>
      <c r="G82" t="s">
        <v>18</v>
      </c>
      <c r="H82" s="2">
        <v>89</v>
      </c>
      <c r="I82" s="3">
        <v>2685</v>
      </c>
      <c r="J82" s="4">
        <v>2.58</v>
      </c>
      <c r="K82" s="2">
        <v>40</v>
      </c>
      <c r="L82" s="2">
        <v>4</v>
      </c>
      <c r="M82" s="3">
        <v>12111</v>
      </c>
    </row>
    <row r="83" spans="1:13">
      <c r="A83" t="s">
        <v>147</v>
      </c>
      <c r="B83" t="s">
        <v>56</v>
      </c>
      <c r="C83" t="s">
        <v>45</v>
      </c>
      <c r="D83" t="s">
        <v>27</v>
      </c>
      <c r="E83" s="2">
        <v>42</v>
      </c>
      <c r="F83" t="s">
        <v>17</v>
      </c>
      <c r="G83" t="s">
        <v>18</v>
      </c>
      <c r="H83" s="2">
        <v>72</v>
      </c>
      <c r="I83" s="3">
        <v>7929</v>
      </c>
      <c r="J83" s="4">
        <v>19.350000000000001</v>
      </c>
      <c r="K83" s="2">
        <v>97</v>
      </c>
      <c r="L83" s="2">
        <v>3</v>
      </c>
      <c r="M83" s="3">
        <v>42428</v>
      </c>
    </row>
    <row r="84" spans="1:13">
      <c r="A84" t="s">
        <v>148</v>
      </c>
      <c r="B84" t="s">
        <v>97</v>
      </c>
      <c r="C84" t="s">
        <v>30</v>
      </c>
      <c r="D84" t="s">
        <v>27</v>
      </c>
      <c r="E84" s="2">
        <v>50</v>
      </c>
      <c r="F84" t="s">
        <v>34</v>
      </c>
      <c r="G84" t="s">
        <v>23</v>
      </c>
      <c r="H84" s="2">
        <v>74</v>
      </c>
      <c r="I84" s="3">
        <v>4109</v>
      </c>
      <c r="J84" s="4">
        <v>16.7</v>
      </c>
      <c r="K84" s="2">
        <v>151</v>
      </c>
      <c r="L84" s="2">
        <v>4</v>
      </c>
      <c r="M84" s="3">
        <v>16587</v>
      </c>
    </row>
    <row r="85" spans="1:13">
      <c r="A85" t="s">
        <v>149</v>
      </c>
      <c r="B85" t="s">
        <v>150</v>
      </c>
      <c r="C85" t="s">
        <v>48</v>
      </c>
      <c r="D85" t="s">
        <v>16</v>
      </c>
      <c r="E85" s="2">
        <v>31</v>
      </c>
      <c r="F85" t="s">
        <v>34</v>
      </c>
      <c r="G85" t="s">
        <v>31</v>
      </c>
      <c r="H85" s="2">
        <v>79</v>
      </c>
      <c r="I85" s="3">
        <v>7261</v>
      </c>
      <c r="J85" s="4">
        <v>8.6300000000000008</v>
      </c>
      <c r="K85" s="2">
        <v>30</v>
      </c>
      <c r="L85" s="2">
        <v>4</v>
      </c>
      <c r="M85" s="3">
        <v>41013</v>
      </c>
    </row>
    <row r="86" spans="1:13">
      <c r="A86" t="s">
        <v>151</v>
      </c>
      <c r="B86" t="s">
        <v>38</v>
      </c>
      <c r="C86" t="s">
        <v>39</v>
      </c>
      <c r="D86" t="s">
        <v>27</v>
      </c>
      <c r="E86" s="2">
        <v>9</v>
      </c>
      <c r="F86" t="s">
        <v>34</v>
      </c>
      <c r="G86" t="s">
        <v>18</v>
      </c>
      <c r="H86" s="2">
        <v>80</v>
      </c>
      <c r="I86" s="3">
        <v>3141</v>
      </c>
      <c r="J86" s="4">
        <v>11.08</v>
      </c>
      <c r="K86" s="2">
        <v>15</v>
      </c>
      <c r="L86" s="2">
        <v>4</v>
      </c>
      <c r="M86" s="3">
        <v>9383</v>
      </c>
    </row>
    <row r="87" spans="1:13">
      <c r="A87" t="s">
        <v>152</v>
      </c>
      <c r="B87" t="s">
        <v>58</v>
      </c>
      <c r="C87" t="s">
        <v>48</v>
      </c>
      <c r="D87" t="s">
        <v>27</v>
      </c>
      <c r="E87" s="2">
        <v>55</v>
      </c>
      <c r="F87" t="s">
        <v>34</v>
      </c>
      <c r="G87" t="s">
        <v>40</v>
      </c>
      <c r="H87" s="2">
        <v>74</v>
      </c>
      <c r="I87" s="3">
        <v>7159</v>
      </c>
      <c r="J87" s="4">
        <v>12.33</v>
      </c>
      <c r="K87" s="2">
        <v>99</v>
      </c>
      <c r="L87" s="2">
        <v>4</v>
      </c>
      <c r="M87" s="3">
        <v>25708</v>
      </c>
    </row>
    <row r="88" spans="1:13">
      <c r="A88" t="s">
        <v>153</v>
      </c>
      <c r="B88" t="s">
        <v>54</v>
      </c>
      <c r="C88" t="s">
        <v>39</v>
      </c>
      <c r="D88" t="s">
        <v>16</v>
      </c>
      <c r="E88" s="2">
        <v>15</v>
      </c>
      <c r="F88" t="s">
        <v>22</v>
      </c>
      <c r="G88" t="s">
        <v>23</v>
      </c>
      <c r="H88" s="2">
        <v>89</v>
      </c>
      <c r="I88" s="3">
        <v>3042</v>
      </c>
      <c r="J88" s="4">
        <v>6.09</v>
      </c>
      <c r="K88" s="2">
        <v>42</v>
      </c>
      <c r="L88" s="2">
        <v>5</v>
      </c>
      <c r="M88" s="3">
        <v>11247</v>
      </c>
    </row>
    <row r="89" spans="1:13">
      <c r="A89" t="s">
        <v>154</v>
      </c>
      <c r="B89" t="s">
        <v>137</v>
      </c>
      <c r="C89" t="s">
        <v>26</v>
      </c>
      <c r="D89" t="s">
        <v>27</v>
      </c>
      <c r="E89" s="2">
        <v>70</v>
      </c>
      <c r="F89" t="s">
        <v>17</v>
      </c>
      <c r="G89" t="s">
        <v>31</v>
      </c>
      <c r="H89" s="2">
        <v>94</v>
      </c>
      <c r="I89" s="3">
        <v>2286</v>
      </c>
      <c r="J89" s="4">
        <v>2.79</v>
      </c>
      <c r="K89" s="2">
        <v>36</v>
      </c>
      <c r="L89" s="2">
        <v>5</v>
      </c>
      <c r="M89" s="3">
        <v>10844</v>
      </c>
    </row>
    <row r="90" spans="1:13">
      <c r="A90" t="s">
        <v>155</v>
      </c>
      <c r="B90" t="s">
        <v>25</v>
      </c>
      <c r="C90" t="s">
        <v>26</v>
      </c>
      <c r="D90" t="s">
        <v>16</v>
      </c>
      <c r="E90" s="2">
        <v>53</v>
      </c>
      <c r="F90" t="s">
        <v>22</v>
      </c>
      <c r="G90" t="s">
        <v>31</v>
      </c>
      <c r="H90" s="2">
        <v>76</v>
      </c>
      <c r="I90" s="3">
        <v>2113</v>
      </c>
      <c r="J90" s="4">
        <v>0.02</v>
      </c>
      <c r="K90" s="2">
        <v>82</v>
      </c>
      <c r="L90" s="2">
        <v>4</v>
      </c>
      <c r="M90" s="3">
        <v>8699</v>
      </c>
    </row>
    <row r="91" spans="1:13">
      <c r="A91" t="s">
        <v>156</v>
      </c>
      <c r="B91" t="s">
        <v>62</v>
      </c>
      <c r="C91" t="s">
        <v>52</v>
      </c>
      <c r="D91" t="s">
        <v>27</v>
      </c>
      <c r="E91" s="2">
        <v>48</v>
      </c>
      <c r="F91" t="s">
        <v>22</v>
      </c>
      <c r="G91" t="s">
        <v>40</v>
      </c>
      <c r="H91" s="2">
        <v>80</v>
      </c>
      <c r="I91" s="3">
        <v>7675</v>
      </c>
      <c r="J91" s="4">
        <v>14.19</v>
      </c>
      <c r="K91" s="2">
        <v>132</v>
      </c>
      <c r="L91" s="2">
        <v>4</v>
      </c>
      <c r="M91" s="3">
        <v>43968</v>
      </c>
    </row>
    <row r="92" spans="1:13">
      <c r="A92" t="s">
        <v>157</v>
      </c>
      <c r="B92" t="s">
        <v>38</v>
      </c>
      <c r="C92" t="s">
        <v>39</v>
      </c>
      <c r="D92" t="s">
        <v>16</v>
      </c>
      <c r="E92" s="2">
        <v>16</v>
      </c>
      <c r="F92" t="s">
        <v>34</v>
      </c>
      <c r="G92" t="s">
        <v>49</v>
      </c>
      <c r="H92" s="2">
        <v>88</v>
      </c>
      <c r="I92" s="3">
        <v>4129</v>
      </c>
      <c r="J92" s="4">
        <v>13.38</v>
      </c>
      <c r="K92" s="2">
        <v>69</v>
      </c>
      <c r="L92" s="2">
        <v>4</v>
      </c>
      <c r="M92" s="3">
        <v>23825</v>
      </c>
    </row>
    <row r="93" spans="1:13">
      <c r="A93" t="s">
        <v>158</v>
      </c>
      <c r="B93" t="s">
        <v>122</v>
      </c>
      <c r="C93" t="s">
        <v>48</v>
      </c>
      <c r="D93" t="s">
        <v>27</v>
      </c>
      <c r="E93" s="2">
        <v>43</v>
      </c>
      <c r="F93" t="s">
        <v>22</v>
      </c>
      <c r="G93" t="s">
        <v>40</v>
      </c>
      <c r="H93" s="2">
        <v>74</v>
      </c>
      <c r="I93" s="3">
        <v>9046</v>
      </c>
      <c r="J93" s="4">
        <v>14.1</v>
      </c>
      <c r="K93" s="2">
        <v>90</v>
      </c>
      <c r="L93" s="2">
        <v>4</v>
      </c>
      <c r="M93" s="3">
        <v>33227</v>
      </c>
    </row>
    <row r="94" spans="1:13">
      <c r="A94" t="s">
        <v>159</v>
      </c>
      <c r="B94" t="s">
        <v>143</v>
      </c>
      <c r="C94" t="s">
        <v>21</v>
      </c>
      <c r="D94" t="s">
        <v>27</v>
      </c>
      <c r="E94" s="2">
        <v>24</v>
      </c>
      <c r="F94" t="s">
        <v>34</v>
      </c>
      <c r="G94" t="s">
        <v>31</v>
      </c>
      <c r="H94" s="2">
        <v>74</v>
      </c>
      <c r="I94" s="3">
        <v>7570</v>
      </c>
      <c r="J94" s="4">
        <v>15.29</v>
      </c>
      <c r="K94" s="2">
        <v>56</v>
      </c>
      <c r="L94" s="2">
        <v>3</v>
      </c>
      <c r="M94" s="3">
        <v>38465</v>
      </c>
    </row>
    <row r="95" spans="1:13">
      <c r="A95" t="s">
        <v>160</v>
      </c>
      <c r="B95" t="s">
        <v>84</v>
      </c>
      <c r="C95" t="s">
        <v>21</v>
      </c>
      <c r="D95" t="s">
        <v>16</v>
      </c>
      <c r="E95" s="2">
        <v>14</v>
      </c>
      <c r="F95" t="s">
        <v>34</v>
      </c>
      <c r="G95" t="s">
        <v>49</v>
      </c>
      <c r="H95" s="2">
        <v>77</v>
      </c>
      <c r="I95" s="3">
        <v>5036</v>
      </c>
      <c r="J95" s="4">
        <v>14.4</v>
      </c>
      <c r="K95" s="2">
        <v>84</v>
      </c>
      <c r="L95" s="2">
        <v>3</v>
      </c>
      <c r="M95" s="3">
        <v>19973</v>
      </c>
    </row>
    <row r="96" spans="1:13">
      <c r="A96" t="s">
        <v>161</v>
      </c>
      <c r="B96" t="s">
        <v>64</v>
      </c>
      <c r="C96" t="s">
        <v>30</v>
      </c>
      <c r="D96" t="s">
        <v>27</v>
      </c>
      <c r="E96" s="2">
        <v>40</v>
      </c>
      <c r="F96" t="s">
        <v>34</v>
      </c>
      <c r="G96" t="s">
        <v>49</v>
      </c>
      <c r="H96" s="2">
        <v>67</v>
      </c>
      <c r="I96" s="3">
        <v>4794</v>
      </c>
      <c r="J96" s="4">
        <v>22.51</v>
      </c>
      <c r="K96" s="2">
        <v>123</v>
      </c>
      <c r="L96" s="2">
        <v>3</v>
      </c>
      <c r="M96" s="3">
        <v>13417</v>
      </c>
    </row>
    <row r="97" spans="1:13">
      <c r="A97" t="s">
        <v>162</v>
      </c>
      <c r="B97" t="s">
        <v>54</v>
      </c>
      <c r="C97" t="s">
        <v>39</v>
      </c>
      <c r="D97" t="s">
        <v>27</v>
      </c>
      <c r="E97" s="2">
        <v>7</v>
      </c>
      <c r="F97" t="s">
        <v>22</v>
      </c>
      <c r="G97" t="s">
        <v>18</v>
      </c>
      <c r="H97" s="2">
        <v>79</v>
      </c>
      <c r="I97" s="3">
        <v>2593</v>
      </c>
      <c r="J97" s="4">
        <v>8.6</v>
      </c>
      <c r="K97" s="2">
        <v>63</v>
      </c>
      <c r="L97" s="2">
        <v>4</v>
      </c>
      <c r="M97" s="3">
        <v>14632</v>
      </c>
    </row>
    <row r="98" spans="1:13">
      <c r="A98" t="s">
        <v>163</v>
      </c>
      <c r="B98" t="s">
        <v>68</v>
      </c>
      <c r="C98" t="s">
        <v>45</v>
      </c>
      <c r="D98" t="s">
        <v>16</v>
      </c>
      <c r="E98" s="2">
        <v>33</v>
      </c>
      <c r="F98" t="s">
        <v>34</v>
      </c>
      <c r="G98" t="s">
        <v>49</v>
      </c>
      <c r="H98" s="2">
        <v>74</v>
      </c>
      <c r="I98" s="3">
        <v>8941</v>
      </c>
      <c r="J98" s="4">
        <v>14.83</v>
      </c>
      <c r="K98" s="2">
        <v>84</v>
      </c>
      <c r="L98" s="2">
        <v>4</v>
      </c>
      <c r="M98" s="3">
        <v>46621</v>
      </c>
    </row>
    <row r="99" spans="1:13">
      <c r="A99" t="s">
        <v>164</v>
      </c>
      <c r="B99" t="s">
        <v>38</v>
      </c>
      <c r="C99" t="s">
        <v>39</v>
      </c>
      <c r="D99" t="s">
        <v>16</v>
      </c>
      <c r="E99" s="2">
        <v>8</v>
      </c>
      <c r="F99" t="s">
        <v>17</v>
      </c>
      <c r="G99" t="s">
        <v>31</v>
      </c>
      <c r="H99" s="2">
        <v>87</v>
      </c>
      <c r="I99" s="3">
        <v>1752</v>
      </c>
      <c r="J99" s="4">
        <v>3.04</v>
      </c>
      <c r="K99" s="2">
        <v>6</v>
      </c>
      <c r="L99" s="2">
        <v>4</v>
      </c>
      <c r="M99" s="3">
        <v>5495</v>
      </c>
    </row>
    <row r="100" spans="1:13">
      <c r="A100" t="s">
        <v>165</v>
      </c>
      <c r="B100" t="s">
        <v>135</v>
      </c>
      <c r="C100" t="s">
        <v>48</v>
      </c>
      <c r="D100" t="s">
        <v>16</v>
      </c>
      <c r="E100" s="2">
        <v>16</v>
      </c>
      <c r="F100" t="s">
        <v>17</v>
      </c>
      <c r="G100" t="s">
        <v>23</v>
      </c>
      <c r="H100" s="2">
        <v>83</v>
      </c>
      <c r="I100" s="3">
        <v>4667</v>
      </c>
      <c r="J100" s="4">
        <v>19.010000000000002</v>
      </c>
      <c r="K100" s="2">
        <v>59</v>
      </c>
      <c r="L100" s="2">
        <v>5</v>
      </c>
      <c r="M100" s="3">
        <v>12110</v>
      </c>
    </row>
    <row r="101" spans="1:13">
      <c r="A101" t="s">
        <v>166</v>
      </c>
      <c r="B101" t="s">
        <v>97</v>
      </c>
      <c r="C101" t="s">
        <v>30</v>
      </c>
      <c r="D101" t="s">
        <v>72</v>
      </c>
      <c r="E101" s="2">
        <v>30</v>
      </c>
      <c r="F101" t="s">
        <v>22</v>
      </c>
      <c r="G101" t="s">
        <v>23</v>
      </c>
      <c r="H101" s="2">
        <v>77</v>
      </c>
      <c r="I101" s="3">
        <v>3569</v>
      </c>
      <c r="J101" s="4">
        <v>17.48</v>
      </c>
      <c r="K101" s="2">
        <v>95</v>
      </c>
      <c r="L101" s="2">
        <v>3</v>
      </c>
      <c r="M101" s="3">
        <v>11897</v>
      </c>
    </row>
    <row r="102" spans="1:13">
      <c r="A102" t="s">
        <v>167</v>
      </c>
      <c r="B102" t="s">
        <v>168</v>
      </c>
      <c r="C102" t="s">
        <v>45</v>
      </c>
      <c r="D102" t="s">
        <v>16</v>
      </c>
      <c r="E102" s="2">
        <v>40</v>
      </c>
      <c r="F102" t="s">
        <v>22</v>
      </c>
      <c r="G102" t="s">
        <v>18</v>
      </c>
      <c r="H102" s="2">
        <v>73</v>
      </c>
      <c r="I102" s="3">
        <v>10279</v>
      </c>
      <c r="J102" s="4">
        <v>18.78</v>
      </c>
      <c r="K102" s="2">
        <v>87</v>
      </c>
      <c r="L102" s="2">
        <v>4</v>
      </c>
      <c r="M102" s="3">
        <v>49732</v>
      </c>
    </row>
    <row r="103" spans="1:13">
      <c r="A103" t="s">
        <v>169</v>
      </c>
      <c r="B103" t="s">
        <v>103</v>
      </c>
      <c r="C103" t="s">
        <v>26</v>
      </c>
      <c r="D103" t="s">
        <v>27</v>
      </c>
      <c r="E103" s="2">
        <v>31</v>
      </c>
      <c r="F103" t="s">
        <v>17</v>
      </c>
      <c r="G103" t="s">
        <v>31</v>
      </c>
      <c r="H103" s="2">
        <v>80</v>
      </c>
      <c r="I103" s="3">
        <v>1665</v>
      </c>
      <c r="J103" s="4">
        <v>12.06</v>
      </c>
      <c r="K103" s="2">
        <v>26</v>
      </c>
      <c r="L103" s="2">
        <v>4</v>
      </c>
      <c r="M103" s="3">
        <v>6375</v>
      </c>
    </row>
    <row r="104" spans="1:13">
      <c r="A104" t="s">
        <v>170</v>
      </c>
      <c r="B104" t="s">
        <v>109</v>
      </c>
      <c r="C104" t="s">
        <v>30</v>
      </c>
      <c r="D104" t="s">
        <v>16</v>
      </c>
      <c r="E104" s="2">
        <v>13</v>
      </c>
      <c r="F104" t="s">
        <v>17</v>
      </c>
      <c r="G104" t="s">
        <v>18</v>
      </c>
      <c r="H104" s="2">
        <v>57</v>
      </c>
      <c r="I104" s="3">
        <v>2603</v>
      </c>
      <c r="J104" s="4">
        <v>25.02</v>
      </c>
      <c r="K104" s="2">
        <v>122</v>
      </c>
      <c r="L104" s="2">
        <v>4</v>
      </c>
      <c r="M104" s="3">
        <v>9190</v>
      </c>
    </row>
    <row r="105" spans="1:13">
      <c r="A105" t="s">
        <v>171</v>
      </c>
      <c r="B105" t="s">
        <v>74</v>
      </c>
      <c r="C105" t="s">
        <v>45</v>
      </c>
      <c r="D105" t="s">
        <v>16</v>
      </c>
      <c r="E105" s="2">
        <v>64</v>
      </c>
      <c r="F105" t="s">
        <v>17</v>
      </c>
      <c r="G105" t="s">
        <v>70</v>
      </c>
      <c r="H105" s="2">
        <v>83</v>
      </c>
      <c r="I105" s="3">
        <v>8395</v>
      </c>
      <c r="J105" s="4">
        <v>22.38</v>
      </c>
      <c r="K105" s="2">
        <v>94</v>
      </c>
      <c r="L105" s="2">
        <v>4</v>
      </c>
      <c r="M105" s="3">
        <v>28564</v>
      </c>
    </row>
    <row r="106" spans="1:13">
      <c r="A106" t="s">
        <v>172</v>
      </c>
      <c r="B106" t="s">
        <v>36</v>
      </c>
      <c r="C106" t="s">
        <v>21</v>
      </c>
      <c r="D106" t="s">
        <v>16</v>
      </c>
      <c r="E106" s="2">
        <v>48</v>
      </c>
      <c r="F106" t="s">
        <v>22</v>
      </c>
      <c r="G106" t="s">
        <v>49</v>
      </c>
      <c r="H106" s="2">
        <v>73</v>
      </c>
      <c r="I106" s="3">
        <v>6523</v>
      </c>
      <c r="J106" s="4">
        <v>16.39</v>
      </c>
      <c r="K106" s="2">
        <v>86</v>
      </c>
      <c r="L106" s="2">
        <v>3</v>
      </c>
      <c r="M106" s="3">
        <v>16727</v>
      </c>
    </row>
    <row r="107" spans="1:13">
      <c r="A107" t="s">
        <v>173</v>
      </c>
      <c r="B107" t="s">
        <v>54</v>
      </c>
      <c r="C107" t="s">
        <v>39</v>
      </c>
      <c r="D107" t="s">
        <v>16</v>
      </c>
      <c r="E107" s="2">
        <v>12</v>
      </c>
      <c r="F107" t="s">
        <v>22</v>
      </c>
      <c r="G107" t="s">
        <v>49</v>
      </c>
      <c r="H107" s="2">
        <v>78</v>
      </c>
      <c r="I107" s="3">
        <v>4203</v>
      </c>
      <c r="J107" s="4">
        <v>10.87</v>
      </c>
      <c r="K107" s="2">
        <v>71</v>
      </c>
      <c r="L107" s="2">
        <v>4</v>
      </c>
      <c r="M107" s="3">
        <v>10669</v>
      </c>
    </row>
    <row r="108" spans="1:13">
      <c r="A108" t="s">
        <v>174</v>
      </c>
      <c r="B108" t="s">
        <v>137</v>
      </c>
      <c r="C108" t="s">
        <v>26</v>
      </c>
      <c r="D108" t="s">
        <v>27</v>
      </c>
      <c r="E108" s="2">
        <v>50</v>
      </c>
      <c r="F108" t="s">
        <v>17</v>
      </c>
      <c r="G108" t="s">
        <v>31</v>
      </c>
      <c r="H108" s="2">
        <v>73</v>
      </c>
      <c r="I108" s="3">
        <v>3332</v>
      </c>
      <c r="J108" s="4">
        <v>9.06</v>
      </c>
      <c r="K108" s="2">
        <v>64</v>
      </c>
      <c r="L108" s="2">
        <v>3</v>
      </c>
      <c r="M108" s="3">
        <v>14381</v>
      </c>
    </row>
    <row r="109" spans="1:13">
      <c r="A109" t="s">
        <v>175</v>
      </c>
      <c r="B109" t="s">
        <v>168</v>
      </c>
      <c r="C109" t="s">
        <v>45</v>
      </c>
      <c r="D109" t="s">
        <v>27</v>
      </c>
      <c r="E109" s="2">
        <v>38</v>
      </c>
      <c r="F109" t="s">
        <v>17</v>
      </c>
      <c r="G109" t="s">
        <v>31</v>
      </c>
      <c r="H109" s="2">
        <v>65</v>
      </c>
      <c r="I109" s="3">
        <v>6418</v>
      </c>
      <c r="J109" s="4">
        <v>19.32</v>
      </c>
      <c r="K109" s="2">
        <v>98</v>
      </c>
      <c r="L109" s="2">
        <v>3</v>
      </c>
      <c r="M109" s="3">
        <v>24034</v>
      </c>
    </row>
    <row r="110" spans="1:13">
      <c r="A110" t="s">
        <v>176</v>
      </c>
      <c r="B110" t="s">
        <v>47</v>
      </c>
      <c r="C110" t="s">
        <v>48</v>
      </c>
      <c r="D110" t="s">
        <v>16</v>
      </c>
      <c r="E110" s="2">
        <v>25</v>
      </c>
      <c r="F110" t="s">
        <v>17</v>
      </c>
      <c r="G110" t="s">
        <v>40</v>
      </c>
      <c r="H110" s="2">
        <v>74</v>
      </c>
      <c r="I110" s="3">
        <v>4860</v>
      </c>
      <c r="J110" s="4">
        <v>22.53</v>
      </c>
      <c r="K110" s="2">
        <v>96</v>
      </c>
      <c r="L110" s="2">
        <v>4</v>
      </c>
      <c r="M110" s="3">
        <v>24611</v>
      </c>
    </row>
    <row r="111" spans="1:13">
      <c r="A111" t="s">
        <v>177</v>
      </c>
      <c r="B111" t="s">
        <v>74</v>
      </c>
      <c r="C111" t="s">
        <v>45</v>
      </c>
      <c r="D111" t="s">
        <v>16</v>
      </c>
      <c r="E111" s="2">
        <v>57</v>
      </c>
      <c r="F111" t="s">
        <v>17</v>
      </c>
      <c r="G111" t="s">
        <v>40</v>
      </c>
      <c r="H111" s="2">
        <v>71</v>
      </c>
      <c r="I111" s="3">
        <v>8990</v>
      </c>
      <c r="J111" s="4">
        <v>14.36</v>
      </c>
      <c r="K111" s="2">
        <v>64</v>
      </c>
      <c r="L111" s="2">
        <v>4</v>
      </c>
      <c r="M111" s="3">
        <v>46731</v>
      </c>
    </row>
    <row r="112" spans="1:13">
      <c r="A112" t="s">
        <v>178</v>
      </c>
      <c r="B112" t="s">
        <v>25</v>
      </c>
      <c r="C112" t="s">
        <v>39</v>
      </c>
      <c r="D112" t="s">
        <v>16</v>
      </c>
      <c r="E112" s="2">
        <v>6</v>
      </c>
      <c r="F112" t="s">
        <v>17</v>
      </c>
      <c r="G112" t="s">
        <v>18</v>
      </c>
      <c r="H112" s="2">
        <v>79</v>
      </c>
      <c r="I112" s="3">
        <v>2623</v>
      </c>
      <c r="J112" s="4">
        <v>15.25</v>
      </c>
      <c r="K112" s="2">
        <v>95</v>
      </c>
      <c r="L112" s="2">
        <v>4</v>
      </c>
      <c r="M112" s="3">
        <v>13896</v>
      </c>
    </row>
    <row r="113" spans="1:13">
      <c r="A113" t="s">
        <v>179</v>
      </c>
      <c r="B113" t="s">
        <v>143</v>
      </c>
      <c r="C113" t="s">
        <v>21</v>
      </c>
      <c r="D113" t="s">
        <v>27</v>
      </c>
      <c r="E113" s="2">
        <v>23</v>
      </c>
      <c r="F113" t="s">
        <v>17</v>
      </c>
      <c r="G113" t="s">
        <v>31</v>
      </c>
      <c r="H113" s="2">
        <v>65</v>
      </c>
      <c r="I113" s="3">
        <v>4208</v>
      </c>
      <c r="J113" s="4">
        <v>19.579999999999998</v>
      </c>
      <c r="K113" s="2">
        <v>108</v>
      </c>
      <c r="L113" s="2">
        <v>3</v>
      </c>
      <c r="M113" s="3">
        <v>18501</v>
      </c>
    </row>
    <row r="114" spans="1:13">
      <c r="A114" t="s">
        <v>180</v>
      </c>
      <c r="B114" t="s">
        <v>51</v>
      </c>
      <c r="C114" t="s">
        <v>52</v>
      </c>
      <c r="D114" t="s">
        <v>27</v>
      </c>
      <c r="E114" s="2">
        <v>52</v>
      </c>
      <c r="F114" t="s">
        <v>34</v>
      </c>
      <c r="G114" t="s">
        <v>49</v>
      </c>
      <c r="H114" s="2">
        <v>79</v>
      </c>
      <c r="I114" s="3">
        <v>8895</v>
      </c>
      <c r="J114" s="4">
        <v>18.32</v>
      </c>
      <c r="K114" s="2">
        <v>92</v>
      </c>
      <c r="L114" s="2">
        <v>4</v>
      </c>
      <c r="M114" s="3">
        <v>30010</v>
      </c>
    </row>
    <row r="115" spans="1:13">
      <c r="A115" t="s">
        <v>181</v>
      </c>
      <c r="B115" t="s">
        <v>168</v>
      </c>
      <c r="C115" t="s">
        <v>45</v>
      </c>
      <c r="D115" t="s">
        <v>27</v>
      </c>
      <c r="E115" s="2">
        <v>14</v>
      </c>
      <c r="F115" t="s">
        <v>34</v>
      </c>
      <c r="G115" t="s">
        <v>70</v>
      </c>
      <c r="H115" s="2">
        <v>77</v>
      </c>
      <c r="I115" s="3">
        <v>10473</v>
      </c>
      <c r="J115" s="4">
        <v>17.54</v>
      </c>
      <c r="K115" s="2">
        <v>93</v>
      </c>
      <c r="L115" s="2">
        <v>4</v>
      </c>
      <c r="M115" s="3">
        <v>61777</v>
      </c>
    </row>
    <row r="116" spans="1:13">
      <c r="A116" t="s">
        <v>182</v>
      </c>
      <c r="B116" t="s">
        <v>29</v>
      </c>
      <c r="C116" t="s">
        <v>30</v>
      </c>
      <c r="D116" t="s">
        <v>27</v>
      </c>
      <c r="E116" s="2">
        <v>44</v>
      </c>
      <c r="F116" t="s">
        <v>17</v>
      </c>
      <c r="G116" t="s">
        <v>40</v>
      </c>
      <c r="H116" s="2">
        <v>75</v>
      </c>
      <c r="I116" s="3">
        <v>3519</v>
      </c>
      <c r="J116" s="4">
        <v>18.12</v>
      </c>
      <c r="K116" s="2">
        <v>123</v>
      </c>
      <c r="L116" s="2">
        <v>4</v>
      </c>
      <c r="M116" s="3">
        <v>9253</v>
      </c>
    </row>
    <row r="117" spans="1:13">
      <c r="A117" t="s">
        <v>183</v>
      </c>
      <c r="B117" t="s">
        <v>122</v>
      </c>
      <c r="C117" t="s">
        <v>48</v>
      </c>
      <c r="D117" t="s">
        <v>16</v>
      </c>
      <c r="E117" s="2">
        <v>16</v>
      </c>
      <c r="F117" t="s">
        <v>34</v>
      </c>
      <c r="G117" t="s">
        <v>49</v>
      </c>
      <c r="H117" s="2">
        <v>75</v>
      </c>
      <c r="I117" s="3">
        <v>4749</v>
      </c>
      <c r="J117" s="4">
        <v>17.11</v>
      </c>
      <c r="K117" s="2">
        <v>85</v>
      </c>
      <c r="L117" s="2">
        <v>4</v>
      </c>
      <c r="M117" s="3">
        <v>17113</v>
      </c>
    </row>
    <row r="118" spans="1:13">
      <c r="A118" t="s">
        <v>184</v>
      </c>
      <c r="B118" t="s">
        <v>185</v>
      </c>
      <c r="C118" t="s">
        <v>52</v>
      </c>
      <c r="D118" t="s">
        <v>27</v>
      </c>
      <c r="E118" s="2">
        <v>73</v>
      </c>
      <c r="F118" t="s">
        <v>34</v>
      </c>
      <c r="G118" t="s">
        <v>70</v>
      </c>
      <c r="H118" s="2">
        <v>82</v>
      </c>
      <c r="I118" s="3">
        <v>9650</v>
      </c>
      <c r="J118" s="4">
        <v>8.06</v>
      </c>
      <c r="K118" s="2">
        <v>83</v>
      </c>
      <c r="L118" s="2">
        <v>4</v>
      </c>
      <c r="M118" s="3">
        <v>31993</v>
      </c>
    </row>
    <row r="119" spans="1:13">
      <c r="A119" t="s">
        <v>186</v>
      </c>
      <c r="B119" t="s">
        <v>187</v>
      </c>
      <c r="C119" t="s">
        <v>30</v>
      </c>
      <c r="D119" t="s">
        <v>27</v>
      </c>
      <c r="E119" s="2">
        <v>59</v>
      </c>
      <c r="F119" t="s">
        <v>22</v>
      </c>
      <c r="G119" t="s">
        <v>70</v>
      </c>
      <c r="H119" s="2">
        <v>71</v>
      </c>
      <c r="I119" s="3">
        <v>4356</v>
      </c>
      <c r="J119" s="4">
        <v>15.27</v>
      </c>
      <c r="K119" s="2">
        <v>110</v>
      </c>
      <c r="L119" s="2">
        <v>3</v>
      </c>
      <c r="M119" s="3">
        <v>20456</v>
      </c>
    </row>
    <row r="120" spans="1:13">
      <c r="A120" t="s">
        <v>188</v>
      </c>
      <c r="B120" t="s">
        <v>36</v>
      </c>
      <c r="C120" t="s">
        <v>21</v>
      </c>
      <c r="D120" t="s">
        <v>16</v>
      </c>
      <c r="E120" s="2">
        <v>36</v>
      </c>
      <c r="F120" t="s">
        <v>22</v>
      </c>
      <c r="G120" t="s">
        <v>49</v>
      </c>
      <c r="H120" s="2">
        <v>72</v>
      </c>
      <c r="I120" s="3">
        <v>8553</v>
      </c>
      <c r="J120" s="4">
        <v>12.91</v>
      </c>
      <c r="K120" s="2">
        <v>119</v>
      </c>
      <c r="L120" s="2">
        <v>3</v>
      </c>
      <c r="M120" s="3">
        <v>31998</v>
      </c>
    </row>
    <row r="121" spans="1:13">
      <c r="A121" t="s">
        <v>189</v>
      </c>
      <c r="B121" t="s">
        <v>187</v>
      </c>
      <c r="C121" t="s">
        <v>30</v>
      </c>
      <c r="D121" t="s">
        <v>16</v>
      </c>
      <c r="E121" s="2">
        <v>24</v>
      </c>
      <c r="F121" t="s">
        <v>22</v>
      </c>
      <c r="G121" t="s">
        <v>23</v>
      </c>
      <c r="H121" s="2">
        <v>72</v>
      </c>
      <c r="I121" s="3">
        <v>2146</v>
      </c>
      <c r="J121" s="4">
        <v>13.17</v>
      </c>
      <c r="K121" s="2">
        <v>88</v>
      </c>
      <c r="L121" s="2">
        <v>4</v>
      </c>
      <c r="M121" s="3">
        <v>12500</v>
      </c>
    </row>
    <row r="122" spans="1:13">
      <c r="A122" t="s">
        <v>190</v>
      </c>
      <c r="B122" t="s">
        <v>88</v>
      </c>
      <c r="C122" t="s">
        <v>15</v>
      </c>
      <c r="D122" t="s">
        <v>27</v>
      </c>
      <c r="E122" s="2">
        <v>64</v>
      </c>
      <c r="F122" t="s">
        <v>34</v>
      </c>
      <c r="G122" t="s">
        <v>18</v>
      </c>
      <c r="H122" s="2">
        <v>70</v>
      </c>
      <c r="I122" s="3">
        <v>6930</v>
      </c>
      <c r="J122" s="4">
        <v>18.7</v>
      </c>
      <c r="K122" s="2">
        <v>80</v>
      </c>
      <c r="L122" s="2">
        <v>4</v>
      </c>
      <c r="M122" s="3">
        <v>41365</v>
      </c>
    </row>
    <row r="123" spans="1:13">
      <c r="A123" t="s">
        <v>191</v>
      </c>
      <c r="B123" t="s">
        <v>64</v>
      </c>
      <c r="C123" t="s">
        <v>30</v>
      </c>
      <c r="D123" t="s">
        <v>27</v>
      </c>
      <c r="E123" s="2">
        <v>68</v>
      </c>
      <c r="F123" t="s">
        <v>17</v>
      </c>
      <c r="G123" t="s">
        <v>70</v>
      </c>
      <c r="H123" s="2">
        <v>66</v>
      </c>
      <c r="I123" s="3">
        <v>2401</v>
      </c>
      <c r="J123" s="4">
        <v>18.3</v>
      </c>
      <c r="K123" s="2">
        <v>142</v>
      </c>
      <c r="L123" s="2">
        <v>3</v>
      </c>
      <c r="M123" s="3">
        <v>7569</v>
      </c>
    </row>
    <row r="124" spans="1:13">
      <c r="A124" t="s">
        <v>192</v>
      </c>
      <c r="B124" t="s">
        <v>25</v>
      </c>
      <c r="C124" t="s">
        <v>39</v>
      </c>
      <c r="D124" t="s">
        <v>16</v>
      </c>
      <c r="E124" s="2">
        <v>8</v>
      </c>
      <c r="F124" t="s">
        <v>34</v>
      </c>
      <c r="G124" t="s">
        <v>40</v>
      </c>
      <c r="H124" s="2">
        <v>78</v>
      </c>
      <c r="I124" s="3">
        <v>3852</v>
      </c>
      <c r="J124" s="4">
        <v>5.72</v>
      </c>
      <c r="K124" s="2">
        <v>83</v>
      </c>
      <c r="L124" s="2">
        <v>4</v>
      </c>
      <c r="M124" s="3">
        <v>20629</v>
      </c>
    </row>
    <row r="125" spans="1:13">
      <c r="A125" t="s">
        <v>193</v>
      </c>
      <c r="B125" t="s">
        <v>25</v>
      </c>
      <c r="C125" t="s">
        <v>26</v>
      </c>
      <c r="D125" t="s">
        <v>16</v>
      </c>
      <c r="E125" s="2">
        <v>30</v>
      </c>
      <c r="F125" t="s">
        <v>34</v>
      </c>
      <c r="G125" t="s">
        <v>23</v>
      </c>
      <c r="H125" s="2">
        <v>83</v>
      </c>
      <c r="I125" s="3">
        <v>3678</v>
      </c>
      <c r="J125" s="4">
        <v>8.75</v>
      </c>
      <c r="K125" s="2">
        <v>30</v>
      </c>
      <c r="L125" s="2">
        <v>4</v>
      </c>
      <c r="M125" s="3">
        <v>20490</v>
      </c>
    </row>
    <row r="126" spans="1:13">
      <c r="A126" t="s">
        <v>194</v>
      </c>
      <c r="B126" t="s">
        <v>64</v>
      </c>
      <c r="C126" t="s">
        <v>30</v>
      </c>
      <c r="D126" t="s">
        <v>27</v>
      </c>
      <c r="E126" s="2">
        <v>32</v>
      </c>
      <c r="F126" t="s">
        <v>17</v>
      </c>
      <c r="G126" t="s">
        <v>31</v>
      </c>
      <c r="H126" s="2">
        <v>76</v>
      </c>
      <c r="I126" s="3">
        <v>3700</v>
      </c>
      <c r="J126" s="4">
        <v>19.34</v>
      </c>
      <c r="K126" s="2">
        <v>102</v>
      </c>
      <c r="L126" s="2">
        <v>5</v>
      </c>
      <c r="M126" s="3">
        <v>10376</v>
      </c>
    </row>
    <row r="127" spans="1:13">
      <c r="A127" t="s">
        <v>195</v>
      </c>
      <c r="B127" t="s">
        <v>109</v>
      </c>
      <c r="C127" t="s">
        <v>30</v>
      </c>
      <c r="D127" t="s">
        <v>16</v>
      </c>
      <c r="E127" s="2">
        <v>10</v>
      </c>
      <c r="F127" t="s">
        <v>17</v>
      </c>
      <c r="G127" t="s">
        <v>23</v>
      </c>
      <c r="H127" s="2">
        <v>73</v>
      </c>
      <c r="I127" s="3">
        <v>4118</v>
      </c>
      <c r="J127" s="4">
        <v>14.2</v>
      </c>
      <c r="K127" s="2">
        <v>84</v>
      </c>
      <c r="L127" s="2">
        <v>4</v>
      </c>
      <c r="M127" s="3">
        <v>13468</v>
      </c>
    </row>
    <row r="128" spans="1:13">
      <c r="A128" t="s">
        <v>196</v>
      </c>
      <c r="B128" t="s">
        <v>143</v>
      </c>
      <c r="C128" t="s">
        <v>21</v>
      </c>
      <c r="D128" t="s">
        <v>27</v>
      </c>
      <c r="E128" s="2">
        <v>34</v>
      </c>
      <c r="F128" t="s">
        <v>22</v>
      </c>
      <c r="G128" t="s">
        <v>23</v>
      </c>
      <c r="H128" s="2">
        <v>86</v>
      </c>
      <c r="I128" s="3">
        <v>6478</v>
      </c>
      <c r="J128" s="4">
        <v>19.75</v>
      </c>
      <c r="K128" s="2">
        <v>94</v>
      </c>
      <c r="L128" s="2">
        <v>4</v>
      </c>
      <c r="M128" s="3">
        <v>34892</v>
      </c>
    </row>
    <row r="129" spans="1:13">
      <c r="A129" t="s">
        <v>197</v>
      </c>
      <c r="B129" t="s">
        <v>185</v>
      </c>
      <c r="C129" t="s">
        <v>52</v>
      </c>
      <c r="D129" t="s">
        <v>16</v>
      </c>
      <c r="E129" s="2">
        <v>71</v>
      </c>
      <c r="F129" t="s">
        <v>34</v>
      </c>
      <c r="G129" t="s">
        <v>18</v>
      </c>
      <c r="H129" s="2">
        <v>81</v>
      </c>
      <c r="I129" s="3">
        <v>5376</v>
      </c>
      <c r="J129" s="4">
        <v>15.85</v>
      </c>
      <c r="K129" s="2">
        <v>57</v>
      </c>
      <c r="L129" s="2">
        <v>4</v>
      </c>
      <c r="M129" s="3">
        <v>25829</v>
      </c>
    </row>
    <row r="130" spans="1:13">
      <c r="A130" t="s">
        <v>198</v>
      </c>
      <c r="B130" t="s">
        <v>54</v>
      </c>
      <c r="C130" t="s">
        <v>15</v>
      </c>
      <c r="D130" t="s">
        <v>72</v>
      </c>
      <c r="E130" s="2">
        <v>61</v>
      </c>
      <c r="F130" t="s">
        <v>17</v>
      </c>
      <c r="G130" t="s">
        <v>49</v>
      </c>
      <c r="H130" s="2">
        <v>80</v>
      </c>
      <c r="I130" s="3">
        <v>8493</v>
      </c>
      <c r="J130" s="4">
        <v>20.68</v>
      </c>
      <c r="K130" s="2">
        <v>95</v>
      </c>
      <c r="L130" s="2">
        <v>4</v>
      </c>
      <c r="M130" s="3">
        <v>25947</v>
      </c>
    </row>
    <row r="131" spans="1:13">
      <c r="A131" t="s">
        <v>199</v>
      </c>
      <c r="B131" t="s">
        <v>64</v>
      </c>
      <c r="C131" t="s">
        <v>30</v>
      </c>
      <c r="D131" t="s">
        <v>16</v>
      </c>
      <c r="E131" s="2">
        <v>37</v>
      </c>
      <c r="F131" t="s">
        <v>34</v>
      </c>
      <c r="G131" t="s">
        <v>70</v>
      </c>
      <c r="H131" s="2">
        <v>75</v>
      </c>
      <c r="I131" s="3">
        <v>3017</v>
      </c>
      <c r="J131" s="4">
        <v>19.98</v>
      </c>
      <c r="K131" s="2">
        <v>93</v>
      </c>
      <c r="L131" s="2">
        <v>4</v>
      </c>
      <c r="M131" s="3">
        <v>12901</v>
      </c>
    </row>
    <row r="132" spans="1:13">
      <c r="A132" t="s">
        <v>200</v>
      </c>
      <c r="B132" t="s">
        <v>51</v>
      </c>
      <c r="C132" t="s">
        <v>52</v>
      </c>
      <c r="D132" t="s">
        <v>16</v>
      </c>
      <c r="E132" s="2">
        <v>48</v>
      </c>
      <c r="F132" t="s">
        <v>22</v>
      </c>
      <c r="G132" t="s">
        <v>18</v>
      </c>
      <c r="H132" s="2">
        <v>80</v>
      </c>
      <c r="I132" s="3">
        <v>5824</v>
      </c>
      <c r="J132" s="4">
        <v>16.989999999999998</v>
      </c>
      <c r="K132" s="2">
        <v>80</v>
      </c>
      <c r="L132" s="2">
        <v>5</v>
      </c>
      <c r="M132" s="3">
        <v>30456</v>
      </c>
    </row>
    <row r="133" spans="1:13">
      <c r="A133" t="s">
        <v>201</v>
      </c>
      <c r="B133" t="s">
        <v>80</v>
      </c>
      <c r="C133" t="s">
        <v>15</v>
      </c>
      <c r="D133" t="s">
        <v>16</v>
      </c>
      <c r="E133" s="2">
        <v>50</v>
      </c>
      <c r="F133" t="s">
        <v>22</v>
      </c>
      <c r="G133" t="s">
        <v>23</v>
      </c>
      <c r="H133" s="2">
        <v>83</v>
      </c>
      <c r="I133" s="3">
        <v>7753</v>
      </c>
      <c r="J133" s="4">
        <v>16.190000000000001</v>
      </c>
      <c r="K133" s="2">
        <v>76</v>
      </c>
      <c r="L133" s="2">
        <v>4</v>
      </c>
      <c r="M133" s="3">
        <v>44673</v>
      </c>
    </row>
    <row r="134" spans="1:13">
      <c r="A134" t="s">
        <v>202</v>
      </c>
      <c r="B134" t="s">
        <v>64</v>
      </c>
      <c r="C134" t="s">
        <v>30</v>
      </c>
      <c r="D134" t="s">
        <v>16</v>
      </c>
      <c r="E134" s="2">
        <v>36</v>
      </c>
      <c r="F134" t="s">
        <v>22</v>
      </c>
      <c r="G134" t="s">
        <v>40</v>
      </c>
      <c r="H134" s="2">
        <v>75</v>
      </c>
      <c r="I134" s="3">
        <v>4251</v>
      </c>
      <c r="J134" s="4">
        <v>13.89</v>
      </c>
      <c r="K134" s="2">
        <v>113</v>
      </c>
      <c r="L134" s="2">
        <v>3</v>
      </c>
      <c r="M134" s="3">
        <v>15773</v>
      </c>
    </row>
    <row r="135" spans="1:13">
      <c r="A135" t="s">
        <v>203</v>
      </c>
      <c r="B135" t="s">
        <v>78</v>
      </c>
      <c r="C135" t="s">
        <v>15</v>
      </c>
      <c r="D135" t="s">
        <v>16</v>
      </c>
      <c r="E135" s="2">
        <v>35</v>
      </c>
      <c r="F135" t="s">
        <v>17</v>
      </c>
      <c r="G135" t="s">
        <v>70</v>
      </c>
      <c r="H135" s="2">
        <v>77</v>
      </c>
      <c r="I135" s="3">
        <v>7513</v>
      </c>
      <c r="J135" s="4">
        <v>13.9</v>
      </c>
      <c r="K135" s="2">
        <v>87</v>
      </c>
      <c r="L135" s="2">
        <v>3</v>
      </c>
      <c r="M135" s="3">
        <v>39040</v>
      </c>
    </row>
    <row r="136" spans="1:13">
      <c r="A136" t="s">
        <v>204</v>
      </c>
      <c r="B136" t="s">
        <v>74</v>
      </c>
      <c r="C136" t="s">
        <v>45</v>
      </c>
      <c r="D136" t="s">
        <v>27</v>
      </c>
      <c r="E136" s="2">
        <v>33</v>
      </c>
      <c r="F136" t="s">
        <v>34</v>
      </c>
      <c r="G136" t="s">
        <v>31</v>
      </c>
      <c r="H136" s="2">
        <v>77</v>
      </c>
      <c r="I136" s="3">
        <v>6393</v>
      </c>
      <c r="J136" s="4">
        <v>8.1999999999999993</v>
      </c>
      <c r="K136" s="2">
        <v>132</v>
      </c>
      <c r="L136" s="2">
        <v>4</v>
      </c>
      <c r="M136" s="3">
        <v>31503</v>
      </c>
    </row>
    <row r="137" spans="1:13">
      <c r="A137" t="s">
        <v>205</v>
      </c>
      <c r="B137" t="s">
        <v>68</v>
      </c>
      <c r="C137" t="s">
        <v>45</v>
      </c>
      <c r="D137" t="s">
        <v>27</v>
      </c>
      <c r="E137" s="2">
        <v>67</v>
      </c>
      <c r="F137" t="s">
        <v>22</v>
      </c>
      <c r="G137" t="s">
        <v>49</v>
      </c>
      <c r="H137" s="2">
        <v>73</v>
      </c>
      <c r="I137" s="3">
        <v>8599</v>
      </c>
      <c r="J137" s="4">
        <v>12.41</v>
      </c>
      <c r="K137" s="2">
        <v>121</v>
      </c>
      <c r="L137" s="2">
        <v>4</v>
      </c>
      <c r="M137" s="3">
        <v>40714</v>
      </c>
    </row>
    <row r="138" spans="1:13">
      <c r="A138" t="s">
        <v>206</v>
      </c>
      <c r="B138" t="s">
        <v>47</v>
      </c>
      <c r="C138" t="s">
        <v>48</v>
      </c>
      <c r="D138" t="s">
        <v>16</v>
      </c>
      <c r="E138" s="2">
        <v>14</v>
      </c>
      <c r="F138" t="s">
        <v>22</v>
      </c>
      <c r="G138" t="s">
        <v>70</v>
      </c>
      <c r="H138" s="2">
        <v>80</v>
      </c>
      <c r="I138" s="3">
        <v>5945</v>
      </c>
      <c r="J138" s="4">
        <v>12.97</v>
      </c>
      <c r="K138" s="2">
        <v>61</v>
      </c>
      <c r="L138" s="2">
        <v>4</v>
      </c>
      <c r="M138" s="3">
        <v>19296</v>
      </c>
    </row>
    <row r="139" spans="1:13">
      <c r="A139" t="s">
        <v>207</v>
      </c>
      <c r="B139" t="s">
        <v>168</v>
      </c>
      <c r="C139" t="s">
        <v>45</v>
      </c>
      <c r="D139" t="s">
        <v>16</v>
      </c>
      <c r="E139" s="2">
        <v>46</v>
      </c>
      <c r="F139" t="s">
        <v>22</v>
      </c>
      <c r="G139" t="s">
        <v>40</v>
      </c>
      <c r="H139" s="2">
        <v>78</v>
      </c>
      <c r="I139" s="3">
        <v>10710</v>
      </c>
      <c r="J139" s="4">
        <v>15.63</v>
      </c>
      <c r="K139" s="2">
        <v>90</v>
      </c>
      <c r="L139" s="2">
        <v>4</v>
      </c>
      <c r="M139" s="3">
        <v>33729</v>
      </c>
    </row>
    <row r="140" spans="1:13">
      <c r="A140" t="s">
        <v>208</v>
      </c>
      <c r="B140" t="s">
        <v>66</v>
      </c>
      <c r="C140" t="s">
        <v>39</v>
      </c>
      <c r="D140" t="s">
        <v>16</v>
      </c>
      <c r="E140" s="2">
        <v>7</v>
      </c>
      <c r="F140" t="s">
        <v>17</v>
      </c>
      <c r="G140" t="s">
        <v>40</v>
      </c>
      <c r="H140" s="2">
        <v>85</v>
      </c>
      <c r="I140" s="3">
        <v>3341</v>
      </c>
      <c r="J140" s="4">
        <v>9.7899999999999991</v>
      </c>
      <c r="K140" s="2">
        <v>69</v>
      </c>
      <c r="L140" s="2">
        <v>5</v>
      </c>
      <c r="M140" s="3">
        <v>9887</v>
      </c>
    </row>
    <row r="141" spans="1:13">
      <c r="A141" t="s">
        <v>209</v>
      </c>
      <c r="B141" t="s">
        <v>68</v>
      </c>
      <c r="C141" t="s">
        <v>45</v>
      </c>
      <c r="D141" t="s">
        <v>16</v>
      </c>
      <c r="E141" s="2">
        <v>69</v>
      </c>
      <c r="F141" t="s">
        <v>22</v>
      </c>
      <c r="G141" t="s">
        <v>49</v>
      </c>
      <c r="H141" s="2">
        <v>75</v>
      </c>
      <c r="I141" s="3">
        <v>7144</v>
      </c>
      <c r="J141" s="4">
        <v>16.8</v>
      </c>
      <c r="K141" s="2">
        <v>104</v>
      </c>
      <c r="L141" s="2">
        <v>3</v>
      </c>
      <c r="M141" s="3">
        <v>28619</v>
      </c>
    </row>
    <row r="142" spans="1:13">
      <c r="A142" t="s">
        <v>210</v>
      </c>
      <c r="B142" t="s">
        <v>25</v>
      </c>
      <c r="C142" t="s">
        <v>26</v>
      </c>
      <c r="D142" t="s">
        <v>27</v>
      </c>
      <c r="E142" s="2">
        <v>44</v>
      </c>
      <c r="F142" t="s">
        <v>34</v>
      </c>
      <c r="G142" t="s">
        <v>18</v>
      </c>
      <c r="H142" s="2">
        <v>96</v>
      </c>
      <c r="I142" s="3">
        <v>2564</v>
      </c>
      <c r="J142" s="4">
        <v>2.2799999999999998</v>
      </c>
      <c r="K142" s="2">
        <v>16</v>
      </c>
      <c r="L142" s="2">
        <v>5</v>
      </c>
      <c r="M142" s="3">
        <v>9195</v>
      </c>
    </row>
    <row r="143" spans="1:13">
      <c r="A143" t="s">
        <v>211</v>
      </c>
      <c r="B143" t="s">
        <v>68</v>
      </c>
      <c r="C143" t="s">
        <v>45</v>
      </c>
      <c r="D143" t="s">
        <v>27</v>
      </c>
      <c r="E143" s="2">
        <v>39</v>
      </c>
      <c r="F143" t="s">
        <v>34</v>
      </c>
      <c r="G143" t="s">
        <v>40</v>
      </c>
      <c r="H143" s="2">
        <v>88</v>
      </c>
      <c r="I143" s="3">
        <v>8688</v>
      </c>
      <c r="J143" s="4">
        <v>14.25</v>
      </c>
      <c r="K143" s="2">
        <v>94</v>
      </c>
      <c r="L143" s="2">
        <v>4</v>
      </c>
      <c r="M143" s="3">
        <v>30588</v>
      </c>
    </row>
    <row r="144" spans="1:13">
      <c r="A144" t="s">
        <v>212</v>
      </c>
      <c r="B144" t="s">
        <v>47</v>
      </c>
      <c r="C144" t="s">
        <v>48</v>
      </c>
      <c r="D144" t="s">
        <v>16</v>
      </c>
      <c r="E144" s="2">
        <v>60</v>
      </c>
      <c r="F144" t="s">
        <v>34</v>
      </c>
      <c r="G144" t="s">
        <v>49</v>
      </c>
      <c r="H144" s="2">
        <v>79</v>
      </c>
      <c r="I144" s="3">
        <v>4839</v>
      </c>
      <c r="J144" s="4">
        <v>11.81</v>
      </c>
      <c r="K144" s="2">
        <v>83</v>
      </c>
      <c r="L144" s="2">
        <v>3</v>
      </c>
      <c r="M144" s="3">
        <v>22566</v>
      </c>
    </row>
    <row r="145" spans="1:13">
      <c r="A145" t="s">
        <v>213</v>
      </c>
      <c r="B145" t="s">
        <v>29</v>
      </c>
      <c r="C145" t="s">
        <v>30</v>
      </c>
      <c r="D145" t="s">
        <v>16</v>
      </c>
      <c r="E145" s="2">
        <v>55</v>
      </c>
      <c r="F145" t="s">
        <v>17</v>
      </c>
      <c r="G145" t="s">
        <v>18</v>
      </c>
      <c r="H145" s="2">
        <v>66</v>
      </c>
      <c r="I145" s="3">
        <v>2886</v>
      </c>
      <c r="J145" s="4">
        <v>18.149999999999999</v>
      </c>
      <c r="K145" s="2">
        <v>145</v>
      </c>
      <c r="L145" s="2">
        <v>3</v>
      </c>
      <c r="M145" s="3">
        <v>8008</v>
      </c>
    </row>
    <row r="146" spans="1:13">
      <c r="A146" t="s">
        <v>214</v>
      </c>
      <c r="B146" t="s">
        <v>103</v>
      </c>
      <c r="C146" t="s">
        <v>26</v>
      </c>
      <c r="D146" t="s">
        <v>16</v>
      </c>
      <c r="E146" s="2">
        <v>24</v>
      </c>
      <c r="F146" t="s">
        <v>17</v>
      </c>
      <c r="G146" t="s">
        <v>31</v>
      </c>
      <c r="H146" s="2">
        <v>83</v>
      </c>
      <c r="I146" s="3">
        <v>3398</v>
      </c>
      <c r="J146" s="4">
        <v>7.56</v>
      </c>
      <c r="K146" s="2">
        <v>39</v>
      </c>
      <c r="L146" s="2">
        <v>4</v>
      </c>
      <c r="M146" s="3">
        <v>10486</v>
      </c>
    </row>
    <row r="147" spans="1:13">
      <c r="A147" t="s">
        <v>215</v>
      </c>
      <c r="B147" t="s">
        <v>168</v>
      </c>
      <c r="C147" t="s">
        <v>45</v>
      </c>
      <c r="D147" t="s">
        <v>27</v>
      </c>
      <c r="E147" s="2">
        <v>50</v>
      </c>
      <c r="F147" t="s">
        <v>17</v>
      </c>
      <c r="G147" t="s">
        <v>23</v>
      </c>
      <c r="H147" s="2">
        <v>78</v>
      </c>
      <c r="I147" s="3">
        <v>12261</v>
      </c>
      <c r="J147" s="4">
        <v>18.43</v>
      </c>
      <c r="K147" s="2">
        <v>79</v>
      </c>
      <c r="L147" s="2">
        <v>4</v>
      </c>
      <c r="M147" s="3">
        <v>65057</v>
      </c>
    </row>
    <row r="148" spans="1:13">
      <c r="A148" t="s">
        <v>216</v>
      </c>
      <c r="B148" t="s">
        <v>135</v>
      </c>
      <c r="C148" t="s">
        <v>48</v>
      </c>
      <c r="D148" t="s">
        <v>27</v>
      </c>
      <c r="E148" s="2">
        <v>65</v>
      </c>
      <c r="F148" t="s">
        <v>17</v>
      </c>
      <c r="G148" t="s">
        <v>40</v>
      </c>
      <c r="H148" s="2">
        <v>91</v>
      </c>
      <c r="I148" s="3">
        <v>7580</v>
      </c>
      <c r="J148" s="4">
        <v>12.79</v>
      </c>
      <c r="K148" s="2">
        <v>64</v>
      </c>
      <c r="L148" s="2">
        <v>4</v>
      </c>
      <c r="M148" s="3">
        <v>32915</v>
      </c>
    </row>
    <row r="149" spans="1:13">
      <c r="A149" t="s">
        <v>217</v>
      </c>
      <c r="B149" t="s">
        <v>54</v>
      </c>
      <c r="C149" t="s">
        <v>39</v>
      </c>
      <c r="D149" t="s">
        <v>16</v>
      </c>
      <c r="E149" s="2">
        <v>9</v>
      </c>
      <c r="F149" t="s">
        <v>34</v>
      </c>
      <c r="G149" t="s">
        <v>70</v>
      </c>
      <c r="H149" s="2">
        <v>87</v>
      </c>
      <c r="I149" s="3">
        <v>2381</v>
      </c>
      <c r="J149" s="4">
        <v>5.88</v>
      </c>
      <c r="K149" s="2">
        <v>64</v>
      </c>
      <c r="L149" s="2">
        <v>5</v>
      </c>
      <c r="M149" s="3">
        <v>10104</v>
      </c>
    </row>
    <row r="150" spans="1:13">
      <c r="A150" t="s">
        <v>218</v>
      </c>
      <c r="B150" t="s">
        <v>25</v>
      </c>
      <c r="C150" t="s">
        <v>39</v>
      </c>
      <c r="D150" t="s">
        <v>16</v>
      </c>
      <c r="E150" s="2">
        <v>11</v>
      </c>
      <c r="F150" t="s">
        <v>34</v>
      </c>
      <c r="G150" t="s">
        <v>40</v>
      </c>
      <c r="H150" s="2">
        <v>85</v>
      </c>
      <c r="I150" s="3">
        <v>3022</v>
      </c>
      <c r="J150" s="4">
        <v>8.48</v>
      </c>
      <c r="K150" s="2">
        <v>68</v>
      </c>
      <c r="L150" s="2">
        <v>4</v>
      </c>
      <c r="M150" s="3">
        <v>8318</v>
      </c>
    </row>
    <row r="151" spans="1:13">
      <c r="A151" t="s">
        <v>219</v>
      </c>
      <c r="B151" t="s">
        <v>135</v>
      </c>
      <c r="C151" t="s">
        <v>48</v>
      </c>
      <c r="D151" t="s">
        <v>27</v>
      </c>
      <c r="E151" s="2">
        <v>66</v>
      </c>
      <c r="F151" t="s">
        <v>17</v>
      </c>
      <c r="G151" t="s">
        <v>40</v>
      </c>
      <c r="H151" s="2">
        <v>69</v>
      </c>
      <c r="I151" s="3">
        <v>7119</v>
      </c>
      <c r="J151" s="4">
        <v>15.49</v>
      </c>
      <c r="K151" s="2">
        <v>72</v>
      </c>
      <c r="L151" s="2">
        <v>3</v>
      </c>
      <c r="M151" s="3">
        <v>27042</v>
      </c>
    </row>
    <row r="152" spans="1:13">
      <c r="A152" t="s">
        <v>220</v>
      </c>
      <c r="B152" t="s">
        <v>78</v>
      </c>
      <c r="C152" t="s">
        <v>15</v>
      </c>
      <c r="D152" t="s">
        <v>16</v>
      </c>
      <c r="E152" s="2">
        <v>49</v>
      </c>
      <c r="F152" t="s">
        <v>22</v>
      </c>
      <c r="G152" t="s">
        <v>18</v>
      </c>
      <c r="H152" s="2">
        <v>80</v>
      </c>
      <c r="I152" s="3">
        <v>9357</v>
      </c>
      <c r="J152" s="4">
        <v>14.16</v>
      </c>
      <c r="K152" s="2">
        <v>105</v>
      </c>
      <c r="L152" s="2">
        <v>4</v>
      </c>
      <c r="M152" s="3">
        <v>52890</v>
      </c>
    </row>
    <row r="153" spans="1:13">
      <c r="A153" t="s">
        <v>221</v>
      </c>
      <c r="B153" t="s">
        <v>60</v>
      </c>
      <c r="C153" t="s">
        <v>52</v>
      </c>
      <c r="D153" t="s">
        <v>16</v>
      </c>
      <c r="E153" s="2">
        <v>12</v>
      </c>
      <c r="F153" t="s">
        <v>34</v>
      </c>
      <c r="G153" t="s">
        <v>31</v>
      </c>
      <c r="H153" s="2">
        <v>82</v>
      </c>
      <c r="I153" s="3">
        <v>9280</v>
      </c>
      <c r="J153" s="4">
        <v>14.72</v>
      </c>
      <c r="K153" s="2">
        <v>68</v>
      </c>
      <c r="L153" s="2">
        <v>4</v>
      </c>
      <c r="M153" s="3">
        <v>43713</v>
      </c>
    </row>
    <row r="154" spans="1:13">
      <c r="A154" t="s">
        <v>222</v>
      </c>
      <c r="B154" t="s">
        <v>58</v>
      </c>
      <c r="C154" t="s">
        <v>48</v>
      </c>
      <c r="D154" t="s">
        <v>16</v>
      </c>
      <c r="E154" s="2">
        <v>32</v>
      </c>
      <c r="F154" t="s">
        <v>34</v>
      </c>
      <c r="G154" t="s">
        <v>18</v>
      </c>
      <c r="H154" s="2">
        <v>75</v>
      </c>
      <c r="I154" s="3">
        <v>6592</v>
      </c>
      <c r="J154" s="4">
        <v>13.04</v>
      </c>
      <c r="K154" s="2">
        <v>82</v>
      </c>
      <c r="L154" s="2">
        <v>3</v>
      </c>
      <c r="M154" s="3">
        <v>38892</v>
      </c>
    </row>
    <row r="155" spans="1:13">
      <c r="A155" t="s">
        <v>223</v>
      </c>
      <c r="B155" t="s">
        <v>66</v>
      </c>
      <c r="C155" t="s">
        <v>39</v>
      </c>
      <c r="D155" t="s">
        <v>27</v>
      </c>
      <c r="E155" s="2">
        <v>10</v>
      </c>
      <c r="F155" t="s">
        <v>22</v>
      </c>
      <c r="G155" t="s">
        <v>49</v>
      </c>
      <c r="H155" s="2">
        <v>84</v>
      </c>
      <c r="I155" s="3">
        <v>2009</v>
      </c>
      <c r="J155" s="4">
        <v>7.8</v>
      </c>
      <c r="K155" s="2">
        <v>54</v>
      </c>
      <c r="L155" s="2">
        <v>5</v>
      </c>
      <c r="M155" s="3">
        <v>8642</v>
      </c>
    </row>
    <row r="156" spans="1:13">
      <c r="A156" t="s">
        <v>224</v>
      </c>
      <c r="B156" t="s">
        <v>129</v>
      </c>
      <c r="C156" t="s">
        <v>21</v>
      </c>
      <c r="D156" t="s">
        <v>27</v>
      </c>
      <c r="E156" s="2">
        <v>67</v>
      </c>
      <c r="F156" t="s">
        <v>17</v>
      </c>
      <c r="G156" t="s">
        <v>49</v>
      </c>
      <c r="H156" s="2">
        <v>76</v>
      </c>
      <c r="I156" s="3">
        <v>6028</v>
      </c>
      <c r="J156" s="4">
        <v>10.52</v>
      </c>
      <c r="K156" s="2">
        <v>55</v>
      </c>
      <c r="L156" s="2">
        <v>4</v>
      </c>
      <c r="M156" s="3">
        <v>31388</v>
      </c>
    </row>
    <row r="157" spans="1:13">
      <c r="A157" t="s">
        <v>225</v>
      </c>
      <c r="B157" t="s">
        <v>135</v>
      </c>
      <c r="C157" t="s">
        <v>48</v>
      </c>
      <c r="D157" t="s">
        <v>16</v>
      </c>
      <c r="E157" s="2">
        <v>13</v>
      </c>
      <c r="F157" t="s">
        <v>34</v>
      </c>
      <c r="G157" t="s">
        <v>23</v>
      </c>
      <c r="H157" s="2">
        <v>79</v>
      </c>
      <c r="I157" s="3">
        <v>3485</v>
      </c>
      <c r="J157" s="4">
        <v>13.02</v>
      </c>
      <c r="K157" s="2">
        <v>69</v>
      </c>
      <c r="L157" s="2">
        <v>4</v>
      </c>
      <c r="M157" s="3">
        <v>11746</v>
      </c>
    </row>
    <row r="158" spans="1:13">
      <c r="A158" t="s">
        <v>226</v>
      </c>
      <c r="B158" t="s">
        <v>29</v>
      </c>
      <c r="C158" t="s">
        <v>30</v>
      </c>
      <c r="D158" t="s">
        <v>27</v>
      </c>
      <c r="E158" s="2">
        <v>75</v>
      </c>
      <c r="F158" t="s">
        <v>34</v>
      </c>
      <c r="G158" t="s">
        <v>70</v>
      </c>
      <c r="H158" s="2">
        <v>69</v>
      </c>
      <c r="I158" s="3">
        <v>3255</v>
      </c>
      <c r="J158" s="4">
        <v>16.600000000000001</v>
      </c>
      <c r="K158" s="2">
        <v>127</v>
      </c>
      <c r="L158" s="2">
        <v>4</v>
      </c>
      <c r="M158" s="3">
        <v>17754</v>
      </c>
    </row>
    <row r="159" spans="1:13">
      <c r="A159" t="s">
        <v>227</v>
      </c>
      <c r="B159" t="s">
        <v>66</v>
      </c>
      <c r="C159" t="s">
        <v>39</v>
      </c>
      <c r="D159" t="s">
        <v>72</v>
      </c>
      <c r="E159" s="2">
        <v>10</v>
      </c>
      <c r="F159" t="s">
        <v>34</v>
      </c>
      <c r="G159" t="s">
        <v>70</v>
      </c>
      <c r="H159" s="2">
        <v>78</v>
      </c>
      <c r="I159" s="3">
        <v>2818</v>
      </c>
      <c r="J159" s="4">
        <v>9.52</v>
      </c>
      <c r="K159" s="2">
        <v>85</v>
      </c>
      <c r="L159" s="2">
        <v>4</v>
      </c>
      <c r="M159" s="3">
        <v>7608</v>
      </c>
    </row>
    <row r="160" spans="1:13">
      <c r="A160" t="s">
        <v>228</v>
      </c>
      <c r="B160" t="s">
        <v>14</v>
      </c>
      <c r="C160" t="s">
        <v>15</v>
      </c>
      <c r="D160" t="s">
        <v>27</v>
      </c>
      <c r="E160" s="2">
        <v>59</v>
      </c>
      <c r="F160" t="s">
        <v>17</v>
      </c>
      <c r="G160" t="s">
        <v>49</v>
      </c>
      <c r="H160" s="2">
        <v>77</v>
      </c>
      <c r="I160" s="3">
        <v>8025</v>
      </c>
      <c r="J160" s="4">
        <v>15.68</v>
      </c>
      <c r="K160" s="2">
        <v>86</v>
      </c>
      <c r="L160" s="2">
        <v>3</v>
      </c>
      <c r="M160" s="3">
        <v>21230</v>
      </c>
    </row>
    <row r="161" spans="1:13">
      <c r="A161" t="s">
        <v>229</v>
      </c>
      <c r="B161" t="s">
        <v>97</v>
      </c>
      <c r="C161" t="s">
        <v>30</v>
      </c>
      <c r="D161" t="s">
        <v>27</v>
      </c>
      <c r="E161" s="2">
        <v>47</v>
      </c>
      <c r="F161" t="s">
        <v>22</v>
      </c>
      <c r="G161" t="s">
        <v>40</v>
      </c>
      <c r="H161" s="2">
        <v>58</v>
      </c>
      <c r="I161" s="3">
        <v>3406</v>
      </c>
      <c r="J161" s="4">
        <v>22.34</v>
      </c>
      <c r="K161" s="2">
        <v>119</v>
      </c>
      <c r="L161" s="2">
        <v>4</v>
      </c>
      <c r="M161" s="3">
        <v>16464</v>
      </c>
    </row>
    <row r="162" spans="1:13">
      <c r="A162" t="s">
        <v>230</v>
      </c>
      <c r="B162" t="s">
        <v>54</v>
      </c>
      <c r="C162" t="s">
        <v>15</v>
      </c>
      <c r="D162" t="s">
        <v>27</v>
      </c>
      <c r="E162" s="2">
        <v>67</v>
      </c>
      <c r="F162" t="s">
        <v>34</v>
      </c>
      <c r="G162" t="s">
        <v>49</v>
      </c>
      <c r="H162" s="2">
        <v>78</v>
      </c>
      <c r="I162" s="3">
        <v>7857</v>
      </c>
      <c r="J162" s="4">
        <v>11.79</v>
      </c>
      <c r="K162" s="2">
        <v>64</v>
      </c>
      <c r="L162" s="2">
        <v>5</v>
      </c>
      <c r="M162" s="3">
        <v>43515</v>
      </c>
    </row>
    <row r="163" spans="1:13">
      <c r="A163" t="s">
        <v>231</v>
      </c>
      <c r="B163" t="s">
        <v>95</v>
      </c>
      <c r="C163" t="s">
        <v>52</v>
      </c>
      <c r="D163" t="s">
        <v>27</v>
      </c>
      <c r="E163" s="2">
        <v>55</v>
      </c>
      <c r="F163" t="s">
        <v>34</v>
      </c>
      <c r="G163" t="s">
        <v>40</v>
      </c>
      <c r="H163" s="2">
        <v>81</v>
      </c>
      <c r="I163" s="3">
        <v>7950</v>
      </c>
      <c r="J163" s="4">
        <v>22.01</v>
      </c>
      <c r="K163" s="2">
        <v>61</v>
      </c>
      <c r="L163" s="2">
        <v>4</v>
      </c>
      <c r="M163" s="3">
        <v>35752</v>
      </c>
    </row>
    <row r="164" spans="1:13">
      <c r="A164" t="s">
        <v>232</v>
      </c>
      <c r="B164" t="s">
        <v>25</v>
      </c>
      <c r="C164" t="s">
        <v>26</v>
      </c>
      <c r="D164" t="s">
        <v>16</v>
      </c>
      <c r="E164" s="2">
        <v>67</v>
      </c>
      <c r="F164" t="s">
        <v>17</v>
      </c>
      <c r="G164" t="s">
        <v>49</v>
      </c>
      <c r="H164" s="2">
        <v>94</v>
      </c>
      <c r="I164" s="3">
        <v>2819</v>
      </c>
      <c r="J164" s="4">
        <v>0.43</v>
      </c>
      <c r="K164" s="2">
        <v>68</v>
      </c>
      <c r="L164" s="2">
        <v>4</v>
      </c>
      <c r="M164" s="3">
        <v>8099</v>
      </c>
    </row>
    <row r="165" spans="1:13">
      <c r="A165" t="s">
        <v>233</v>
      </c>
      <c r="B165" t="s">
        <v>54</v>
      </c>
      <c r="C165" t="s">
        <v>15</v>
      </c>
      <c r="D165" t="s">
        <v>16</v>
      </c>
      <c r="E165" s="2">
        <v>65</v>
      </c>
      <c r="F165" t="s">
        <v>34</v>
      </c>
      <c r="G165" t="s">
        <v>31</v>
      </c>
      <c r="H165" s="2">
        <v>77</v>
      </c>
      <c r="I165" s="3">
        <v>7476</v>
      </c>
      <c r="J165" s="4">
        <v>21.74</v>
      </c>
      <c r="K165" s="2">
        <v>79</v>
      </c>
      <c r="L165" s="2">
        <v>4</v>
      </c>
      <c r="M165" s="3">
        <v>29264</v>
      </c>
    </row>
    <row r="166" spans="1:13">
      <c r="A166" t="s">
        <v>234</v>
      </c>
      <c r="B166" t="s">
        <v>54</v>
      </c>
      <c r="C166" t="s">
        <v>15</v>
      </c>
      <c r="D166" t="s">
        <v>27</v>
      </c>
      <c r="E166" s="2">
        <v>68</v>
      </c>
      <c r="F166" t="s">
        <v>22</v>
      </c>
      <c r="G166" t="s">
        <v>23</v>
      </c>
      <c r="H166" s="2">
        <v>77</v>
      </c>
      <c r="I166" s="3">
        <v>7836</v>
      </c>
      <c r="J166" s="4">
        <v>18.8</v>
      </c>
      <c r="K166" s="2">
        <v>60</v>
      </c>
      <c r="L166" s="2">
        <v>4</v>
      </c>
      <c r="M166" s="3">
        <v>42019</v>
      </c>
    </row>
    <row r="167" spans="1:13">
      <c r="A167" t="s">
        <v>235</v>
      </c>
      <c r="B167" t="s">
        <v>20</v>
      </c>
      <c r="C167" t="s">
        <v>21</v>
      </c>
      <c r="D167" t="s">
        <v>27</v>
      </c>
      <c r="E167" s="2">
        <v>47</v>
      </c>
      <c r="F167" t="s">
        <v>22</v>
      </c>
      <c r="G167" t="s">
        <v>49</v>
      </c>
      <c r="H167" s="2">
        <v>78</v>
      </c>
      <c r="I167" s="3">
        <v>4838</v>
      </c>
      <c r="J167" s="4">
        <v>8.43</v>
      </c>
      <c r="K167" s="2">
        <v>69</v>
      </c>
      <c r="L167" s="2">
        <v>5</v>
      </c>
      <c r="M167" s="3">
        <v>19692</v>
      </c>
    </row>
    <row r="168" spans="1:13">
      <c r="A168" t="s">
        <v>236</v>
      </c>
      <c r="B168" t="s">
        <v>56</v>
      </c>
      <c r="C168" t="s">
        <v>45</v>
      </c>
      <c r="D168" t="s">
        <v>27</v>
      </c>
      <c r="E168" s="2">
        <v>32</v>
      </c>
      <c r="F168" t="s">
        <v>34</v>
      </c>
      <c r="G168" t="s">
        <v>31</v>
      </c>
      <c r="H168" s="2">
        <v>73</v>
      </c>
      <c r="I168" s="3">
        <v>11955</v>
      </c>
      <c r="J168" s="4">
        <v>21.04</v>
      </c>
      <c r="K168" s="2">
        <v>68</v>
      </c>
      <c r="L168" s="2">
        <v>5</v>
      </c>
      <c r="M168" s="3">
        <v>45778</v>
      </c>
    </row>
    <row r="169" spans="1:13">
      <c r="A169" t="s">
        <v>237</v>
      </c>
      <c r="B169" t="s">
        <v>122</v>
      </c>
      <c r="C169" t="s">
        <v>48</v>
      </c>
      <c r="D169" t="s">
        <v>27</v>
      </c>
      <c r="E169" s="2">
        <v>46</v>
      </c>
      <c r="F169" t="s">
        <v>17</v>
      </c>
      <c r="G169" t="s">
        <v>40</v>
      </c>
      <c r="H169" s="2">
        <v>71</v>
      </c>
      <c r="I169" s="3">
        <v>5454</v>
      </c>
      <c r="J169" s="4">
        <v>11.92</v>
      </c>
      <c r="K169" s="2">
        <v>97</v>
      </c>
      <c r="L169" s="2">
        <v>3</v>
      </c>
      <c r="M169" s="3">
        <v>21248</v>
      </c>
    </row>
    <row r="170" spans="1:13">
      <c r="A170" t="s">
        <v>238</v>
      </c>
      <c r="B170" t="s">
        <v>185</v>
      </c>
      <c r="C170" t="s">
        <v>52</v>
      </c>
      <c r="D170" t="s">
        <v>27</v>
      </c>
      <c r="E170" s="2">
        <v>65</v>
      </c>
      <c r="F170" t="s">
        <v>17</v>
      </c>
      <c r="G170" t="s">
        <v>31</v>
      </c>
      <c r="H170" s="2">
        <v>74</v>
      </c>
      <c r="I170" s="3">
        <v>10214</v>
      </c>
      <c r="J170" s="4">
        <v>16.260000000000002</v>
      </c>
      <c r="K170" s="2">
        <v>128</v>
      </c>
      <c r="L170" s="2">
        <v>4</v>
      </c>
      <c r="M170" s="3">
        <v>59694</v>
      </c>
    </row>
    <row r="171" spans="1:13">
      <c r="A171" t="s">
        <v>239</v>
      </c>
      <c r="B171" t="s">
        <v>129</v>
      </c>
      <c r="C171" t="s">
        <v>21</v>
      </c>
      <c r="D171" t="s">
        <v>16</v>
      </c>
      <c r="E171" s="2">
        <v>39</v>
      </c>
      <c r="F171" t="s">
        <v>17</v>
      </c>
      <c r="G171" t="s">
        <v>23</v>
      </c>
      <c r="H171" s="2">
        <v>74</v>
      </c>
      <c r="I171" s="3">
        <v>6254</v>
      </c>
      <c r="J171" s="4">
        <v>17.21</v>
      </c>
      <c r="K171" s="2">
        <v>97</v>
      </c>
      <c r="L171" s="2">
        <v>3</v>
      </c>
      <c r="M171" s="3">
        <v>21255</v>
      </c>
    </row>
    <row r="172" spans="1:13">
      <c r="A172" t="s">
        <v>240</v>
      </c>
      <c r="B172" t="s">
        <v>129</v>
      </c>
      <c r="C172" t="s">
        <v>21</v>
      </c>
      <c r="D172" t="s">
        <v>16</v>
      </c>
      <c r="E172" s="2">
        <v>25</v>
      </c>
      <c r="F172" t="s">
        <v>22</v>
      </c>
      <c r="G172" t="s">
        <v>40</v>
      </c>
      <c r="H172" s="2">
        <v>81</v>
      </c>
      <c r="I172" s="3">
        <v>6733</v>
      </c>
      <c r="J172" s="4">
        <v>20.57</v>
      </c>
      <c r="K172" s="2">
        <v>67</v>
      </c>
      <c r="L172" s="2">
        <v>3</v>
      </c>
      <c r="M172" s="3">
        <v>33708</v>
      </c>
    </row>
    <row r="173" spans="1:13">
      <c r="A173" t="s">
        <v>241</v>
      </c>
      <c r="B173" t="s">
        <v>74</v>
      </c>
      <c r="C173" t="s">
        <v>45</v>
      </c>
      <c r="D173" t="s">
        <v>27</v>
      </c>
      <c r="E173" s="2">
        <v>32</v>
      </c>
      <c r="F173" t="s">
        <v>34</v>
      </c>
      <c r="G173" t="s">
        <v>31</v>
      </c>
      <c r="H173" s="2">
        <v>74</v>
      </c>
      <c r="I173" s="3">
        <v>8758</v>
      </c>
      <c r="J173" s="4">
        <v>16.36</v>
      </c>
      <c r="K173" s="2">
        <v>63</v>
      </c>
      <c r="L173" s="2">
        <v>4</v>
      </c>
      <c r="M173" s="3">
        <v>37992</v>
      </c>
    </row>
    <row r="174" spans="1:13">
      <c r="A174" t="s">
        <v>242</v>
      </c>
      <c r="B174" t="s">
        <v>25</v>
      </c>
      <c r="C174" t="s">
        <v>26</v>
      </c>
      <c r="D174" t="s">
        <v>16</v>
      </c>
      <c r="E174" s="2">
        <v>32</v>
      </c>
      <c r="F174" t="s">
        <v>34</v>
      </c>
      <c r="G174" t="s">
        <v>70</v>
      </c>
      <c r="H174" s="2">
        <v>85</v>
      </c>
      <c r="I174" s="3">
        <v>1703</v>
      </c>
      <c r="J174" s="4">
        <v>6.76</v>
      </c>
      <c r="K174" s="2">
        <v>51</v>
      </c>
      <c r="L174" s="2">
        <v>4</v>
      </c>
      <c r="M174" s="3">
        <v>9061</v>
      </c>
    </row>
    <row r="175" spans="1:13">
      <c r="A175" t="s">
        <v>243</v>
      </c>
      <c r="B175" t="s">
        <v>78</v>
      </c>
      <c r="C175" t="s">
        <v>15</v>
      </c>
      <c r="D175" t="s">
        <v>27</v>
      </c>
      <c r="E175" s="2">
        <v>33</v>
      </c>
      <c r="F175" t="s">
        <v>34</v>
      </c>
      <c r="G175" t="s">
        <v>31</v>
      </c>
      <c r="H175" s="2">
        <v>82</v>
      </c>
      <c r="I175" s="3">
        <v>7660</v>
      </c>
      <c r="J175" s="4">
        <v>16.559999999999999</v>
      </c>
      <c r="K175" s="2">
        <v>86</v>
      </c>
      <c r="L175" s="2">
        <v>4</v>
      </c>
      <c r="M175" s="3">
        <v>42855</v>
      </c>
    </row>
    <row r="176" spans="1:13">
      <c r="A176" t="s">
        <v>244</v>
      </c>
      <c r="B176" t="s">
        <v>42</v>
      </c>
      <c r="C176" t="s">
        <v>39</v>
      </c>
      <c r="D176" t="s">
        <v>27</v>
      </c>
      <c r="E176" s="2">
        <v>12</v>
      </c>
      <c r="F176" t="s">
        <v>17</v>
      </c>
      <c r="G176" t="s">
        <v>18</v>
      </c>
      <c r="H176" s="2">
        <v>76</v>
      </c>
      <c r="I176" s="3">
        <v>2158</v>
      </c>
      <c r="J176" s="4">
        <v>15</v>
      </c>
      <c r="K176" s="2">
        <v>46</v>
      </c>
      <c r="L176" s="2">
        <v>4</v>
      </c>
      <c r="M176" s="3">
        <v>11290</v>
      </c>
    </row>
    <row r="177" spans="1:13">
      <c r="A177" t="s">
        <v>245</v>
      </c>
      <c r="B177" t="s">
        <v>64</v>
      </c>
      <c r="C177" t="s">
        <v>30</v>
      </c>
      <c r="D177" t="s">
        <v>16</v>
      </c>
      <c r="E177" s="2">
        <v>61</v>
      </c>
      <c r="F177" t="s">
        <v>17</v>
      </c>
      <c r="G177" t="s">
        <v>70</v>
      </c>
      <c r="H177" s="2">
        <v>77</v>
      </c>
      <c r="I177" s="3">
        <v>4773</v>
      </c>
      <c r="J177" s="4">
        <v>14.69</v>
      </c>
      <c r="K177" s="2">
        <v>98</v>
      </c>
      <c r="L177" s="2">
        <v>4</v>
      </c>
      <c r="M177" s="3">
        <v>19479</v>
      </c>
    </row>
    <row r="178" spans="1:13">
      <c r="A178" t="s">
        <v>246</v>
      </c>
      <c r="B178" t="s">
        <v>56</v>
      </c>
      <c r="C178" t="s">
        <v>45</v>
      </c>
      <c r="D178" t="s">
        <v>27</v>
      </c>
      <c r="E178" s="2">
        <v>21</v>
      </c>
      <c r="F178" t="s">
        <v>22</v>
      </c>
      <c r="G178" t="s">
        <v>70</v>
      </c>
      <c r="H178" s="2">
        <v>72</v>
      </c>
      <c r="I178" s="3">
        <v>10140</v>
      </c>
      <c r="J178" s="4">
        <v>18.66</v>
      </c>
      <c r="K178" s="2">
        <v>101</v>
      </c>
      <c r="L178" s="2">
        <v>4</v>
      </c>
      <c r="M178" s="3">
        <v>26188</v>
      </c>
    </row>
    <row r="179" spans="1:13">
      <c r="A179" t="s">
        <v>247</v>
      </c>
      <c r="B179" t="s">
        <v>74</v>
      </c>
      <c r="C179" t="s">
        <v>45</v>
      </c>
      <c r="D179" t="s">
        <v>27</v>
      </c>
      <c r="E179" s="2">
        <v>69</v>
      </c>
      <c r="F179" t="s">
        <v>34</v>
      </c>
      <c r="G179" t="s">
        <v>40</v>
      </c>
      <c r="H179" s="2">
        <v>77</v>
      </c>
      <c r="I179" s="3">
        <v>6233</v>
      </c>
      <c r="J179" s="4">
        <v>18.07</v>
      </c>
      <c r="K179" s="2">
        <v>127</v>
      </c>
      <c r="L179" s="2">
        <v>3</v>
      </c>
      <c r="M179" s="3">
        <v>26419</v>
      </c>
    </row>
    <row r="180" spans="1:13">
      <c r="A180" t="s">
        <v>248</v>
      </c>
      <c r="B180" t="s">
        <v>38</v>
      </c>
      <c r="C180" t="s">
        <v>39</v>
      </c>
      <c r="D180" t="s">
        <v>16</v>
      </c>
      <c r="E180" s="2">
        <v>14</v>
      </c>
      <c r="F180" t="s">
        <v>34</v>
      </c>
      <c r="G180" t="s">
        <v>70</v>
      </c>
      <c r="H180" s="2">
        <v>83</v>
      </c>
      <c r="I180" s="3">
        <v>4006</v>
      </c>
      <c r="J180" s="4">
        <v>5.79</v>
      </c>
      <c r="K180" s="2">
        <v>92</v>
      </c>
      <c r="L180" s="2">
        <v>5</v>
      </c>
      <c r="M180" s="3">
        <v>13859</v>
      </c>
    </row>
    <row r="181" spans="1:13">
      <c r="A181" t="s">
        <v>249</v>
      </c>
      <c r="B181" t="s">
        <v>56</v>
      </c>
      <c r="C181" t="s">
        <v>45</v>
      </c>
      <c r="D181" t="s">
        <v>16</v>
      </c>
      <c r="E181" s="2">
        <v>22</v>
      </c>
      <c r="F181" t="s">
        <v>34</v>
      </c>
      <c r="G181" t="s">
        <v>49</v>
      </c>
      <c r="H181" s="2">
        <v>73</v>
      </c>
      <c r="I181" s="3">
        <v>7944</v>
      </c>
      <c r="J181" s="4">
        <v>16.21</v>
      </c>
      <c r="K181" s="2">
        <v>80</v>
      </c>
      <c r="L181" s="2">
        <v>4</v>
      </c>
      <c r="M181" s="3">
        <v>42113</v>
      </c>
    </row>
    <row r="182" spans="1:13">
      <c r="A182" t="s">
        <v>250</v>
      </c>
      <c r="B182" t="s">
        <v>187</v>
      </c>
      <c r="C182" t="s">
        <v>30</v>
      </c>
      <c r="D182" t="s">
        <v>27</v>
      </c>
      <c r="E182" s="2">
        <v>49</v>
      </c>
      <c r="F182" t="s">
        <v>34</v>
      </c>
      <c r="G182" t="s">
        <v>40</v>
      </c>
      <c r="H182" s="2">
        <v>65</v>
      </c>
      <c r="I182" s="3">
        <v>3731</v>
      </c>
      <c r="J182" s="4">
        <v>21.33</v>
      </c>
      <c r="K182" s="2">
        <v>78</v>
      </c>
      <c r="L182" s="2">
        <v>3</v>
      </c>
      <c r="M182" s="3">
        <v>13676</v>
      </c>
    </row>
    <row r="183" spans="1:13">
      <c r="A183" t="s">
        <v>251</v>
      </c>
      <c r="B183" t="s">
        <v>88</v>
      </c>
      <c r="C183" t="s">
        <v>15</v>
      </c>
      <c r="D183" t="s">
        <v>16</v>
      </c>
      <c r="E183" s="2">
        <v>58</v>
      </c>
      <c r="F183" t="s">
        <v>17</v>
      </c>
      <c r="G183" t="s">
        <v>31</v>
      </c>
      <c r="H183" s="2">
        <v>69</v>
      </c>
      <c r="I183" s="3">
        <v>6635</v>
      </c>
      <c r="J183" s="4">
        <v>22.91</v>
      </c>
      <c r="K183" s="2">
        <v>123</v>
      </c>
      <c r="L183" s="2">
        <v>3</v>
      </c>
      <c r="M183" s="3">
        <v>38825</v>
      </c>
    </row>
    <row r="184" spans="1:13">
      <c r="A184" t="s">
        <v>252</v>
      </c>
      <c r="B184" t="s">
        <v>168</v>
      </c>
      <c r="C184" t="s">
        <v>45</v>
      </c>
      <c r="D184" t="s">
        <v>27</v>
      </c>
      <c r="E184" s="2">
        <v>55</v>
      </c>
      <c r="F184" t="s">
        <v>22</v>
      </c>
      <c r="G184" t="s">
        <v>40</v>
      </c>
      <c r="H184" s="2">
        <v>79</v>
      </c>
      <c r="I184" s="3">
        <v>9304</v>
      </c>
      <c r="J184" s="4">
        <v>11.35</v>
      </c>
      <c r="K184" s="2">
        <v>76</v>
      </c>
      <c r="L184" s="2">
        <v>4</v>
      </c>
      <c r="M184" s="3">
        <v>47883</v>
      </c>
    </row>
    <row r="185" spans="1:13">
      <c r="A185" t="s">
        <v>253</v>
      </c>
      <c r="B185" t="s">
        <v>168</v>
      </c>
      <c r="C185" t="s">
        <v>45</v>
      </c>
      <c r="D185" t="s">
        <v>16</v>
      </c>
      <c r="E185" s="2">
        <v>71</v>
      </c>
      <c r="F185" t="s">
        <v>17</v>
      </c>
      <c r="G185" t="s">
        <v>40</v>
      </c>
      <c r="H185" s="2">
        <v>81</v>
      </c>
      <c r="I185" s="3">
        <v>8038</v>
      </c>
      <c r="J185" s="4">
        <v>11.37</v>
      </c>
      <c r="K185" s="2">
        <v>70</v>
      </c>
      <c r="L185" s="2">
        <v>4</v>
      </c>
      <c r="M185" s="3">
        <v>43783</v>
      </c>
    </row>
    <row r="186" spans="1:13">
      <c r="A186" t="s">
        <v>254</v>
      </c>
      <c r="B186" t="s">
        <v>129</v>
      </c>
      <c r="C186" t="s">
        <v>21</v>
      </c>
      <c r="D186" t="s">
        <v>27</v>
      </c>
      <c r="E186" s="2">
        <v>90</v>
      </c>
      <c r="F186" t="s">
        <v>22</v>
      </c>
      <c r="G186" t="s">
        <v>70</v>
      </c>
      <c r="H186" s="2">
        <v>77</v>
      </c>
      <c r="I186" s="3">
        <v>6749</v>
      </c>
      <c r="J186" s="4">
        <v>13.76</v>
      </c>
      <c r="K186" s="2">
        <v>97</v>
      </c>
      <c r="L186" s="2">
        <v>4</v>
      </c>
      <c r="M186" s="3">
        <v>35345</v>
      </c>
    </row>
    <row r="187" spans="1:13">
      <c r="A187" t="s">
        <v>255</v>
      </c>
      <c r="B187" t="s">
        <v>14</v>
      </c>
      <c r="C187" t="s">
        <v>15</v>
      </c>
      <c r="D187" t="s">
        <v>72</v>
      </c>
      <c r="E187" s="2">
        <v>23</v>
      </c>
      <c r="F187" t="s">
        <v>22</v>
      </c>
      <c r="G187" t="s">
        <v>18</v>
      </c>
      <c r="H187" s="2">
        <v>80</v>
      </c>
      <c r="I187" s="3">
        <v>6013</v>
      </c>
      <c r="J187" s="4">
        <v>15.04</v>
      </c>
      <c r="K187" s="2">
        <v>67</v>
      </c>
      <c r="L187" s="2">
        <v>4</v>
      </c>
      <c r="M187" s="3">
        <v>21462</v>
      </c>
    </row>
    <row r="188" spans="1:13">
      <c r="A188" t="s">
        <v>256</v>
      </c>
      <c r="B188" t="s">
        <v>129</v>
      </c>
      <c r="C188" t="s">
        <v>21</v>
      </c>
      <c r="D188" t="s">
        <v>16</v>
      </c>
      <c r="E188" s="2">
        <v>22</v>
      </c>
      <c r="F188" t="s">
        <v>22</v>
      </c>
      <c r="G188" t="s">
        <v>70</v>
      </c>
      <c r="H188" s="2">
        <v>77</v>
      </c>
      <c r="I188" s="3">
        <v>7005</v>
      </c>
      <c r="J188" s="4">
        <v>24.97</v>
      </c>
      <c r="K188" s="2">
        <v>46</v>
      </c>
      <c r="L188" s="2">
        <v>4</v>
      </c>
      <c r="M188" s="3">
        <v>41837</v>
      </c>
    </row>
    <row r="189" spans="1:13">
      <c r="A189" t="s">
        <v>257</v>
      </c>
      <c r="B189" t="s">
        <v>54</v>
      </c>
      <c r="C189" t="s">
        <v>15</v>
      </c>
      <c r="D189" t="s">
        <v>72</v>
      </c>
      <c r="E189" s="2">
        <v>37</v>
      </c>
      <c r="F189" t="s">
        <v>17</v>
      </c>
      <c r="G189" t="s">
        <v>70</v>
      </c>
      <c r="H189" s="2">
        <v>76</v>
      </c>
      <c r="I189" s="3">
        <v>6385</v>
      </c>
      <c r="J189" s="4">
        <v>20.67</v>
      </c>
      <c r="K189" s="2">
        <v>94</v>
      </c>
      <c r="L189" s="2">
        <v>4</v>
      </c>
      <c r="M189" s="3">
        <v>22771</v>
      </c>
    </row>
    <row r="190" spans="1:13">
      <c r="A190" t="s">
        <v>258</v>
      </c>
      <c r="B190" t="s">
        <v>54</v>
      </c>
      <c r="C190" t="s">
        <v>15</v>
      </c>
      <c r="D190" t="s">
        <v>16</v>
      </c>
      <c r="E190" s="2">
        <v>41</v>
      </c>
      <c r="F190" t="s">
        <v>22</v>
      </c>
      <c r="G190" t="s">
        <v>40</v>
      </c>
      <c r="H190" s="2">
        <v>80</v>
      </c>
      <c r="I190" s="3">
        <v>7751</v>
      </c>
      <c r="J190" s="4">
        <v>12.41</v>
      </c>
      <c r="K190" s="2">
        <v>69</v>
      </c>
      <c r="L190" s="2">
        <v>4</v>
      </c>
      <c r="M190" s="3">
        <v>36766</v>
      </c>
    </row>
    <row r="191" spans="1:13">
      <c r="A191" t="s">
        <v>259</v>
      </c>
      <c r="B191" t="s">
        <v>122</v>
      </c>
      <c r="C191" t="s">
        <v>48</v>
      </c>
      <c r="D191" t="s">
        <v>16</v>
      </c>
      <c r="E191" s="2">
        <v>40</v>
      </c>
      <c r="F191" t="s">
        <v>34</v>
      </c>
      <c r="G191" t="s">
        <v>18</v>
      </c>
      <c r="H191" s="2">
        <v>77</v>
      </c>
      <c r="I191" s="3">
        <v>8957</v>
      </c>
      <c r="J191" s="4">
        <v>10.8</v>
      </c>
      <c r="K191" s="2">
        <v>78</v>
      </c>
      <c r="L191" s="2">
        <v>4</v>
      </c>
      <c r="M191" s="3">
        <v>38147</v>
      </c>
    </row>
    <row r="192" spans="1:13">
      <c r="A192" t="s">
        <v>260</v>
      </c>
      <c r="B192" t="s">
        <v>44</v>
      </c>
      <c r="C192" t="s">
        <v>45</v>
      </c>
      <c r="D192" t="s">
        <v>27</v>
      </c>
      <c r="E192" s="2">
        <v>23</v>
      </c>
      <c r="F192" t="s">
        <v>17</v>
      </c>
      <c r="G192" t="s">
        <v>49</v>
      </c>
      <c r="H192" s="2">
        <v>76</v>
      </c>
      <c r="I192" s="3">
        <v>7902</v>
      </c>
      <c r="J192" s="4">
        <v>16.25</v>
      </c>
      <c r="K192" s="2">
        <v>88</v>
      </c>
      <c r="L192" s="2">
        <v>4</v>
      </c>
      <c r="M192" s="3">
        <v>46466</v>
      </c>
    </row>
    <row r="193" spans="1:13">
      <c r="A193" t="s">
        <v>261</v>
      </c>
      <c r="B193" t="s">
        <v>20</v>
      </c>
      <c r="C193" t="s">
        <v>21</v>
      </c>
      <c r="D193" t="s">
        <v>27</v>
      </c>
      <c r="E193" s="2">
        <v>8</v>
      </c>
      <c r="F193" t="s">
        <v>34</v>
      </c>
      <c r="G193" t="s">
        <v>40</v>
      </c>
      <c r="H193" s="2">
        <v>79</v>
      </c>
      <c r="I193" s="3">
        <v>2745</v>
      </c>
      <c r="J193" s="4">
        <v>16.170000000000002</v>
      </c>
      <c r="K193" s="2">
        <v>77</v>
      </c>
      <c r="L193" s="2">
        <v>4</v>
      </c>
      <c r="M193" s="3">
        <v>8938</v>
      </c>
    </row>
    <row r="194" spans="1:13">
      <c r="A194" t="s">
        <v>262</v>
      </c>
      <c r="B194" t="s">
        <v>58</v>
      </c>
      <c r="C194" t="s">
        <v>48</v>
      </c>
      <c r="D194" t="s">
        <v>27</v>
      </c>
      <c r="E194" s="2">
        <v>75</v>
      </c>
      <c r="F194" t="s">
        <v>34</v>
      </c>
      <c r="G194" t="s">
        <v>49</v>
      </c>
      <c r="H194" s="2">
        <v>74</v>
      </c>
      <c r="I194" s="3">
        <v>5743</v>
      </c>
      <c r="J194" s="4">
        <v>17.96</v>
      </c>
      <c r="K194" s="2">
        <v>99</v>
      </c>
      <c r="L194" s="2">
        <v>4</v>
      </c>
      <c r="M194" s="3">
        <v>34129</v>
      </c>
    </row>
    <row r="195" spans="1:13">
      <c r="A195" t="s">
        <v>263</v>
      </c>
      <c r="B195" t="s">
        <v>68</v>
      </c>
      <c r="C195" t="s">
        <v>45</v>
      </c>
      <c r="D195" t="s">
        <v>27</v>
      </c>
      <c r="E195" s="2">
        <v>33</v>
      </c>
      <c r="F195" t="s">
        <v>34</v>
      </c>
      <c r="G195" t="s">
        <v>40</v>
      </c>
      <c r="H195" s="2">
        <v>79</v>
      </c>
      <c r="I195" s="3">
        <v>8338</v>
      </c>
      <c r="J195" s="4">
        <v>14.17</v>
      </c>
      <c r="K195" s="2">
        <v>86</v>
      </c>
      <c r="L195" s="2">
        <v>4</v>
      </c>
      <c r="M195" s="3">
        <v>22662</v>
      </c>
    </row>
    <row r="196" spans="1:13">
      <c r="A196" t="s">
        <v>264</v>
      </c>
      <c r="B196" t="s">
        <v>42</v>
      </c>
      <c r="C196" t="s">
        <v>39</v>
      </c>
      <c r="D196" t="s">
        <v>16</v>
      </c>
      <c r="E196" s="2">
        <v>10</v>
      </c>
      <c r="F196" t="s">
        <v>34</v>
      </c>
      <c r="G196" t="s">
        <v>70</v>
      </c>
      <c r="H196" s="2">
        <v>86</v>
      </c>
      <c r="I196" s="3">
        <v>3262</v>
      </c>
      <c r="J196" s="4">
        <v>12.76</v>
      </c>
      <c r="K196" s="2">
        <v>60</v>
      </c>
      <c r="L196" s="2">
        <v>4</v>
      </c>
      <c r="M196" s="3">
        <v>14172</v>
      </c>
    </row>
    <row r="197" spans="1:13">
      <c r="A197" t="s">
        <v>265</v>
      </c>
      <c r="B197" t="s">
        <v>66</v>
      </c>
      <c r="C197" t="s">
        <v>39</v>
      </c>
      <c r="D197" t="s">
        <v>72</v>
      </c>
      <c r="E197" s="2">
        <v>18</v>
      </c>
      <c r="F197" t="s">
        <v>17</v>
      </c>
      <c r="G197" t="s">
        <v>49</v>
      </c>
      <c r="H197" s="2">
        <v>80</v>
      </c>
      <c r="I197" s="3">
        <v>2922</v>
      </c>
      <c r="J197" s="4">
        <v>11.96</v>
      </c>
      <c r="K197" s="2">
        <v>55</v>
      </c>
      <c r="L197" s="2">
        <v>4</v>
      </c>
      <c r="M197" s="3">
        <v>11540</v>
      </c>
    </row>
    <row r="198" spans="1:13">
      <c r="A198" t="s">
        <v>266</v>
      </c>
      <c r="B198" t="s">
        <v>33</v>
      </c>
      <c r="C198" t="s">
        <v>26</v>
      </c>
      <c r="D198" t="s">
        <v>16</v>
      </c>
      <c r="E198" s="2">
        <v>55</v>
      </c>
      <c r="F198" t="s">
        <v>34</v>
      </c>
      <c r="G198" t="s">
        <v>23</v>
      </c>
      <c r="H198" s="2">
        <v>85</v>
      </c>
      <c r="I198" s="3">
        <v>2211</v>
      </c>
      <c r="J198" s="4">
        <v>0</v>
      </c>
      <c r="K198" s="2">
        <v>60</v>
      </c>
      <c r="L198" s="2">
        <v>4</v>
      </c>
      <c r="M198" s="3">
        <v>9669</v>
      </c>
    </row>
    <row r="199" spans="1:13">
      <c r="A199" t="s">
        <v>267</v>
      </c>
      <c r="B199" t="s">
        <v>54</v>
      </c>
      <c r="C199" t="s">
        <v>39</v>
      </c>
      <c r="D199" t="s">
        <v>16</v>
      </c>
      <c r="E199" s="2">
        <v>15</v>
      </c>
      <c r="F199" t="s">
        <v>34</v>
      </c>
      <c r="G199" t="s">
        <v>70</v>
      </c>
      <c r="H199" s="2">
        <v>74</v>
      </c>
      <c r="I199" s="3">
        <v>1823</v>
      </c>
      <c r="J199" s="4">
        <v>16.239999999999998</v>
      </c>
      <c r="K199" s="2">
        <v>59</v>
      </c>
      <c r="L199" s="2">
        <v>4</v>
      </c>
      <c r="M199" s="3">
        <v>6629</v>
      </c>
    </row>
    <row r="200" spans="1:13">
      <c r="A200" t="s">
        <v>268</v>
      </c>
      <c r="B200" t="s">
        <v>36</v>
      </c>
      <c r="C200" t="s">
        <v>21</v>
      </c>
      <c r="D200" t="s">
        <v>72</v>
      </c>
      <c r="E200" s="2">
        <v>41</v>
      </c>
      <c r="F200" t="s">
        <v>17</v>
      </c>
      <c r="G200" t="s">
        <v>49</v>
      </c>
      <c r="H200" s="2">
        <v>83</v>
      </c>
      <c r="I200" s="3">
        <v>4716</v>
      </c>
      <c r="J200" s="4">
        <v>8.5500000000000007</v>
      </c>
      <c r="K200" s="2">
        <v>124</v>
      </c>
      <c r="L200" s="2">
        <v>4</v>
      </c>
      <c r="M200" s="3">
        <v>26514</v>
      </c>
    </row>
    <row r="201" spans="1:13">
      <c r="A201" t="s">
        <v>269</v>
      </c>
      <c r="B201" t="s">
        <v>38</v>
      </c>
      <c r="C201" t="s">
        <v>39</v>
      </c>
      <c r="D201" t="s">
        <v>16</v>
      </c>
      <c r="E201" s="2">
        <v>8</v>
      </c>
      <c r="F201" t="s">
        <v>34</v>
      </c>
      <c r="G201" t="s">
        <v>23</v>
      </c>
      <c r="H201" s="2">
        <v>87</v>
      </c>
      <c r="I201" s="3">
        <v>2040</v>
      </c>
      <c r="J201" s="4">
        <v>6.37</v>
      </c>
      <c r="K201" s="2">
        <v>37</v>
      </c>
      <c r="L201" s="2">
        <v>5</v>
      </c>
      <c r="M201" s="3">
        <v>9649</v>
      </c>
    </row>
    <row r="202" spans="1:13">
      <c r="A202" t="s">
        <v>270</v>
      </c>
      <c r="B202" t="s">
        <v>74</v>
      </c>
      <c r="C202" t="s">
        <v>45</v>
      </c>
      <c r="D202" t="s">
        <v>16</v>
      </c>
      <c r="E202" s="2">
        <v>59</v>
      </c>
      <c r="F202" t="s">
        <v>34</v>
      </c>
      <c r="G202" t="s">
        <v>31</v>
      </c>
      <c r="H202" s="2">
        <v>71</v>
      </c>
      <c r="I202" s="3">
        <v>11343</v>
      </c>
      <c r="J202" s="4">
        <v>23.25</v>
      </c>
      <c r="K202" s="2">
        <v>100</v>
      </c>
      <c r="L202" s="2">
        <v>3</v>
      </c>
      <c r="M202" s="3">
        <v>34319</v>
      </c>
    </row>
    <row r="203" spans="1:13">
      <c r="A203" t="s">
        <v>271</v>
      </c>
      <c r="B203" t="s">
        <v>20</v>
      </c>
      <c r="C203" t="s">
        <v>21</v>
      </c>
      <c r="D203" t="s">
        <v>27</v>
      </c>
      <c r="E203" s="2">
        <v>46</v>
      </c>
      <c r="F203" t="s">
        <v>34</v>
      </c>
      <c r="G203" t="s">
        <v>40</v>
      </c>
      <c r="H203" s="2">
        <v>73</v>
      </c>
      <c r="I203" s="3">
        <v>6202</v>
      </c>
      <c r="J203" s="4">
        <v>15.36</v>
      </c>
      <c r="K203" s="2">
        <v>124</v>
      </c>
      <c r="L203" s="2">
        <v>3</v>
      </c>
      <c r="M203" s="3">
        <v>17069</v>
      </c>
    </row>
    <row r="204" spans="1:13">
      <c r="A204" t="s">
        <v>272</v>
      </c>
      <c r="B204" t="s">
        <v>25</v>
      </c>
      <c r="C204" t="s">
        <v>26</v>
      </c>
      <c r="D204" t="s">
        <v>16</v>
      </c>
      <c r="E204" s="2">
        <v>18</v>
      </c>
      <c r="F204" t="s">
        <v>22</v>
      </c>
      <c r="G204" t="s">
        <v>49</v>
      </c>
      <c r="H204" s="2">
        <v>85</v>
      </c>
      <c r="I204" s="3">
        <v>3100</v>
      </c>
      <c r="J204" s="4">
        <v>2.37</v>
      </c>
      <c r="K204" s="2">
        <v>25</v>
      </c>
      <c r="L204" s="2">
        <v>4</v>
      </c>
      <c r="M204" s="3">
        <v>9639</v>
      </c>
    </row>
    <row r="205" spans="1:13">
      <c r="A205" t="s">
        <v>273</v>
      </c>
      <c r="B205" t="s">
        <v>25</v>
      </c>
      <c r="C205" t="s">
        <v>26</v>
      </c>
      <c r="D205" t="s">
        <v>16</v>
      </c>
      <c r="E205" s="2">
        <v>50</v>
      </c>
      <c r="F205" t="s">
        <v>34</v>
      </c>
      <c r="G205" t="s">
        <v>49</v>
      </c>
      <c r="H205" s="2">
        <v>90</v>
      </c>
      <c r="I205" s="3">
        <v>2109</v>
      </c>
      <c r="J205" s="4">
        <v>8.52</v>
      </c>
      <c r="K205" s="2">
        <v>30</v>
      </c>
      <c r="L205" s="2">
        <v>5</v>
      </c>
      <c r="M205" s="3">
        <v>8091</v>
      </c>
    </row>
    <row r="206" spans="1:13">
      <c r="A206" t="s">
        <v>274</v>
      </c>
      <c r="B206" t="s">
        <v>29</v>
      </c>
      <c r="C206" t="s">
        <v>30</v>
      </c>
      <c r="D206" t="s">
        <v>27</v>
      </c>
      <c r="E206" s="2">
        <v>38</v>
      </c>
      <c r="F206" t="s">
        <v>22</v>
      </c>
      <c r="G206" t="s">
        <v>31</v>
      </c>
      <c r="H206" s="2">
        <v>74</v>
      </c>
      <c r="I206" s="3">
        <v>4429</v>
      </c>
      <c r="J206" s="4">
        <v>20.22</v>
      </c>
      <c r="K206" s="2">
        <v>104</v>
      </c>
      <c r="L206" s="2">
        <v>5</v>
      </c>
      <c r="M206" s="3">
        <v>11722</v>
      </c>
    </row>
    <row r="207" spans="1:13">
      <c r="A207" t="s">
        <v>275</v>
      </c>
      <c r="B207" t="s">
        <v>135</v>
      </c>
      <c r="C207" t="s">
        <v>48</v>
      </c>
      <c r="D207" t="s">
        <v>16</v>
      </c>
      <c r="E207" s="2">
        <v>74</v>
      </c>
      <c r="F207" t="s">
        <v>34</v>
      </c>
      <c r="G207" t="s">
        <v>23</v>
      </c>
      <c r="H207" s="2">
        <v>70</v>
      </c>
      <c r="I207" s="3">
        <v>6894</v>
      </c>
      <c r="J207" s="4">
        <v>14.37</v>
      </c>
      <c r="K207" s="2">
        <v>110</v>
      </c>
      <c r="L207" s="2">
        <v>4</v>
      </c>
      <c r="M207" s="3">
        <v>25397</v>
      </c>
    </row>
    <row r="208" spans="1:13">
      <c r="A208" t="s">
        <v>276</v>
      </c>
      <c r="B208" t="s">
        <v>88</v>
      </c>
      <c r="C208" t="s">
        <v>15</v>
      </c>
      <c r="D208" t="s">
        <v>27</v>
      </c>
      <c r="E208" s="2">
        <v>24</v>
      </c>
      <c r="F208" t="s">
        <v>34</v>
      </c>
      <c r="G208" t="s">
        <v>23</v>
      </c>
      <c r="H208" s="2">
        <v>82</v>
      </c>
      <c r="I208" s="3">
        <v>9878</v>
      </c>
      <c r="J208" s="4">
        <v>11.59</v>
      </c>
      <c r="K208" s="2">
        <v>45</v>
      </c>
      <c r="L208" s="2">
        <v>4</v>
      </c>
      <c r="M208" s="3">
        <v>55358</v>
      </c>
    </row>
    <row r="209" spans="1:13">
      <c r="A209" t="s">
        <v>277</v>
      </c>
      <c r="B209" t="s">
        <v>64</v>
      </c>
      <c r="C209" t="s">
        <v>30</v>
      </c>
      <c r="D209" t="s">
        <v>16</v>
      </c>
      <c r="E209" s="2">
        <v>18</v>
      </c>
      <c r="F209" t="s">
        <v>34</v>
      </c>
      <c r="G209" t="s">
        <v>40</v>
      </c>
      <c r="H209" s="2">
        <v>74</v>
      </c>
      <c r="I209" s="3">
        <v>3712</v>
      </c>
      <c r="J209" s="4">
        <v>19.059999999999999</v>
      </c>
      <c r="K209" s="2">
        <v>128</v>
      </c>
      <c r="L209" s="2">
        <v>3</v>
      </c>
      <c r="M209" s="3">
        <v>15263</v>
      </c>
    </row>
    <row r="210" spans="1:13">
      <c r="A210" t="s">
        <v>278</v>
      </c>
      <c r="B210" t="s">
        <v>54</v>
      </c>
      <c r="C210" t="s">
        <v>39</v>
      </c>
      <c r="D210" t="s">
        <v>27</v>
      </c>
      <c r="E210" s="2">
        <v>7</v>
      </c>
      <c r="F210" t="s">
        <v>22</v>
      </c>
      <c r="G210" t="s">
        <v>70</v>
      </c>
      <c r="H210" s="2">
        <v>80</v>
      </c>
      <c r="I210" s="3">
        <v>3397</v>
      </c>
      <c r="J210" s="4">
        <v>12.69</v>
      </c>
      <c r="K210" s="2">
        <v>74</v>
      </c>
      <c r="L210" s="2">
        <v>3</v>
      </c>
      <c r="M210" s="3">
        <v>20199</v>
      </c>
    </row>
    <row r="211" spans="1:13">
      <c r="A211" t="s">
        <v>279</v>
      </c>
      <c r="B211" t="s">
        <v>143</v>
      </c>
      <c r="C211" t="s">
        <v>21</v>
      </c>
      <c r="D211" t="s">
        <v>27</v>
      </c>
      <c r="E211" s="2">
        <v>43</v>
      </c>
      <c r="F211" t="s">
        <v>22</v>
      </c>
      <c r="G211" t="s">
        <v>70</v>
      </c>
      <c r="H211" s="2">
        <v>75</v>
      </c>
      <c r="I211" s="3">
        <v>7556</v>
      </c>
      <c r="J211" s="4">
        <v>17.309999999999999</v>
      </c>
      <c r="K211" s="2">
        <v>88</v>
      </c>
      <c r="L211" s="2">
        <v>3</v>
      </c>
      <c r="M211" s="3">
        <v>41123</v>
      </c>
    </row>
    <row r="212" spans="1:13">
      <c r="A212" t="s">
        <v>280</v>
      </c>
      <c r="B212" t="s">
        <v>185</v>
      </c>
      <c r="C212" t="s">
        <v>52</v>
      </c>
      <c r="D212" t="s">
        <v>16</v>
      </c>
      <c r="E212" s="2">
        <v>51</v>
      </c>
      <c r="F212" t="s">
        <v>17</v>
      </c>
      <c r="G212" t="s">
        <v>18</v>
      </c>
      <c r="H212" s="2">
        <v>71</v>
      </c>
      <c r="I212" s="3">
        <v>8385</v>
      </c>
      <c r="J212" s="4">
        <v>24.41</v>
      </c>
      <c r="K212" s="2">
        <v>114</v>
      </c>
      <c r="L212" s="2">
        <v>3</v>
      </c>
      <c r="M212" s="3">
        <v>41179</v>
      </c>
    </row>
    <row r="213" spans="1:13">
      <c r="A213" t="s">
        <v>281</v>
      </c>
      <c r="B213" t="s">
        <v>56</v>
      </c>
      <c r="C213" t="s">
        <v>45</v>
      </c>
      <c r="D213" t="s">
        <v>27</v>
      </c>
      <c r="E213" s="2">
        <v>51</v>
      </c>
      <c r="F213" t="s">
        <v>22</v>
      </c>
      <c r="G213" t="s">
        <v>23</v>
      </c>
      <c r="H213" s="2">
        <v>70</v>
      </c>
      <c r="I213" s="3">
        <v>7879</v>
      </c>
      <c r="J213" s="4">
        <v>18.91</v>
      </c>
      <c r="K213" s="2">
        <v>113</v>
      </c>
      <c r="L213" s="2">
        <v>3</v>
      </c>
      <c r="M213" s="3">
        <v>26500</v>
      </c>
    </row>
    <row r="214" spans="1:13">
      <c r="A214" t="s">
        <v>282</v>
      </c>
      <c r="B214" t="s">
        <v>56</v>
      </c>
      <c r="C214" t="s">
        <v>45</v>
      </c>
      <c r="D214" t="s">
        <v>16</v>
      </c>
      <c r="E214" s="2">
        <v>40</v>
      </c>
      <c r="F214" t="s">
        <v>17</v>
      </c>
      <c r="G214" t="s">
        <v>23</v>
      </c>
      <c r="H214" s="2">
        <v>84</v>
      </c>
      <c r="I214" s="3">
        <v>7955</v>
      </c>
      <c r="J214" s="4">
        <v>19.350000000000001</v>
      </c>
      <c r="K214" s="2">
        <v>77</v>
      </c>
      <c r="L214" s="2">
        <v>4</v>
      </c>
      <c r="M214" s="3">
        <v>37038</v>
      </c>
    </row>
    <row r="215" spans="1:13">
      <c r="A215" t="s">
        <v>283</v>
      </c>
      <c r="B215" t="s">
        <v>56</v>
      </c>
      <c r="C215" t="s">
        <v>45</v>
      </c>
      <c r="D215" t="s">
        <v>72</v>
      </c>
      <c r="E215" s="2">
        <v>34</v>
      </c>
      <c r="F215" t="s">
        <v>34</v>
      </c>
      <c r="G215" t="s">
        <v>31</v>
      </c>
      <c r="H215" s="2">
        <v>67</v>
      </c>
      <c r="I215" s="3">
        <v>9500</v>
      </c>
      <c r="J215" s="4">
        <v>22.82</v>
      </c>
      <c r="K215" s="2">
        <v>72</v>
      </c>
      <c r="L215" s="2">
        <v>3</v>
      </c>
      <c r="M215" s="3">
        <v>28700</v>
      </c>
    </row>
    <row r="216" spans="1:13">
      <c r="A216" t="s">
        <v>284</v>
      </c>
      <c r="B216" t="s">
        <v>25</v>
      </c>
      <c r="C216" t="s">
        <v>26</v>
      </c>
      <c r="D216" t="s">
        <v>27</v>
      </c>
      <c r="E216" s="2">
        <v>59</v>
      </c>
      <c r="F216" t="s">
        <v>34</v>
      </c>
      <c r="G216" t="s">
        <v>18</v>
      </c>
      <c r="H216" s="2">
        <v>90</v>
      </c>
      <c r="I216" s="3">
        <v>3363</v>
      </c>
      <c r="J216" s="4">
        <v>3.4</v>
      </c>
      <c r="K216" s="2">
        <v>37</v>
      </c>
      <c r="L216" s="2">
        <v>5</v>
      </c>
      <c r="M216" s="3">
        <v>13015</v>
      </c>
    </row>
    <row r="217" spans="1:13">
      <c r="A217" t="s">
        <v>285</v>
      </c>
      <c r="B217" t="s">
        <v>103</v>
      </c>
      <c r="C217" t="s">
        <v>26</v>
      </c>
      <c r="D217" t="s">
        <v>27</v>
      </c>
      <c r="E217" s="2">
        <v>78</v>
      </c>
      <c r="F217" t="s">
        <v>34</v>
      </c>
      <c r="G217" t="s">
        <v>49</v>
      </c>
      <c r="H217" s="2">
        <v>91</v>
      </c>
      <c r="I217" s="3">
        <v>3083</v>
      </c>
      <c r="J217" s="4">
        <v>2.71</v>
      </c>
      <c r="K217" s="2">
        <v>29</v>
      </c>
      <c r="L217" s="2">
        <v>4</v>
      </c>
      <c r="M217" s="3">
        <v>12897</v>
      </c>
    </row>
    <row r="218" spans="1:13">
      <c r="A218" t="s">
        <v>286</v>
      </c>
      <c r="B218" t="s">
        <v>42</v>
      </c>
      <c r="C218" t="s">
        <v>39</v>
      </c>
      <c r="D218" t="s">
        <v>27</v>
      </c>
      <c r="E218" s="2">
        <v>2</v>
      </c>
      <c r="F218" t="s">
        <v>22</v>
      </c>
      <c r="G218" t="s">
        <v>40</v>
      </c>
      <c r="H218" s="2">
        <v>89</v>
      </c>
      <c r="I218" s="3">
        <v>3925</v>
      </c>
      <c r="J218" s="4">
        <v>16.02</v>
      </c>
      <c r="K218" s="2">
        <v>63</v>
      </c>
      <c r="L218" s="2">
        <v>5</v>
      </c>
      <c r="M218" s="3">
        <v>19105</v>
      </c>
    </row>
    <row r="219" spans="1:13">
      <c r="A219" t="s">
        <v>287</v>
      </c>
      <c r="B219" t="s">
        <v>187</v>
      </c>
      <c r="C219" t="s">
        <v>30</v>
      </c>
      <c r="D219" t="s">
        <v>27</v>
      </c>
      <c r="E219" s="2">
        <v>32</v>
      </c>
      <c r="F219" t="s">
        <v>22</v>
      </c>
      <c r="G219" t="s">
        <v>31</v>
      </c>
      <c r="H219" s="2">
        <v>73</v>
      </c>
      <c r="I219" s="3">
        <v>3495</v>
      </c>
      <c r="J219" s="4">
        <v>23.25</v>
      </c>
      <c r="K219" s="2">
        <v>126</v>
      </c>
      <c r="L219" s="2">
        <v>3</v>
      </c>
      <c r="M219" s="3">
        <v>17394</v>
      </c>
    </row>
    <row r="220" spans="1:13">
      <c r="A220" t="s">
        <v>288</v>
      </c>
      <c r="B220" t="s">
        <v>29</v>
      </c>
      <c r="C220" t="s">
        <v>30</v>
      </c>
      <c r="D220" t="s">
        <v>16</v>
      </c>
      <c r="E220" s="2">
        <v>46</v>
      </c>
      <c r="F220" t="s">
        <v>34</v>
      </c>
      <c r="G220" t="s">
        <v>18</v>
      </c>
      <c r="H220" s="2">
        <v>65</v>
      </c>
      <c r="I220" s="3">
        <v>2700</v>
      </c>
      <c r="J220" s="4">
        <v>17.23</v>
      </c>
      <c r="K220" s="2">
        <v>139</v>
      </c>
      <c r="L220" s="2">
        <v>3</v>
      </c>
      <c r="M220" s="3">
        <v>7587</v>
      </c>
    </row>
    <row r="221" spans="1:13">
      <c r="A221" t="s">
        <v>289</v>
      </c>
      <c r="B221" t="s">
        <v>66</v>
      </c>
      <c r="C221" t="s">
        <v>39</v>
      </c>
      <c r="D221" t="s">
        <v>16</v>
      </c>
      <c r="E221" s="2">
        <v>3</v>
      </c>
      <c r="F221" t="s">
        <v>22</v>
      </c>
      <c r="G221" t="s">
        <v>40</v>
      </c>
      <c r="H221" s="2">
        <v>95</v>
      </c>
      <c r="I221" s="3">
        <v>3113</v>
      </c>
      <c r="J221" s="4">
        <v>10.31</v>
      </c>
      <c r="K221" s="2">
        <v>32</v>
      </c>
      <c r="L221" s="2">
        <v>4</v>
      </c>
      <c r="M221" s="3">
        <v>16342</v>
      </c>
    </row>
    <row r="222" spans="1:13">
      <c r="A222" t="s">
        <v>290</v>
      </c>
      <c r="B222" t="s">
        <v>20</v>
      </c>
      <c r="C222" t="s">
        <v>21</v>
      </c>
      <c r="D222" t="s">
        <v>16</v>
      </c>
      <c r="E222" s="2">
        <v>40</v>
      </c>
      <c r="F222" t="s">
        <v>22</v>
      </c>
      <c r="G222" t="s">
        <v>23</v>
      </c>
      <c r="H222" s="2">
        <v>86</v>
      </c>
      <c r="I222" s="3">
        <v>6016</v>
      </c>
      <c r="J222" s="4">
        <v>19.350000000000001</v>
      </c>
      <c r="K222" s="2">
        <v>70</v>
      </c>
      <c r="L222" s="2">
        <v>5</v>
      </c>
      <c r="M222" s="3">
        <v>18924</v>
      </c>
    </row>
    <row r="223" spans="1:13">
      <c r="A223" t="s">
        <v>291</v>
      </c>
      <c r="B223" t="s">
        <v>122</v>
      </c>
      <c r="C223" t="s">
        <v>48</v>
      </c>
      <c r="D223" t="s">
        <v>27</v>
      </c>
      <c r="E223" s="2">
        <v>16</v>
      </c>
      <c r="F223" t="s">
        <v>34</v>
      </c>
      <c r="G223" t="s">
        <v>31</v>
      </c>
      <c r="H223" s="2">
        <v>72</v>
      </c>
      <c r="I223" s="3">
        <v>5366</v>
      </c>
      <c r="J223" s="4">
        <v>15.09</v>
      </c>
      <c r="K223" s="2">
        <v>51</v>
      </c>
      <c r="L223" s="2">
        <v>4</v>
      </c>
      <c r="M223" s="3">
        <v>31081</v>
      </c>
    </row>
    <row r="224" spans="1:13">
      <c r="A224" t="s">
        <v>292</v>
      </c>
      <c r="B224" t="s">
        <v>20</v>
      </c>
      <c r="C224" t="s">
        <v>21</v>
      </c>
      <c r="D224" t="s">
        <v>16</v>
      </c>
      <c r="E224" s="2">
        <v>35</v>
      </c>
      <c r="F224" t="s">
        <v>34</v>
      </c>
      <c r="G224" t="s">
        <v>31</v>
      </c>
      <c r="H224" s="2">
        <v>75</v>
      </c>
      <c r="I224" s="3">
        <v>7167</v>
      </c>
      <c r="J224" s="4">
        <v>12.87</v>
      </c>
      <c r="K224" s="2">
        <v>58</v>
      </c>
      <c r="L224" s="2">
        <v>3</v>
      </c>
      <c r="M224" s="3">
        <v>21265</v>
      </c>
    </row>
    <row r="225" spans="1:13">
      <c r="A225" t="s">
        <v>293</v>
      </c>
      <c r="B225" t="s">
        <v>33</v>
      </c>
      <c r="C225" t="s">
        <v>26</v>
      </c>
      <c r="D225" t="s">
        <v>27</v>
      </c>
      <c r="E225" s="2">
        <v>49</v>
      </c>
      <c r="F225" t="s">
        <v>22</v>
      </c>
      <c r="G225" t="s">
        <v>40</v>
      </c>
      <c r="H225" s="2">
        <v>93</v>
      </c>
      <c r="I225" s="3">
        <v>1064</v>
      </c>
      <c r="J225" s="4">
        <v>4.3600000000000003</v>
      </c>
      <c r="K225" s="2">
        <v>37</v>
      </c>
      <c r="L225" s="2">
        <v>5</v>
      </c>
      <c r="M225" s="3">
        <v>3251</v>
      </c>
    </row>
    <row r="226" spans="1:13">
      <c r="A226" t="s">
        <v>294</v>
      </c>
      <c r="B226" t="s">
        <v>135</v>
      </c>
      <c r="C226" t="s">
        <v>48</v>
      </c>
      <c r="D226" t="s">
        <v>27</v>
      </c>
      <c r="E226" s="2">
        <v>25</v>
      </c>
      <c r="F226" t="s">
        <v>34</v>
      </c>
      <c r="G226" t="s">
        <v>40</v>
      </c>
      <c r="H226" s="2">
        <v>76</v>
      </c>
      <c r="I226" s="3">
        <v>6919</v>
      </c>
      <c r="J226" s="4">
        <v>16.91</v>
      </c>
      <c r="K226" s="2">
        <v>81</v>
      </c>
      <c r="L226" s="2">
        <v>4</v>
      </c>
      <c r="M226" s="3">
        <v>23635</v>
      </c>
    </row>
    <row r="227" spans="1:13">
      <c r="A227" t="s">
        <v>295</v>
      </c>
      <c r="B227" t="s">
        <v>38</v>
      </c>
      <c r="C227" t="s">
        <v>39</v>
      </c>
      <c r="D227" t="s">
        <v>27</v>
      </c>
      <c r="E227" s="2">
        <v>7</v>
      </c>
      <c r="F227" t="s">
        <v>17</v>
      </c>
      <c r="G227" t="s">
        <v>18</v>
      </c>
      <c r="H227" s="2">
        <v>84</v>
      </c>
      <c r="I227" s="3">
        <v>2495</v>
      </c>
      <c r="J227" s="4">
        <v>4.3099999999999996</v>
      </c>
      <c r="K227" s="2">
        <v>55</v>
      </c>
      <c r="L227" s="2">
        <v>5</v>
      </c>
      <c r="M227" s="3">
        <v>13020</v>
      </c>
    </row>
    <row r="228" spans="1:13">
      <c r="A228" t="s">
        <v>296</v>
      </c>
      <c r="B228" t="s">
        <v>185</v>
      </c>
      <c r="C228" t="s">
        <v>52</v>
      </c>
      <c r="D228" t="s">
        <v>72</v>
      </c>
      <c r="E228" s="2">
        <v>44</v>
      </c>
      <c r="F228" t="s">
        <v>22</v>
      </c>
      <c r="G228" t="s">
        <v>40</v>
      </c>
      <c r="H228" s="2">
        <v>82</v>
      </c>
      <c r="I228" s="3">
        <v>4121</v>
      </c>
      <c r="J228" s="4">
        <v>17.54</v>
      </c>
      <c r="K228" s="2">
        <v>65</v>
      </c>
      <c r="L228" s="2">
        <v>4</v>
      </c>
      <c r="M228" s="3">
        <v>10617</v>
      </c>
    </row>
    <row r="229" spans="1:13">
      <c r="A229" t="s">
        <v>297</v>
      </c>
      <c r="B229" t="s">
        <v>88</v>
      </c>
      <c r="C229" t="s">
        <v>15</v>
      </c>
      <c r="D229" t="s">
        <v>27</v>
      </c>
      <c r="E229" s="2">
        <v>49</v>
      </c>
      <c r="F229" t="s">
        <v>22</v>
      </c>
      <c r="G229" t="s">
        <v>23</v>
      </c>
      <c r="H229" s="2">
        <v>76</v>
      </c>
      <c r="I229" s="3">
        <v>7983</v>
      </c>
      <c r="J229" s="4">
        <v>16.39</v>
      </c>
      <c r="K229" s="2">
        <v>86</v>
      </c>
      <c r="L229" s="2">
        <v>4</v>
      </c>
      <c r="M229" s="3">
        <v>27226</v>
      </c>
    </row>
    <row r="230" spans="1:13">
      <c r="A230" t="s">
        <v>298</v>
      </c>
      <c r="B230" t="s">
        <v>56</v>
      </c>
      <c r="C230" t="s">
        <v>45</v>
      </c>
      <c r="D230" t="s">
        <v>16</v>
      </c>
      <c r="E230" s="2">
        <v>60</v>
      </c>
      <c r="F230" t="s">
        <v>22</v>
      </c>
      <c r="G230" t="s">
        <v>40</v>
      </c>
      <c r="H230" s="2">
        <v>83</v>
      </c>
      <c r="I230" s="3">
        <v>9528</v>
      </c>
      <c r="J230" s="4">
        <v>11.57</v>
      </c>
      <c r="K230" s="2">
        <v>69</v>
      </c>
      <c r="L230" s="2">
        <v>4</v>
      </c>
      <c r="M230" s="3">
        <v>44113</v>
      </c>
    </row>
    <row r="231" spans="1:13">
      <c r="A231" t="s">
        <v>299</v>
      </c>
      <c r="B231" t="s">
        <v>25</v>
      </c>
      <c r="C231" t="s">
        <v>26</v>
      </c>
      <c r="D231" t="s">
        <v>27</v>
      </c>
      <c r="E231" s="2">
        <v>28</v>
      </c>
      <c r="F231" t="s">
        <v>17</v>
      </c>
      <c r="G231" t="s">
        <v>70</v>
      </c>
      <c r="H231" s="2">
        <v>92</v>
      </c>
      <c r="I231" s="3">
        <v>2286</v>
      </c>
      <c r="J231" s="4">
        <v>2.83</v>
      </c>
      <c r="K231" s="2">
        <v>38</v>
      </c>
      <c r="L231" s="2">
        <v>4</v>
      </c>
      <c r="M231" s="3">
        <v>10205</v>
      </c>
    </row>
    <row r="232" spans="1:13">
      <c r="A232" t="s">
        <v>300</v>
      </c>
      <c r="B232" t="s">
        <v>29</v>
      </c>
      <c r="C232" t="s">
        <v>30</v>
      </c>
      <c r="D232" t="s">
        <v>16</v>
      </c>
      <c r="E232" s="2">
        <v>24</v>
      </c>
      <c r="F232" t="s">
        <v>22</v>
      </c>
      <c r="G232" t="s">
        <v>40</v>
      </c>
      <c r="H232" s="2">
        <v>72</v>
      </c>
      <c r="I232" s="3">
        <v>3800</v>
      </c>
      <c r="J232" s="4">
        <v>20.77</v>
      </c>
      <c r="K232" s="2">
        <v>111</v>
      </c>
      <c r="L232" s="2">
        <v>3</v>
      </c>
      <c r="M232" s="3">
        <v>16729</v>
      </c>
    </row>
    <row r="233" spans="1:13">
      <c r="A233" t="s">
        <v>301</v>
      </c>
      <c r="B233" t="s">
        <v>51</v>
      </c>
      <c r="C233" t="s">
        <v>52</v>
      </c>
      <c r="D233" t="s">
        <v>16</v>
      </c>
      <c r="E233" s="2">
        <v>43</v>
      </c>
      <c r="F233" t="s">
        <v>34</v>
      </c>
      <c r="G233" t="s">
        <v>31</v>
      </c>
      <c r="H233" s="2">
        <v>78</v>
      </c>
      <c r="I233" s="3">
        <v>5973</v>
      </c>
      <c r="J233" s="4">
        <v>13.77</v>
      </c>
      <c r="K233" s="2">
        <v>63</v>
      </c>
      <c r="L233" s="2">
        <v>5</v>
      </c>
      <c r="M233" s="3">
        <v>23540</v>
      </c>
    </row>
    <row r="234" spans="1:13">
      <c r="A234" t="s">
        <v>302</v>
      </c>
      <c r="B234" t="s">
        <v>122</v>
      </c>
      <c r="C234" t="s">
        <v>48</v>
      </c>
      <c r="D234" t="s">
        <v>27</v>
      </c>
      <c r="E234" s="2">
        <v>57</v>
      </c>
      <c r="F234" t="s">
        <v>17</v>
      </c>
      <c r="G234" t="s">
        <v>23</v>
      </c>
      <c r="H234" s="2">
        <v>75</v>
      </c>
      <c r="I234" s="3">
        <v>6024</v>
      </c>
      <c r="J234" s="4">
        <v>9.09</v>
      </c>
      <c r="K234" s="2">
        <v>116</v>
      </c>
      <c r="L234" s="2">
        <v>4</v>
      </c>
      <c r="M234" s="3">
        <v>16155</v>
      </c>
    </row>
    <row r="235" spans="1:13">
      <c r="A235" t="s">
        <v>303</v>
      </c>
      <c r="B235" t="s">
        <v>122</v>
      </c>
      <c r="C235" t="s">
        <v>48</v>
      </c>
      <c r="D235" t="s">
        <v>27</v>
      </c>
      <c r="E235" s="2">
        <v>32</v>
      </c>
      <c r="F235" t="s">
        <v>17</v>
      </c>
      <c r="G235" t="s">
        <v>49</v>
      </c>
      <c r="H235" s="2">
        <v>85</v>
      </c>
      <c r="I235" s="3">
        <v>5149</v>
      </c>
      <c r="J235" s="4">
        <v>9.9600000000000009</v>
      </c>
      <c r="K235" s="2">
        <v>87</v>
      </c>
      <c r="L235" s="2">
        <v>4</v>
      </c>
      <c r="M235" s="3">
        <v>22232</v>
      </c>
    </row>
    <row r="236" spans="1:13">
      <c r="A236" t="s">
        <v>304</v>
      </c>
      <c r="B236" t="s">
        <v>36</v>
      </c>
      <c r="C236" t="s">
        <v>21</v>
      </c>
      <c r="D236" t="s">
        <v>27</v>
      </c>
      <c r="E236" s="2">
        <v>51</v>
      </c>
      <c r="F236" t="s">
        <v>22</v>
      </c>
      <c r="G236" t="s">
        <v>31</v>
      </c>
      <c r="H236" s="2">
        <v>85</v>
      </c>
      <c r="I236" s="3">
        <v>6120</v>
      </c>
      <c r="J236" s="4">
        <v>8.75</v>
      </c>
      <c r="K236" s="2">
        <v>84</v>
      </c>
      <c r="L236" s="2">
        <v>4</v>
      </c>
      <c r="M236" s="3">
        <v>26838</v>
      </c>
    </row>
    <row r="237" spans="1:13">
      <c r="A237" t="s">
        <v>305</v>
      </c>
      <c r="B237" t="s">
        <v>137</v>
      </c>
      <c r="C237" t="s">
        <v>26</v>
      </c>
      <c r="D237" t="s">
        <v>16</v>
      </c>
      <c r="E237" s="2">
        <v>25</v>
      </c>
      <c r="F237" t="s">
        <v>17</v>
      </c>
      <c r="G237" t="s">
        <v>70</v>
      </c>
      <c r="H237" s="2">
        <v>93</v>
      </c>
      <c r="I237" s="3">
        <v>3019</v>
      </c>
      <c r="J237" s="4">
        <v>7.02</v>
      </c>
      <c r="K237" s="2">
        <v>44</v>
      </c>
      <c r="L237" s="2">
        <v>4</v>
      </c>
      <c r="M237" s="3">
        <v>17738</v>
      </c>
    </row>
    <row r="238" spans="1:13">
      <c r="A238" t="s">
        <v>306</v>
      </c>
      <c r="B238" t="s">
        <v>88</v>
      </c>
      <c r="C238" t="s">
        <v>15</v>
      </c>
      <c r="D238" t="s">
        <v>16</v>
      </c>
      <c r="E238" s="2">
        <v>47</v>
      </c>
      <c r="F238" t="s">
        <v>34</v>
      </c>
      <c r="G238" t="s">
        <v>23</v>
      </c>
      <c r="H238" s="2">
        <v>91</v>
      </c>
      <c r="I238" s="3">
        <v>8286</v>
      </c>
      <c r="J238" s="4">
        <v>13.33</v>
      </c>
      <c r="K238" s="2">
        <v>56</v>
      </c>
      <c r="L238" s="2">
        <v>5</v>
      </c>
      <c r="M238" s="3">
        <v>43855</v>
      </c>
    </row>
    <row r="239" spans="1:13">
      <c r="A239" t="s">
        <v>307</v>
      </c>
      <c r="B239" t="s">
        <v>66</v>
      </c>
      <c r="C239" t="s">
        <v>39</v>
      </c>
      <c r="D239" t="s">
        <v>27</v>
      </c>
      <c r="E239" s="2">
        <v>9</v>
      </c>
      <c r="F239" t="s">
        <v>17</v>
      </c>
      <c r="G239" t="s">
        <v>40</v>
      </c>
      <c r="H239" s="2">
        <v>89</v>
      </c>
      <c r="I239" s="3">
        <v>2268</v>
      </c>
      <c r="J239" s="4">
        <v>8.4700000000000006</v>
      </c>
      <c r="K239" s="2">
        <v>56</v>
      </c>
      <c r="L239" s="2">
        <v>5</v>
      </c>
      <c r="M239" s="3">
        <v>8184</v>
      </c>
    </row>
    <row r="240" spans="1:13">
      <c r="A240" t="s">
        <v>308</v>
      </c>
      <c r="B240" t="s">
        <v>80</v>
      </c>
      <c r="C240" t="s">
        <v>15</v>
      </c>
      <c r="D240" t="s">
        <v>16</v>
      </c>
      <c r="E240" s="2">
        <v>38</v>
      </c>
      <c r="F240" t="s">
        <v>22</v>
      </c>
      <c r="G240" t="s">
        <v>40</v>
      </c>
      <c r="H240" s="2">
        <v>87</v>
      </c>
      <c r="I240" s="3">
        <v>5662</v>
      </c>
      <c r="J240" s="4">
        <v>17.690000000000001</v>
      </c>
      <c r="K240" s="2">
        <v>76</v>
      </c>
      <c r="L240" s="2">
        <v>4</v>
      </c>
      <c r="M240" s="3">
        <v>15809</v>
      </c>
    </row>
    <row r="241" spans="1:13">
      <c r="A241" t="s">
        <v>309</v>
      </c>
      <c r="B241" t="s">
        <v>187</v>
      </c>
      <c r="C241" t="s">
        <v>30</v>
      </c>
      <c r="D241" t="s">
        <v>27</v>
      </c>
      <c r="E241" s="2">
        <v>48</v>
      </c>
      <c r="F241" t="s">
        <v>17</v>
      </c>
      <c r="G241" t="s">
        <v>70</v>
      </c>
      <c r="H241" s="2">
        <v>73</v>
      </c>
      <c r="I241" s="3">
        <v>3864</v>
      </c>
      <c r="J241" s="4">
        <v>18.02</v>
      </c>
      <c r="K241" s="2">
        <v>114</v>
      </c>
      <c r="L241" s="2">
        <v>4</v>
      </c>
      <c r="M241" s="3">
        <v>18692</v>
      </c>
    </row>
    <row r="242" spans="1:13">
      <c r="A242" t="s">
        <v>310</v>
      </c>
      <c r="B242" t="s">
        <v>54</v>
      </c>
      <c r="C242" t="s">
        <v>15</v>
      </c>
      <c r="D242" t="s">
        <v>16</v>
      </c>
      <c r="E242" s="2">
        <v>23</v>
      </c>
      <c r="F242" t="s">
        <v>22</v>
      </c>
      <c r="G242" t="s">
        <v>23</v>
      </c>
      <c r="H242" s="2">
        <v>79</v>
      </c>
      <c r="I242" s="3">
        <v>6737</v>
      </c>
      <c r="J242" s="4">
        <v>19.940000000000001</v>
      </c>
      <c r="K242" s="2">
        <v>93</v>
      </c>
      <c r="L242" s="2">
        <v>5</v>
      </c>
      <c r="M242" s="3">
        <v>33804</v>
      </c>
    </row>
    <row r="243" spans="1:13">
      <c r="A243" t="s">
        <v>311</v>
      </c>
      <c r="B243" t="s">
        <v>64</v>
      </c>
      <c r="C243" t="s">
        <v>30</v>
      </c>
      <c r="D243" t="s">
        <v>27</v>
      </c>
      <c r="E243" s="2">
        <v>28</v>
      </c>
      <c r="F243" t="s">
        <v>17</v>
      </c>
      <c r="G243" t="s">
        <v>49</v>
      </c>
      <c r="H243" s="2">
        <v>79</v>
      </c>
      <c r="I243" s="3">
        <v>3689</v>
      </c>
      <c r="J243" s="4">
        <v>19.22</v>
      </c>
      <c r="K243" s="2">
        <v>121</v>
      </c>
      <c r="L243" s="2">
        <v>4</v>
      </c>
      <c r="M243" s="3">
        <v>13281</v>
      </c>
    </row>
    <row r="244" spans="1:13">
      <c r="A244" t="s">
        <v>312</v>
      </c>
      <c r="B244" t="s">
        <v>51</v>
      </c>
      <c r="C244" t="s">
        <v>52</v>
      </c>
      <c r="D244" t="s">
        <v>16</v>
      </c>
      <c r="E244" s="2">
        <v>71</v>
      </c>
      <c r="F244" t="s">
        <v>22</v>
      </c>
      <c r="G244" t="s">
        <v>18</v>
      </c>
      <c r="H244" s="2">
        <v>86</v>
      </c>
      <c r="I244" s="3">
        <v>4605</v>
      </c>
      <c r="J244" s="4">
        <v>11.57</v>
      </c>
      <c r="K244" s="2">
        <v>77</v>
      </c>
      <c r="L244" s="2">
        <v>4</v>
      </c>
      <c r="M244" s="3">
        <v>16915</v>
      </c>
    </row>
    <row r="245" spans="1:13">
      <c r="A245" t="s">
        <v>313</v>
      </c>
      <c r="B245" t="s">
        <v>60</v>
      </c>
      <c r="C245" t="s">
        <v>52</v>
      </c>
      <c r="D245" t="s">
        <v>27</v>
      </c>
      <c r="E245" s="2">
        <v>55</v>
      </c>
      <c r="F245" t="s">
        <v>17</v>
      </c>
      <c r="G245" t="s">
        <v>49</v>
      </c>
      <c r="H245" s="2">
        <v>78</v>
      </c>
      <c r="I245" s="3">
        <v>7095</v>
      </c>
      <c r="J245" s="4">
        <v>12.36</v>
      </c>
      <c r="K245" s="2">
        <v>63</v>
      </c>
      <c r="L245" s="2">
        <v>3</v>
      </c>
      <c r="M245" s="3">
        <v>36332</v>
      </c>
    </row>
    <row r="246" spans="1:13">
      <c r="A246" t="s">
        <v>314</v>
      </c>
      <c r="B246" t="s">
        <v>64</v>
      </c>
      <c r="C246" t="s">
        <v>30</v>
      </c>
      <c r="D246" t="s">
        <v>16</v>
      </c>
      <c r="E246" s="2">
        <v>69</v>
      </c>
      <c r="F246" t="s">
        <v>17</v>
      </c>
      <c r="G246" t="s">
        <v>18</v>
      </c>
      <c r="H246" s="2">
        <v>71</v>
      </c>
      <c r="I246" s="3">
        <v>4198</v>
      </c>
      <c r="J246" s="4">
        <v>16.27</v>
      </c>
      <c r="K246" s="2">
        <v>140</v>
      </c>
      <c r="L246" s="2">
        <v>4</v>
      </c>
      <c r="M246" s="3">
        <v>19812</v>
      </c>
    </row>
    <row r="247" spans="1:13">
      <c r="A247" t="s">
        <v>315</v>
      </c>
      <c r="B247" t="s">
        <v>135</v>
      </c>
      <c r="C247" t="s">
        <v>48</v>
      </c>
      <c r="D247" t="s">
        <v>27</v>
      </c>
      <c r="E247" s="2">
        <v>52</v>
      </c>
      <c r="F247" t="s">
        <v>17</v>
      </c>
      <c r="G247" t="s">
        <v>18</v>
      </c>
      <c r="H247" s="2">
        <v>82</v>
      </c>
      <c r="I247" s="3">
        <v>7433</v>
      </c>
      <c r="J247" s="4">
        <v>7.51</v>
      </c>
      <c r="K247" s="2">
        <v>59</v>
      </c>
      <c r="L247" s="2">
        <v>4</v>
      </c>
      <c r="M247" s="3">
        <v>40358</v>
      </c>
    </row>
    <row r="248" spans="1:13">
      <c r="A248" t="s">
        <v>316</v>
      </c>
      <c r="B248" t="s">
        <v>64</v>
      </c>
      <c r="C248" t="s">
        <v>30</v>
      </c>
      <c r="D248" t="s">
        <v>16</v>
      </c>
      <c r="E248" s="2">
        <v>62</v>
      </c>
      <c r="F248" t="s">
        <v>17</v>
      </c>
      <c r="G248" t="s">
        <v>49</v>
      </c>
      <c r="H248" s="2">
        <v>67</v>
      </c>
      <c r="I248" s="3">
        <v>3588</v>
      </c>
      <c r="J248" s="4">
        <v>25.76</v>
      </c>
      <c r="K248" s="2">
        <v>83</v>
      </c>
      <c r="L248" s="2">
        <v>3</v>
      </c>
      <c r="M248" s="3">
        <v>9386</v>
      </c>
    </row>
    <row r="249" spans="1:13">
      <c r="A249" t="s">
        <v>317</v>
      </c>
      <c r="B249" t="s">
        <v>38</v>
      </c>
      <c r="C249" t="s">
        <v>39</v>
      </c>
      <c r="D249" t="s">
        <v>27</v>
      </c>
      <c r="E249" s="2">
        <v>12</v>
      </c>
      <c r="F249" t="s">
        <v>17</v>
      </c>
      <c r="G249" t="s">
        <v>18</v>
      </c>
      <c r="H249" s="2">
        <v>79</v>
      </c>
      <c r="I249" s="3">
        <v>3434</v>
      </c>
      <c r="J249" s="4">
        <v>10.67</v>
      </c>
      <c r="K249" s="2">
        <v>33</v>
      </c>
      <c r="L249" s="2">
        <v>4</v>
      </c>
      <c r="M249" s="3">
        <v>19488</v>
      </c>
    </row>
    <row r="250" spans="1:13">
      <c r="A250" t="s">
        <v>318</v>
      </c>
      <c r="B250" t="s">
        <v>137</v>
      </c>
      <c r="C250" t="s">
        <v>26</v>
      </c>
      <c r="D250" t="s">
        <v>27</v>
      </c>
      <c r="E250" s="2">
        <v>58</v>
      </c>
      <c r="F250" t="s">
        <v>17</v>
      </c>
      <c r="G250" t="s">
        <v>70</v>
      </c>
      <c r="H250" s="2">
        <v>90</v>
      </c>
      <c r="I250" s="3">
        <v>2433</v>
      </c>
      <c r="J250" s="4">
        <v>1.1000000000000001</v>
      </c>
      <c r="K250" s="2">
        <v>82</v>
      </c>
      <c r="L250" s="2">
        <v>4</v>
      </c>
      <c r="M250" s="3">
        <v>10737</v>
      </c>
    </row>
    <row r="251" spans="1:13">
      <c r="A251" t="s">
        <v>319</v>
      </c>
      <c r="B251" t="s">
        <v>56</v>
      </c>
      <c r="C251" t="s">
        <v>45</v>
      </c>
      <c r="D251" t="s">
        <v>16</v>
      </c>
      <c r="E251" s="2">
        <v>50</v>
      </c>
      <c r="F251" t="s">
        <v>17</v>
      </c>
      <c r="G251" t="s">
        <v>70</v>
      </c>
      <c r="H251" s="2">
        <v>76</v>
      </c>
      <c r="I251" s="3">
        <v>8662</v>
      </c>
      <c r="J251" s="4">
        <v>13.23</v>
      </c>
      <c r="K251" s="2">
        <v>93</v>
      </c>
      <c r="L251" s="2">
        <v>4</v>
      </c>
      <c r="M251" s="3">
        <v>47677</v>
      </c>
    </row>
    <row r="252" spans="1:13">
      <c r="A252" t="s">
        <v>320</v>
      </c>
      <c r="B252" t="s">
        <v>95</v>
      </c>
      <c r="C252" t="s">
        <v>52</v>
      </c>
      <c r="D252" t="s">
        <v>27</v>
      </c>
      <c r="E252" s="2">
        <v>55</v>
      </c>
      <c r="F252" t="s">
        <v>22</v>
      </c>
      <c r="G252" t="s">
        <v>49</v>
      </c>
      <c r="H252" s="2">
        <v>73</v>
      </c>
      <c r="I252" s="3">
        <v>9182</v>
      </c>
      <c r="J252" s="4">
        <v>16.46</v>
      </c>
      <c r="K252" s="2">
        <v>74</v>
      </c>
      <c r="L252" s="2">
        <v>4</v>
      </c>
      <c r="M252" s="3">
        <v>49609</v>
      </c>
    </row>
    <row r="253" spans="1:13">
      <c r="A253" t="s">
        <v>321</v>
      </c>
      <c r="B253" t="s">
        <v>122</v>
      </c>
      <c r="C253" t="s">
        <v>48</v>
      </c>
      <c r="D253" t="s">
        <v>16</v>
      </c>
      <c r="E253" s="2">
        <v>58</v>
      </c>
      <c r="F253" t="s">
        <v>17</v>
      </c>
      <c r="G253" t="s">
        <v>23</v>
      </c>
      <c r="H253" s="2">
        <v>77</v>
      </c>
      <c r="I253" s="3">
        <v>6407</v>
      </c>
      <c r="J253" s="4">
        <v>9.42</v>
      </c>
      <c r="K253" s="2">
        <v>67</v>
      </c>
      <c r="L253" s="2">
        <v>4</v>
      </c>
      <c r="M253" s="3">
        <v>21441</v>
      </c>
    </row>
    <row r="254" spans="1:13">
      <c r="A254" t="s">
        <v>322</v>
      </c>
      <c r="B254" t="s">
        <v>168</v>
      </c>
      <c r="C254" t="s">
        <v>45</v>
      </c>
      <c r="D254" t="s">
        <v>27</v>
      </c>
      <c r="E254" s="2">
        <v>44</v>
      </c>
      <c r="F254" t="s">
        <v>17</v>
      </c>
      <c r="G254" t="s">
        <v>70</v>
      </c>
      <c r="H254" s="2">
        <v>73</v>
      </c>
      <c r="I254" s="3">
        <v>10439</v>
      </c>
      <c r="J254" s="4">
        <v>10.53</v>
      </c>
      <c r="K254" s="2">
        <v>88</v>
      </c>
      <c r="L254" s="2">
        <v>3</v>
      </c>
      <c r="M254" s="3">
        <v>53251</v>
      </c>
    </row>
    <row r="255" spans="1:13">
      <c r="A255" t="s">
        <v>323</v>
      </c>
      <c r="B255" t="s">
        <v>74</v>
      </c>
      <c r="C255" t="s">
        <v>45</v>
      </c>
      <c r="D255" t="s">
        <v>16</v>
      </c>
      <c r="E255" s="2">
        <v>53</v>
      </c>
      <c r="F255" t="s">
        <v>34</v>
      </c>
      <c r="G255" t="s">
        <v>49</v>
      </c>
      <c r="H255" s="2">
        <v>76</v>
      </c>
      <c r="I255" s="3">
        <v>10624</v>
      </c>
      <c r="J255" s="4">
        <v>17.86</v>
      </c>
      <c r="K255" s="2">
        <v>112</v>
      </c>
      <c r="L255" s="2">
        <v>4</v>
      </c>
      <c r="M255" s="3">
        <v>27849</v>
      </c>
    </row>
    <row r="256" spans="1:13">
      <c r="A256" t="s">
        <v>324</v>
      </c>
      <c r="B256" t="s">
        <v>20</v>
      </c>
      <c r="C256" t="s">
        <v>21</v>
      </c>
      <c r="D256" t="s">
        <v>27</v>
      </c>
      <c r="E256" s="2">
        <v>46</v>
      </c>
      <c r="F256" t="s">
        <v>22</v>
      </c>
      <c r="G256" t="s">
        <v>31</v>
      </c>
      <c r="H256" s="2">
        <v>78</v>
      </c>
      <c r="I256" s="3">
        <v>5294</v>
      </c>
      <c r="J256" s="4">
        <v>15.95</v>
      </c>
      <c r="K256" s="2">
        <v>113</v>
      </c>
      <c r="L256" s="2">
        <v>4</v>
      </c>
      <c r="M256" s="3">
        <v>29521</v>
      </c>
    </row>
    <row r="257" spans="1:13">
      <c r="A257" t="s">
        <v>325</v>
      </c>
      <c r="B257" t="s">
        <v>54</v>
      </c>
      <c r="C257" t="s">
        <v>39</v>
      </c>
      <c r="D257" t="s">
        <v>72</v>
      </c>
      <c r="E257" s="2">
        <v>18</v>
      </c>
      <c r="F257" t="s">
        <v>22</v>
      </c>
      <c r="G257" t="s">
        <v>40</v>
      </c>
      <c r="H257" s="2">
        <v>86</v>
      </c>
      <c r="I257" s="3">
        <v>1913</v>
      </c>
      <c r="J257" s="4">
        <v>5.25</v>
      </c>
      <c r="K257" s="2">
        <v>113</v>
      </c>
      <c r="L257" s="2">
        <v>4</v>
      </c>
      <c r="M257" s="3">
        <v>8812</v>
      </c>
    </row>
    <row r="258" spans="1:13">
      <c r="A258" t="s">
        <v>326</v>
      </c>
      <c r="B258" t="s">
        <v>44</v>
      </c>
      <c r="C258" t="s">
        <v>45</v>
      </c>
      <c r="D258" t="s">
        <v>16</v>
      </c>
      <c r="E258" s="2">
        <v>42</v>
      </c>
      <c r="F258" t="s">
        <v>17</v>
      </c>
      <c r="G258" t="s">
        <v>31</v>
      </c>
      <c r="H258" s="2">
        <v>78</v>
      </c>
      <c r="I258" s="3">
        <v>11902</v>
      </c>
      <c r="J258" s="4">
        <v>22.26</v>
      </c>
      <c r="K258" s="2">
        <v>114</v>
      </c>
      <c r="L258" s="2">
        <v>4</v>
      </c>
      <c r="M258" s="3">
        <v>39645</v>
      </c>
    </row>
    <row r="259" spans="1:13">
      <c r="A259" t="s">
        <v>327</v>
      </c>
      <c r="B259" t="s">
        <v>78</v>
      </c>
      <c r="C259" t="s">
        <v>15</v>
      </c>
      <c r="D259" t="s">
        <v>16</v>
      </c>
      <c r="E259" s="2">
        <v>25</v>
      </c>
      <c r="F259" t="s">
        <v>17</v>
      </c>
      <c r="G259" t="s">
        <v>70</v>
      </c>
      <c r="H259" s="2">
        <v>83</v>
      </c>
      <c r="I259" s="3">
        <v>6640</v>
      </c>
      <c r="J259" s="4">
        <v>6.39</v>
      </c>
      <c r="K259" s="2">
        <v>85</v>
      </c>
      <c r="L259" s="2">
        <v>4</v>
      </c>
      <c r="M259" s="3">
        <v>30559</v>
      </c>
    </row>
    <row r="260" spans="1:13">
      <c r="A260" t="s">
        <v>328</v>
      </c>
      <c r="B260" t="s">
        <v>68</v>
      </c>
      <c r="C260" t="s">
        <v>45</v>
      </c>
      <c r="D260" t="s">
        <v>27</v>
      </c>
      <c r="E260" s="2">
        <v>45</v>
      </c>
      <c r="F260" t="s">
        <v>34</v>
      </c>
      <c r="G260" t="s">
        <v>70</v>
      </c>
      <c r="H260" s="2">
        <v>66</v>
      </c>
      <c r="I260" s="3">
        <v>7879</v>
      </c>
      <c r="J260" s="4">
        <v>17.78</v>
      </c>
      <c r="K260" s="2">
        <v>128</v>
      </c>
      <c r="L260" s="2">
        <v>3</v>
      </c>
      <c r="M260" s="3">
        <v>32727</v>
      </c>
    </row>
    <row r="261" spans="1:13">
      <c r="A261" t="s">
        <v>329</v>
      </c>
      <c r="B261" t="s">
        <v>25</v>
      </c>
      <c r="C261" t="s">
        <v>26</v>
      </c>
      <c r="D261" t="s">
        <v>27</v>
      </c>
      <c r="E261" s="2">
        <v>40</v>
      </c>
      <c r="F261" t="s">
        <v>34</v>
      </c>
      <c r="G261" t="s">
        <v>31</v>
      </c>
      <c r="H261" s="2">
        <v>90</v>
      </c>
      <c r="I261" s="3">
        <v>2726</v>
      </c>
      <c r="J261" s="4">
        <v>0.04</v>
      </c>
      <c r="K261" s="2">
        <v>5</v>
      </c>
      <c r="L261" s="2">
        <v>4</v>
      </c>
      <c r="M261" s="3">
        <v>11743</v>
      </c>
    </row>
    <row r="262" spans="1:13">
      <c r="A262" t="s">
        <v>330</v>
      </c>
      <c r="B262" t="s">
        <v>150</v>
      </c>
      <c r="C262" t="s">
        <v>48</v>
      </c>
      <c r="D262" t="s">
        <v>16</v>
      </c>
      <c r="E262" s="2">
        <v>38</v>
      </c>
      <c r="F262" t="s">
        <v>22</v>
      </c>
      <c r="G262" t="s">
        <v>70</v>
      </c>
      <c r="H262" s="2">
        <v>70</v>
      </c>
      <c r="I262" s="3">
        <v>6383</v>
      </c>
      <c r="J262" s="4">
        <v>17.36</v>
      </c>
      <c r="K262" s="2">
        <v>59</v>
      </c>
      <c r="L262" s="2">
        <v>4</v>
      </c>
      <c r="M262" s="3">
        <v>36773</v>
      </c>
    </row>
    <row r="263" spans="1:13">
      <c r="A263" t="s">
        <v>331</v>
      </c>
      <c r="B263" t="s">
        <v>14</v>
      </c>
      <c r="C263" t="s">
        <v>15</v>
      </c>
      <c r="D263" t="s">
        <v>16</v>
      </c>
      <c r="E263" s="2">
        <v>29</v>
      </c>
      <c r="F263" t="s">
        <v>17</v>
      </c>
      <c r="G263" t="s">
        <v>70</v>
      </c>
      <c r="H263" s="2">
        <v>77</v>
      </c>
      <c r="I263" s="3">
        <v>5759</v>
      </c>
      <c r="J263" s="4">
        <v>17.07</v>
      </c>
      <c r="K263" s="2">
        <v>81</v>
      </c>
      <c r="L263" s="2">
        <v>3</v>
      </c>
      <c r="M263" s="3">
        <v>32018</v>
      </c>
    </row>
    <row r="264" spans="1:13">
      <c r="A264" t="s">
        <v>332</v>
      </c>
      <c r="B264" t="s">
        <v>80</v>
      </c>
      <c r="C264" t="s">
        <v>15</v>
      </c>
      <c r="D264" t="s">
        <v>16</v>
      </c>
      <c r="E264" s="2">
        <v>83</v>
      </c>
      <c r="F264" t="s">
        <v>22</v>
      </c>
      <c r="G264" t="s">
        <v>23</v>
      </c>
      <c r="H264" s="2">
        <v>71</v>
      </c>
      <c r="I264" s="3">
        <v>6008</v>
      </c>
      <c r="J264" s="4">
        <v>9.9499999999999993</v>
      </c>
      <c r="K264" s="2">
        <v>83</v>
      </c>
      <c r="L264" s="2">
        <v>3</v>
      </c>
      <c r="M264" s="3">
        <v>34105</v>
      </c>
    </row>
    <row r="265" spans="1:13">
      <c r="A265" t="s">
        <v>333</v>
      </c>
      <c r="B265" t="s">
        <v>38</v>
      </c>
      <c r="C265" t="s">
        <v>39</v>
      </c>
      <c r="D265" t="s">
        <v>27</v>
      </c>
      <c r="E265" s="2">
        <v>13</v>
      </c>
      <c r="F265" t="s">
        <v>22</v>
      </c>
      <c r="G265" t="s">
        <v>70</v>
      </c>
      <c r="H265" s="2">
        <v>82</v>
      </c>
      <c r="I265" s="3">
        <v>3552</v>
      </c>
      <c r="J265" s="4">
        <v>5.83</v>
      </c>
      <c r="K265" s="2">
        <v>90</v>
      </c>
      <c r="L265" s="2">
        <v>4</v>
      </c>
      <c r="M265" s="3">
        <v>17415</v>
      </c>
    </row>
    <row r="266" spans="1:13">
      <c r="A266" t="s">
        <v>334</v>
      </c>
      <c r="B266" t="s">
        <v>64</v>
      </c>
      <c r="C266" t="s">
        <v>30</v>
      </c>
      <c r="D266" t="s">
        <v>16</v>
      </c>
      <c r="E266" s="2">
        <v>39</v>
      </c>
      <c r="F266" t="s">
        <v>34</v>
      </c>
      <c r="G266" t="s">
        <v>23</v>
      </c>
      <c r="H266" s="2">
        <v>75</v>
      </c>
      <c r="I266" s="3">
        <v>1993</v>
      </c>
      <c r="J266" s="4">
        <v>15.12</v>
      </c>
      <c r="K266" s="2">
        <v>92</v>
      </c>
      <c r="L266" s="2">
        <v>3</v>
      </c>
      <c r="M266" s="3">
        <v>10222</v>
      </c>
    </row>
    <row r="267" spans="1:13">
      <c r="A267" t="s">
        <v>335</v>
      </c>
      <c r="B267" t="s">
        <v>60</v>
      </c>
      <c r="C267" t="s">
        <v>52</v>
      </c>
      <c r="D267" t="s">
        <v>16</v>
      </c>
      <c r="E267" s="2">
        <v>55</v>
      </c>
      <c r="F267" t="s">
        <v>17</v>
      </c>
      <c r="G267" t="s">
        <v>23</v>
      </c>
      <c r="H267" s="2">
        <v>82</v>
      </c>
      <c r="I267" s="3">
        <v>9962</v>
      </c>
      <c r="J267" s="4">
        <v>18.63</v>
      </c>
      <c r="K267" s="2">
        <v>76</v>
      </c>
      <c r="L267" s="2">
        <v>3</v>
      </c>
      <c r="M267" s="3">
        <v>25258</v>
      </c>
    </row>
    <row r="268" spans="1:13">
      <c r="A268" t="s">
        <v>336</v>
      </c>
      <c r="B268" t="s">
        <v>42</v>
      </c>
      <c r="C268" t="s">
        <v>39</v>
      </c>
      <c r="D268" t="s">
        <v>27</v>
      </c>
      <c r="E268" s="2">
        <v>15</v>
      </c>
      <c r="F268" t="s">
        <v>34</v>
      </c>
      <c r="G268" t="s">
        <v>49</v>
      </c>
      <c r="H268" s="2">
        <v>79</v>
      </c>
      <c r="I268" s="3">
        <v>3571</v>
      </c>
      <c r="J268" s="4">
        <v>9.15</v>
      </c>
      <c r="K268" s="2">
        <v>64</v>
      </c>
      <c r="L268" s="2">
        <v>4</v>
      </c>
      <c r="M268" s="3">
        <v>20206</v>
      </c>
    </row>
    <row r="269" spans="1:13">
      <c r="A269" t="s">
        <v>337</v>
      </c>
      <c r="B269" t="s">
        <v>185</v>
      </c>
      <c r="C269" t="s">
        <v>52</v>
      </c>
      <c r="D269" t="s">
        <v>16</v>
      </c>
      <c r="E269" s="2">
        <v>46</v>
      </c>
      <c r="F269" t="s">
        <v>22</v>
      </c>
      <c r="G269" t="s">
        <v>49</v>
      </c>
      <c r="H269" s="2">
        <v>95</v>
      </c>
      <c r="I269" s="3">
        <v>5284</v>
      </c>
      <c r="J269" s="4">
        <v>11.42</v>
      </c>
      <c r="K269" s="2">
        <v>65</v>
      </c>
      <c r="L269" s="2">
        <v>5</v>
      </c>
      <c r="M269" s="3">
        <v>14018</v>
      </c>
    </row>
    <row r="270" spans="1:13">
      <c r="A270" t="s">
        <v>338</v>
      </c>
      <c r="B270" t="s">
        <v>29</v>
      </c>
      <c r="C270" t="s">
        <v>30</v>
      </c>
      <c r="D270" t="s">
        <v>16</v>
      </c>
      <c r="E270" s="2">
        <v>48</v>
      </c>
      <c r="F270" t="s">
        <v>22</v>
      </c>
      <c r="G270" t="s">
        <v>40</v>
      </c>
      <c r="H270" s="2">
        <v>81</v>
      </c>
      <c r="I270" s="3">
        <v>4385</v>
      </c>
      <c r="J270" s="4">
        <v>14.54</v>
      </c>
      <c r="K270" s="2">
        <v>89</v>
      </c>
      <c r="L270" s="2">
        <v>4</v>
      </c>
      <c r="M270" s="3">
        <v>21590</v>
      </c>
    </row>
    <row r="271" spans="1:13">
      <c r="A271" t="s">
        <v>339</v>
      </c>
      <c r="B271" t="s">
        <v>97</v>
      </c>
      <c r="C271" t="s">
        <v>30</v>
      </c>
      <c r="D271" t="s">
        <v>27</v>
      </c>
      <c r="E271" s="2">
        <v>81</v>
      </c>
      <c r="F271" t="s">
        <v>34</v>
      </c>
      <c r="G271" t="s">
        <v>40</v>
      </c>
      <c r="H271" s="2">
        <v>75</v>
      </c>
      <c r="I271" s="3">
        <v>2839</v>
      </c>
      <c r="J271" s="4">
        <v>13.62</v>
      </c>
      <c r="K271" s="2">
        <v>95</v>
      </c>
      <c r="L271" s="2">
        <v>4</v>
      </c>
      <c r="M271" s="3">
        <v>15030</v>
      </c>
    </row>
    <row r="272" spans="1:13">
      <c r="A272" t="s">
        <v>340</v>
      </c>
      <c r="B272" t="s">
        <v>38</v>
      </c>
      <c r="C272" t="s">
        <v>39</v>
      </c>
      <c r="D272" t="s">
        <v>27</v>
      </c>
      <c r="E272" s="2">
        <v>17</v>
      </c>
      <c r="F272" t="s">
        <v>17</v>
      </c>
      <c r="G272" t="s">
        <v>49</v>
      </c>
      <c r="H272" s="2">
        <v>85</v>
      </c>
      <c r="I272" s="3">
        <v>2919</v>
      </c>
      <c r="J272" s="4">
        <v>11.24</v>
      </c>
      <c r="K272" s="2">
        <v>65</v>
      </c>
      <c r="L272" s="2">
        <v>4</v>
      </c>
      <c r="M272" s="3">
        <v>11089</v>
      </c>
    </row>
    <row r="273" spans="1:13">
      <c r="A273" t="s">
        <v>341</v>
      </c>
      <c r="B273" t="s">
        <v>25</v>
      </c>
      <c r="C273" t="s">
        <v>26</v>
      </c>
      <c r="D273" t="s">
        <v>27</v>
      </c>
      <c r="E273" s="2">
        <v>76</v>
      </c>
      <c r="F273" t="s">
        <v>22</v>
      </c>
      <c r="G273" t="s">
        <v>23</v>
      </c>
      <c r="H273" s="2">
        <v>81</v>
      </c>
      <c r="I273" s="3">
        <v>2006</v>
      </c>
      <c r="J273" s="4">
        <v>10.93</v>
      </c>
      <c r="K273" s="2">
        <v>60</v>
      </c>
      <c r="L273" s="2">
        <v>4</v>
      </c>
      <c r="M273" s="3">
        <v>6016</v>
      </c>
    </row>
    <row r="274" spans="1:13">
      <c r="A274" t="s">
        <v>342</v>
      </c>
      <c r="B274" t="s">
        <v>78</v>
      </c>
      <c r="C274" t="s">
        <v>15</v>
      </c>
      <c r="D274" t="s">
        <v>27</v>
      </c>
      <c r="E274" s="2">
        <v>38</v>
      </c>
      <c r="F274" t="s">
        <v>34</v>
      </c>
      <c r="G274" t="s">
        <v>70</v>
      </c>
      <c r="H274" s="2">
        <v>69</v>
      </c>
      <c r="I274" s="3">
        <v>8834</v>
      </c>
      <c r="J274" s="4">
        <v>21.58</v>
      </c>
      <c r="K274" s="2">
        <v>100</v>
      </c>
      <c r="L274" s="2">
        <v>3</v>
      </c>
      <c r="M274" s="3">
        <v>34750</v>
      </c>
    </row>
    <row r="275" spans="1:13">
      <c r="A275" t="s">
        <v>343</v>
      </c>
      <c r="B275" t="s">
        <v>66</v>
      </c>
      <c r="C275" t="s">
        <v>39</v>
      </c>
      <c r="D275" t="s">
        <v>27</v>
      </c>
      <c r="E275" s="2">
        <v>4</v>
      </c>
      <c r="F275" t="s">
        <v>22</v>
      </c>
      <c r="G275" t="s">
        <v>40</v>
      </c>
      <c r="H275" s="2">
        <v>93</v>
      </c>
      <c r="I275" s="3">
        <v>2022</v>
      </c>
      <c r="J275" s="4">
        <v>13.09</v>
      </c>
      <c r="K275" s="2">
        <v>36</v>
      </c>
      <c r="L275" s="2">
        <v>4</v>
      </c>
      <c r="M275" s="3">
        <v>6049</v>
      </c>
    </row>
    <row r="276" spans="1:13">
      <c r="A276" t="s">
        <v>344</v>
      </c>
      <c r="B276" t="s">
        <v>14</v>
      </c>
      <c r="C276" t="s">
        <v>15</v>
      </c>
      <c r="D276" t="s">
        <v>27</v>
      </c>
      <c r="E276" s="2">
        <v>35</v>
      </c>
      <c r="F276" t="s">
        <v>22</v>
      </c>
      <c r="G276" t="s">
        <v>23</v>
      </c>
      <c r="H276" s="2">
        <v>74</v>
      </c>
      <c r="I276" s="3">
        <v>7764</v>
      </c>
      <c r="J276" s="4">
        <v>16.03</v>
      </c>
      <c r="K276" s="2">
        <v>84</v>
      </c>
      <c r="L276" s="2">
        <v>4</v>
      </c>
      <c r="M276" s="3">
        <v>20251</v>
      </c>
    </row>
    <row r="277" spans="1:13">
      <c r="A277" t="s">
        <v>345</v>
      </c>
      <c r="B277" t="s">
        <v>80</v>
      </c>
      <c r="C277" t="s">
        <v>15</v>
      </c>
      <c r="D277" t="s">
        <v>27</v>
      </c>
      <c r="E277" s="2">
        <v>23</v>
      </c>
      <c r="F277" t="s">
        <v>34</v>
      </c>
      <c r="G277" t="s">
        <v>70</v>
      </c>
      <c r="H277" s="2">
        <v>78</v>
      </c>
      <c r="I277" s="3">
        <v>4474</v>
      </c>
      <c r="J277" s="4">
        <v>14.58</v>
      </c>
      <c r="K277" s="2">
        <v>77</v>
      </c>
      <c r="L277" s="2">
        <v>4</v>
      </c>
      <c r="M277" s="3">
        <v>25096</v>
      </c>
    </row>
    <row r="278" spans="1:13">
      <c r="A278" t="s">
        <v>346</v>
      </c>
      <c r="B278" t="s">
        <v>168</v>
      </c>
      <c r="C278" t="s">
        <v>45</v>
      </c>
      <c r="D278" t="s">
        <v>27</v>
      </c>
      <c r="E278" s="2">
        <v>68</v>
      </c>
      <c r="F278" t="s">
        <v>22</v>
      </c>
      <c r="G278" t="s">
        <v>23</v>
      </c>
      <c r="H278" s="2">
        <v>65</v>
      </c>
      <c r="I278" s="3">
        <v>8806</v>
      </c>
      <c r="J278" s="4">
        <v>18.79</v>
      </c>
      <c r="K278" s="2">
        <v>102</v>
      </c>
      <c r="L278" s="2">
        <v>3</v>
      </c>
      <c r="M278" s="3">
        <v>38701</v>
      </c>
    </row>
    <row r="279" spans="1:13">
      <c r="A279" t="s">
        <v>347</v>
      </c>
      <c r="B279" t="s">
        <v>54</v>
      </c>
      <c r="C279" t="s">
        <v>39</v>
      </c>
      <c r="D279" t="s">
        <v>27</v>
      </c>
      <c r="E279" s="2">
        <v>3</v>
      </c>
      <c r="F279" t="s">
        <v>22</v>
      </c>
      <c r="G279" t="s">
        <v>31</v>
      </c>
      <c r="H279" s="2">
        <v>85</v>
      </c>
      <c r="I279" s="3">
        <v>3943</v>
      </c>
      <c r="J279" s="4">
        <v>9</v>
      </c>
      <c r="K279" s="2">
        <v>36</v>
      </c>
      <c r="L279" s="2">
        <v>5</v>
      </c>
      <c r="M279" s="3">
        <v>14029</v>
      </c>
    </row>
    <row r="280" spans="1:13">
      <c r="A280" t="s">
        <v>348</v>
      </c>
      <c r="B280" t="s">
        <v>44</v>
      </c>
      <c r="C280" t="s">
        <v>45</v>
      </c>
      <c r="D280" t="s">
        <v>16</v>
      </c>
      <c r="E280" s="2">
        <v>29</v>
      </c>
      <c r="F280" t="s">
        <v>17</v>
      </c>
      <c r="G280" t="s">
        <v>18</v>
      </c>
      <c r="H280" s="2">
        <v>67</v>
      </c>
      <c r="I280" s="3">
        <v>8697</v>
      </c>
      <c r="J280" s="4">
        <v>15.11</v>
      </c>
      <c r="K280" s="2">
        <v>82</v>
      </c>
      <c r="L280" s="2">
        <v>4</v>
      </c>
      <c r="M280" s="3">
        <v>39411</v>
      </c>
    </row>
    <row r="281" spans="1:13">
      <c r="A281" t="s">
        <v>349</v>
      </c>
      <c r="B281" t="s">
        <v>137</v>
      </c>
      <c r="C281" t="s">
        <v>26</v>
      </c>
      <c r="D281" t="s">
        <v>27</v>
      </c>
      <c r="E281" s="2">
        <v>41</v>
      </c>
      <c r="F281" t="s">
        <v>17</v>
      </c>
      <c r="G281" t="s">
        <v>40</v>
      </c>
      <c r="H281" s="2">
        <v>87</v>
      </c>
      <c r="I281" s="3">
        <v>2397</v>
      </c>
      <c r="J281" s="4">
        <v>14.34</v>
      </c>
      <c r="K281" s="2">
        <v>22</v>
      </c>
      <c r="L281" s="2">
        <v>5</v>
      </c>
      <c r="M281" s="3">
        <v>10769</v>
      </c>
    </row>
    <row r="282" spans="1:13">
      <c r="A282" t="s">
        <v>350</v>
      </c>
      <c r="B282" t="s">
        <v>60</v>
      </c>
      <c r="C282" t="s">
        <v>52</v>
      </c>
      <c r="D282" t="s">
        <v>16</v>
      </c>
      <c r="E282" s="2">
        <v>20</v>
      </c>
      <c r="F282" t="s">
        <v>34</v>
      </c>
      <c r="G282" t="s">
        <v>40</v>
      </c>
      <c r="H282" s="2">
        <v>90</v>
      </c>
      <c r="I282" s="3">
        <v>7255</v>
      </c>
      <c r="J282" s="4">
        <v>13.58</v>
      </c>
      <c r="K282" s="2">
        <v>89</v>
      </c>
      <c r="L282" s="2">
        <v>4</v>
      </c>
      <c r="M282" s="3">
        <v>23920</v>
      </c>
    </row>
    <row r="283" spans="1:13">
      <c r="A283" t="s">
        <v>351</v>
      </c>
      <c r="B283" t="s">
        <v>14</v>
      </c>
      <c r="C283" t="s">
        <v>15</v>
      </c>
      <c r="D283" t="s">
        <v>16</v>
      </c>
      <c r="E283" s="2">
        <v>50</v>
      </c>
      <c r="F283" t="s">
        <v>34</v>
      </c>
      <c r="G283" t="s">
        <v>18</v>
      </c>
      <c r="H283" s="2">
        <v>68</v>
      </c>
      <c r="I283" s="3">
        <v>6493</v>
      </c>
      <c r="J283" s="4">
        <v>17.12</v>
      </c>
      <c r="K283" s="2">
        <v>120</v>
      </c>
      <c r="L283" s="2">
        <v>4</v>
      </c>
      <c r="M283" s="3">
        <v>36164</v>
      </c>
    </row>
    <row r="284" spans="1:13">
      <c r="A284" t="s">
        <v>352</v>
      </c>
      <c r="B284" t="s">
        <v>36</v>
      </c>
      <c r="C284" t="s">
        <v>21</v>
      </c>
      <c r="D284" t="s">
        <v>16</v>
      </c>
      <c r="E284" s="2">
        <v>52</v>
      </c>
      <c r="F284" t="s">
        <v>17</v>
      </c>
      <c r="G284" t="s">
        <v>49</v>
      </c>
      <c r="H284" s="2">
        <v>68</v>
      </c>
      <c r="I284" s="3">
        <v>7963</v>
      </c>
      <c r="J284" s="4">
        <v>14.79</v>
      </c>
      <c r="K284" s="2">
        <v>89</v>
      </c>
      <c r="L284" s="2">
        <v>4</v>
      </c>
      <c r="M284" s="3">
        <v>27872</v>
      </c>
    </row>
    <row r="285" spans="1:13">
      <c r="A285" t="s">
        <v>353</v>
      </c>
      <c r="B285" t="s">
        <v>38</v>
      </c>
      <c r="C285" t="s">
        <v>39</v>
      </c>
      <c r="D285" t="s">
        <v>27</v>
      </c>
      <c r="E285" s="2">
        <v>18</v>
      </c>
      <c r="F285" t="s">
        <v>22</v>
      </c>
      <c r="G285" t="s">
        <v>23</v>
      </c>
      <c r="H285" s="2">
        <v>99</v>
      </c>
      <c r="I285" s="3">
        <v>3144</v>
      </c>
      <c r="J285" s="4">
        <v>0</v>
      </c>
      <c r="K285" s="2">
        <v>45</v>
      </c>
      <c r="L285" s="2">
        <v>5</v>
      </c>
      <c r="M285" s="3">
        <v>17384</v>
      </c>
    </row>
    <row r="286" spans="1:13">
      <c r="A286" t="s">
        <v>354</v>
      </c>
      <c r="B286" t="s">
        <v>25</v>
      </c>
      <c r="C286" t="s">
        <v>26</v>
      </c>
      <c r="D286" t="s">
        <v>27</v>
      </c>
      <c r="E286" s="2">
        <v>43</v>
      </c>
      <c r="F286" t="s">
        <v>17</v>
      </c>
      <c r="G286" t="s">
        <v>40</v>
      </c>
      <c r="H286" s="2">
        <v>88</v>
      </c>
      <c r="I286" s="3">
        <v>2760</v>
      </c>
      <c r="J286" s="4">
        <v>7.58</v>
      </c>
      <c r="K286" s="2">
        <v>50</v>
      </c>
      <c r="L286" s="2">
        <v>4</v>
      </c>
      <c r="M286" s="3">
        <v>8836</v>
      </c>
    </row>
    <row r="287" spans="1:13">
      <c r="A287" t="s">
        <v>355</v>
      </c>
      <c r="B287" t="s">
        <v>137</v>
      </c>
      <c r="C287" t="s">
        <v>26</v>
      </c>
      <c r="D287" t="s">
        <v>27</v>
      </c>
      <c r="E287" s="2">
        <v>68</v>
      </c>
      <c r="F287" t="s">
        <v>22</v>
      </c>
      <c r="G287" t="s">
        <v>70</v>
      </c>
      <c r="H287" s="2">
        <v>97</v>
      </c>
      <c r="I287" s="3">
        <v>2432</v>
      </c>
      <c r="J287" s="4">
        <v>9.01</v>
      </c>
      <c r="K287" s="2">
        <v>40</v>
      </c>
      <c r="L287" s="2">
        <v>5</v>
      </c>
      <c r="M287" s="3">
        <v>13965</v>
      </c>
    </row>
    <row r="288" spans="1:13">
      <c r="A288" t="s">
        <v>356</v>
      </c>
      <c r="B288" t="s">
        <v>58</v>
      </c>
      <c r="C288" t="s">
        <v>48</v>
      </c>
      <c r="D288" t="s">
        <v>27</v>
      </c>
      <c r="E288" s="2">
        <v>44</v>
      </c>
      <c r="F288" t="s">
        <v>34</v>
      </c>
      <c r="G288" t="s">
        <v>18</v>
      </c>
      <c r="H288" s="2">
        <v>75</v>
      </c>
      <c r="I288" s="3">
        <v>7348</v>
      </c>
      <c r="J288" s="4">
        <v>15.79</v>
      </c>
      <c r="K288" s="2">
        <v>67</v>
      </c>
      <c r="L288" s="2">
        <v>4</v>
      </c>
      <c r="M288" s="3">
        <v>26069</v>
      </c>
    </row>
    <row r="289" spans="1:13">
      <c r="A289" t="s">
        <v>357</v>
      </c>
      <c r="B289" t="s">
        <v>56</v>
      </c>
      <c r="C289" t="s">
        <v>45</v>
      </c>
      <c r="D289" t="s">
        <v>27</v>
      </c>
      <c r="E289" s="2">
        <v>67</v>
      </c>
      <c r="F289" t="s">
        <v>17</v>
      </c>
      <c r="G289" t="s">
        <v>18</v>
      </c>
      <c r="H289" s="2">
        <v>75</v>
      </c>
      <c r="I289" s="3">
        <v>7390</v>
      </c>
      <c r="J289" s="4">
        <v>14.26</v>
      </c>
      <c r="K289" s="2">
        <v>84</v>
      </c>
      <c r="L289" s="2">
        <v>4</v>
      </c>
      <c r="M289" s="3">
        <v>18845</v>
      </c>
    </row>
    <row r="290" spans="1:13">
      <c r="A290" t="s">
        <v>358</v>
      </c>
      <c r="B290" t="s">
        <v>137</v>
      </c>
      <c r="C290" t="s">
        <v>26</v>
      </c>
      <c r="D290" t="s">
        <v>27</v>
      </c>
      <c r="E290" s="2">
        <v>59</v>
      </c>
      <c r="F290" t="s">
        <v>17</v>
      </c>
      <c r="G290" t="s">
        <v>70</v>
      </c>
      <c r="H290" s="2">
        <v>89</v>
      </c>
      <c r="I290" s="3">
        <v>2179</v>
      </c>
      <c r="J290" s="4">
        <v>6.73</v>
      </c>
      <c r="K290" s="2">
        <v>55</v>
      </c>
      <c r="L290" s="2">
        <v>5</v>
      </c>
      <c r="M290" s="3">
        <v>10469</v>
      </c>
    </row>
    <row r="291" spans="1:13">
      <c r="A291" t="s">
        <v>359</v>
      </c>
      <c r="B291" t="s">
        <v>150</v>
      </c>
      <c r="C291" t="s">
        <v>48</v>
      </c>
      <c r="D291" t="s">
        <v>27</v>
      </c>
      <c r="E291" s="2">
        <v>56</v>
      </c>
      <c r="F291" t="s">
        <v>17</v>
      </c>
      <c r="G291" t="s">
        <v>23</v>
      </c>
      <c r="H291" s="2">
        <v>74</v>
      </c>
      <c r="I291" s="3">
        <v>5079</v>
      </c>
      <c r="J291" s="4">
        <v>12.85</v>
      </c>
      <c r="K291" s="2">
        <v>83</v>
      </c>
      <c r="L291" s="2">
        <v>4</v>
      </c>
      <c r="M291" s="3">
        <v>19942</v>
      </c>
    </row>
    <row r="292" spans="1:13">
      <c r="A292" t="s">
        <v>360</v>
      </c>
      <c r="B292" t="s">
        <v>78</v>
      </c>
      <c r="C292" t="s">
        <v>15</v>
      </c>
      <c r="D292" t="s">
        <v>16</v>
      </c>
      <c r="E292" s="2">
        <v>31</v>
      </c>
      <c r="F292" t="s">
        <v>34</v>
      </c>
      <c r="G292" t="s">
        <v>40</v>
      </c>
      <c r="H292" s="2">
        <v>68</v>
      </c>
      <c r="I292" s="3">
        <v>5890</v>
      </c>
      <c r="J292" s="4">
        <v>14.77</v>
      </c>
      <c r="K292" s="2">
        <v>82</v>
      </c>
      <c r="L292" s="2">
        <v>3</v>
      </c>
      <c r="M292" s="3">
        <v>16309</v>
      </c>
    </row>
    <row r="293" spans="1:13">
      <c r="A293" t="s">
        <v>361</v>
      </c>
      <c r="B293" t="s">
        <v>143</v>
      </c>
      <c r="C293" t="s">
        <v>21</v>
      </c>
      <c r="D293" t="s">
        <v>27</v>
      </c>
      <c r="E293" s="2">
        <v>74</v>
      </c>
      <c r="F293" t="s">
        <v>34</v>
      </c>
      <c r="G293" t="s">
        <v>18</v>
      </c>
      <c r="H293" s="2">
        <v>75</v>
      </c>
      <c r="I293" s="3">
        <v>6267</v>
      </c>
      <c r="J293" s="4">
        <v>15.33</v>
      </c>
      <c r="K293" s="2">
        <v>90</v>
      </c>
      <c r="L293" s="2">
        <v>3</v>
      </c>
      <c r="M293" s="3">
        <v>22144</v>
      </c>
    </row>
    <row r="294" spans="1:13">
      <c r="A294" t="s">
        <v>362</v>
      </c>
      <c r="B294" t="s">
        <v>84</v>
      </c>
      <c r="C294" t="s">
        <v>21</v>
      </c>
      <c r="D294" t="s">
        <v>27</v>
      </c>
      <c r="E294" s="2">
        <v>29</v>
      </c>
      <c r="F294" t="s">
        <v>22</v>
      </c>
      <c r="G294" t="s">
        <v>23</v>
      </c>
      <c r="H294" s="2">
        <v>78</v>
      </c>
      <c r="I294" s="3">
        <v>7578</v>
      </c>
      <c r="J294" s="4">
        <v>14.22</v>
      </c>
      <c r="K294" s="2">
        <v>71</v>
      </c>
      <c r="L294" s="2">
        <v>3</v>
      </c>
      <c r="M294" s="3">
        <v>24939</v>
      </c>
    </row>
    <row r="295" spans="1:13">
      <c r="A295" t="s">
        <v>363</v>
      </c>
      <c r="B295" t="s">
        <v>36</v>
      </c>
      <c r="C295" t="s">
        <v>21</v>
      </c>
      <c r="D295" t="s">
        <v>27</v>
      </c>
      <c r="E295" s="2">
        <v>46</v>
      </c>
      <c r="F295" t="s">
        <v>22</v>
      </c>
      <c r="G295" t="s">
        <v>49</v>
      </c>
      <c r="H295" s="2">
        <v>70</v>
      </c>
      <c r="I295" s="3">
        <v>4351</v>
      </c>
      <c r="J295" s="4">
        <v>19.809999999999999</v>
      </c>
      <c r="K295" s="2">
        <v>90</v>
      </c>
      <c r="L295" s="2">
        <v>4</v>
      </c>
      <c r="M295" s="3">
        <v>24410</v>
      </c>
    </row>
    <row r="296" spans="1:13">
      <c r="A296" t="s">
        <v>364</v>
      </c>
      <c r="B296" t="s">
        <v>44</v>
      </c>
      <c r="C296" t="s">
        <v>45</v>
      </c>
      <c r="D296" t="s">
        <v>16</v>
      </c>
      <c r="E296" s="2">
        <v>1</v>
      </c>
      <c r="F296" t="s">
        <v>22</v>
      </c>
      <c r="G296" t="s">
        <v>40</v>
      </c>
      <c r="H296" s="2">
        <v>73</v>
      </c>
      <c r="I296" s="3">
        <v>12240</v>
      </c>
      <c r="J296" s="4">
        <v>21.96</v>
      </c>
      <c r="K296" s="2">
        <v>98</v>
      </c>
      <c r="L296" s="2">
        <v>3</v>
      </c>
      <c r="M296" s="3">
        <v>40964</v>
      </c>
    </row>
    <row r="297" spans="1:13">
      <c r="A297" t="s">
        <v>365</v>
      </c>
      <c r="B297" t="s">
        <v>66</v>
      </c>
      <c r="C297" t="s">
        <v>39</v>
      </c>
      <c r="D297" t="s">
        <v>27</v>
      </c>
      <c r="E297" s="2">
        <v>11</v>
      </c>
      <c r="F297" t="s">
        <v>34</v>
      </c>
      <c r="G297" t="s">
        <v>70</v>
      </c>
      <c r="H297" s="2">
        <v>74</v>
      </c>
      <c r="I297" s="3">
        <v>3141</v>
      </c>
      <c r="J297" s="4">
        <v>13.48</v>
      </c>
      <c r="K297" s="2">
        <v>71</v>
      </c>
      <c r="L297" s="2">
        <v>4</v>
      </c>
      <c r="M297" s="3">
        <v>16376</v>
      </c>
    </row>
    <row r="298" spans="1:13">
      <c r="A298" t="s">
        <v>366</v>
      </c>
      <c r="B298" t="s">
        <v>150</v>
      </c>
      <c r="C298" t="s">
        <v>48</v>
      </c>
      <c r="D298" t="s">
        <v>16</v>
      </c>
      <c r="E298" s="2">
        <v>44</v>
      </c>
      <c r="F298" t="s">
        <v>34</v>
      </c>
      <c r="G298" t="s">
        <v>49</v>
      </c>
      <c r="H298" s="2">
        <v>82</v>
      </c>
      <c r="I298" s="3">
        <v>5166</v>
      </c>
      <c r="J298" s="4">
        <v>10.36</v>
      </c>
      <c r="K298" s="2">
        <v>39</v>
      </c>
      <c r="L298" s="2">
        <v>4</v>
      </c>
      <c r="M298" s="3">
        <v>26451</v>
      </c>
    </row>
    <row r="299" spans="1:13">
      <c r="A299" t="s">
        <v>367</v>
      </c>
      <c r="B299" t="s">
        <v>80</v>
      </c>
      <c r="C299" t="s">
        <v>15</v>
      </c>
      <c r="D299" t="s">
        <v>27</v>
      </c>
      <c r="E299" s="2">
        <v>32</v>
      </c>
      <c r="F299" t="s">
        <v>17</v>
      </c>
      <c r="G299" t="s">
        <v>23</v>
      </c>
      <c r="H299" s="2">
        <v>74</v>
      </c>
      <c r="I299" s="3">
        <v>8337</v>
      </c>
      <c r="J299" s="4">
        <v>11.87</v>
      </c>
      <c r="K299" s="2">
        <v>85</v>
      </c>
      <c r="L299" s="2">
        <v>4</v>
      </c>
      <c r="M299" s="3">
        <v>23815</v>
      </c>
    </row>
    <row r="300" spans="1:13">
      <c r="A300" t="s">
        <v>368</v>
      </c>
      <c r="B300" t="s">
        <v>25</v>
      </c>
      <c r="C300" t="s">
        <v>39</v>
      </c>
      <c r="D300" t="s">
        <v>27</v>
      </c>
      <c r="E300" s="2">
        <v>18</v>
      </c>
      <c r="F300" t="s">
        <v>17</v>
      </c>
      <c r="G300" t="s">
        <v>49</v>
      </c>
      <c r="H300" s="2">
        <v>85</v>
      </c>
      <c r="I300" s="3">
        <v>2714</v>
      </c>
      <c r="J300" s="4">
        <v>11.5</v>
      </c>
      <c r="K300" s="2">
        <v>43</v>
      </c>
      <c r="L300" s="2">
        <v>4</v>
      </c>
      <c r="M300" s="3">
        <v>10905</v>
      </c>
    </row>
    <row r="301" spans="1:13">
      <c r="A301" t="s">
        <v>369</v>
      </c>
      <c r="B301" t="s">
        <v>103</v>
      </c>
      <c r="C301" t="s">
        <v>26</v>
      </c>
      <c r="D301" t="s">
        <v>16</v>
      </c>
      <c r="E301" s="2">
        <v>40</v>
      </c>
      <c r="F301" t="s">
        <v>22</v>
      </c>
      <c r="G301" t="s">
        <v>23</v>
      </c>
      <c r="H301" s="2">
        <v>89</v>
      </c>
      <c r="I301" s="3">
        <v>2467</v>
      </c>
      <c r="J301" s="4">
        <v>12.93</v>
      </c>
      <c r="K301" s="2">
        <v>60</v>
      </c>
      <c r="L301" s="2">
        <v>4</v>
      </c>
      <c r="M301" s="3">
        <v>12244</v>
      </c>
    </row>
    <row r="302" spans="1:13">
      <c r="A302" t="s">
        <v>370</v>
      </c>
      <c r="B302" t="s">
        <v>44</v>
      </c>
      <c r="C302" t="s">
        <v>45</v>
      </c>
      <c r="D302" t="s">
        <v>16</v>
      </c>
      <c r="E302" s="2">
        <v>64</v>
      </c>
      <c r="F302" t="s">
        <v>34</v>
      </c>
      <c r="G302" t="s">
        <v>49</v>
      </c>
      <c r="H302" s="2">
        <v>68</v>
      </c>
      <c r="I302" s="3">
        <v>9159</v>
      </c>
      <c r="J302" s="4">
        <v>17.79</v>
      </c>
      <c r="K302" s="2">
        <v>119</v>
      </c>
      <c r="L302" s="2">
        <v>3</v>
      </c>
      <c r="M302" s="3">
        <v>47960</v>
      </c>
    </row>
    <row r="303" spans="1:13">
      <c r="A303" t="s">
        <v>371</v>
      </c>
      <c r="B303" t="s">
        <v>44</v>
      </c>
      <c r="C303" t="s">
        <v>45</v>
      </c>
      <c r="D303" t="s">
        <v>27</v>
      </c>
      <c r="E303" s="2">
        <v>36</v>
      </c>
      <c r="F303" t="s">
        <v>17</v>
      </c>
      <c r="G303" t="s">
        <v>70</v>
      </c>
      <c r="H303" s="2">
        <v>60</v>
      </c>
      <c r="I303" s="3">
        <v>9734</v>
      </c>
      <c r="J303" s="4">
        <v>16.5</v>
      </c>
      <c r="K303" s="2">
        <v>97</v>
      </c>
      <c r="L303" s="2">
        <v>3</v>
      </c>
      <c r="M303" s="3">
        <v>39928</v>
      </c>
    </row>
    <row r="304" spans="1:13">
      <c r="A304" t="s">
        <v>372</v>
      </c>
      <c r="B304" t="s">
        <v>80</v>
      </c>
      <c r="C304" t="s">
        <v>15</v>
      </c>
      <c r="D304" t="s">
        <v>72</v>
      </c>
      <c r="E304" s="2">
        <v>33</v>
      </c>
      <c r="F304" t="s">
        <v>17</v>
      </c>
      <c r="G304" t="s">
        <v>49</v>
      </c>
      <c r="H304" s="2">
        <v>78</v>
      </c>
      <c r="I304" s="3">
        <v>6288</v>
      </c>
      <c r="J304" s="4">
        <v>15.41</v>
      </c>
      <c r="K304" s="2">
        <v>60</v>
      </c>
      <c r="L304" s="2">
        <v>4</v>
      </c>
      <c r="M304" s="3">
        <v>33814</v>
      </c>
    </row>
    <row r="305" spans="1:13">
      <c r="A305" t="s">
        <v>373</v>
      </c>
      <c r="B305" t="s">
        <v>20</v>
      </c>
      <c r="C305" t="s">
        <v>21</v>
      </c>
      <c r="D305" t="s">
        <v>27</v>
      </c>
      <c r="E305" s="2">
        <v>37</v>
      </c>
      <c r="F305" t="s">
        <v>34</v>
      </c>
      <c r="G305" t="s">
        <v>70</v>
      </c>
      <c r="H305" s="2">
        <v>70</v>
      </c>
      <c r="I305" s="3">
        <v>6018</v>
      </c>
      <c r="J305" s="4">
        <v>23.42</v>
      </c>
      <c r="K305" s="2">
        <v>99</v>
      </c>
      <c r="L305" s="2">
        <v>4</v>
      </c>
      <c r="M305" s="3">
        <v>29321</v>
      </c>
    </row>
    <row r="306" spans="1:13">
      <c r="A306" t="s">
        <v>374</v>
      </c>
      <c r="B306" t="s">
        <v>129</v>
      </c>
      <c r="C306" t="s">
        <v>21</v>
      </c>
      <c r="D306" t="s">
        <v>27</v>
      </c>
      <c r="E306" s="2">
        <v>13</v>
      </c>
      <c r="F306" t="s">
        <v>34</v>
      </c>
      <c r="G306" t="s">
        <v>70</v>
      </c>
      <c r="H306" s="2">
        <v>72</v>
      </c>
      <c r="I306" s="3">
        <v>6989</v>
      </c>
      <c r="J306" s="4">
        <v>11.39</v>
      </c>
      <c r="K306" s="2">
        <v>106</v>
      </c>
      <c r="L306" s="2">
        <v>4</v>
      </c>
      <c r="M306" s="3">
        <v>33246</v>
      </c>
    </row>
    <row r="307" spans="1:13">
      <c r="A307" t="s">
        <v>375</v>
      </c>
      <c r="B307" t="s">
        <v>25</v>
      </c>
      <c r="C307" t="s">
        <v>26</v>
      </c>
      <c r="D307" t="s">
        <v>16</v>
      </c>
      <c r="E307" s="2">
        <v>75</v>
      </c>
      <c r="F307" t="s">
        <v>17</v>
      </c>
      <c r="G307" t="s">
        <v>31</v>
      </c>
      <c r="H307" s="2">
        <v>85</v>
      </c>
      <c r="I307" s="3">
        <v>2596</v>
      </c>
      <c r="J307" s="4">
        <v>4.41</v>
      </c>
      <c r="K307" s="2">
        <v>29</v>
      </c>
      <c r="L307" s="2">
        <v>4</v>
      </c>
      <c r="M307" s="3">
        <v>7017</v>
      </c>
    </row>
    <row r="308" spans="1:13">
      <c r="A308" t="s">
        <v>376</v>
      </c>
      <c r="B308" t="s">
        <v>38</v>
      </c>
      <c r="C308" t="s">
        <v>39</v>
      </c>
      <c r="D308" t="s">
        <v>27</v>
      </c>
      <c r="E308" s="2">
        <v>17</v>
      </c>
      <c r="F308" t="s">
        <v>22</v>
      </c>
      <c r="G308" t="s">
        <v>31</v>
      </c>
      <c r="H308" s="2">
        <v>86</v>
      </c>
      <c r="I308" s="3">
        <v>3444</v>
      </c>
      <c r="J308" s="4">
        <v>5.95</v>
      </c>
      <c r="K308" s="2">
        <v>39</v>
      </c>
      <c r="L308" s="2">
        <v>4</v>
      </c>
      <c r="M308" s="3">
        <v>14550</v>
      </c>
    </row>
    <row r="309" spans="1:13">
      <c r="A309" t="s">
        <v>377</v>
      </c>
      <c r="B309" t="s">
        <v>25</v>
      </c>
      <c r="C309" t="s">
        <v>26</v>
      </c>
      <c r="D309" t="s">
        <v>27</v>
      </c>
      <c r="E309" s="2">
        <v>60</v>
      </c>
      <c r="F309" t="s">
        <v>22</v>
      </c>
      <c r="G309" t="s">
        <v>49</v>
      </c>
      <c r="H309" s="2">
        <v>95</v>
      </c>
      <c r="I309" s="3">
        <v>2461</v>
      </c>
      <c r="J309" s="4">
        <v>5.0599999999999996</v>
      </c>
      <c r="K309" s="2">
        <v>5</v>
      </c>
      <c r="L309" s="2">
        <v>5</v>
      </c>
      <c r="M309" s="3">
        <v>10623</v>
      </c>
    </row>
    <row r="310" spans="1:13">
      <c r="A310" t="s">
        <v>378</v>
      </c>
      <c r="B310" t="s">
        <v>129</v>
      </c>
      <c r="C310" t="s">
        <v>21</v>
      </c>
      <c r="D310" t="s">
        <v>27</v>
      </c>
      <c r="E310" s="2">
        <v>21</v>
      </c>
      <c r="F310" t="s">
        <v>22</v>
      </c>
      <c r="G310" t="s">
        <v>18</v>
      </c>
      <c r="H310" s="2">
        <v>74</v>
      </c>
      <c r="I310" s="3">
        <v>7429</v>
      </c>
      <c r="J310" s="4">
        <v>17.87</v>
      </c>
      <c r="K310" s="2">
        <v>112</v>
      </c>
      <c r="L310" s="2">
        <v>4</v>
      </c>
      <c r="M310" s="3">
        <v>21836</v>
      </c>
    </row>
    <row r="311" spans="1:13">
      <c r="A311" t="s">
        <v>379</v>
      </c>
      <c r="B311" t="s">
        <v>25</v>
      </c>
      <c r="C311" t="s">
        <v>39</v>
      </c>
      <c r="D311" t="s">
        <v>72</v>
      </c>
      <c r="E311" s="2">
        <v>17</v>
      </c>
      <c r="F311" t="s">
        <v>22</v>
      </c>
      <c r="G311" t="s">
        <v>31</v>
      </c>
      <c r="H311" s="2">
        <v>74</v>
      </c>
      <c r="I311" s="3">
        <v>3588</v>
      </c>
      <c r="J311" s="4">
        <v>5.03</v>
      </c>
      <c r="K311" s="2">
        <v>63</v>
      </c>
      <c r="L311" s="2">
        <v>4</v>
      </c>
      <c r="M311" s="3">
        <v>13638</v>
      </c>
    </row>
    <row r="312" spans="1:13">
      <c r="A312" t="s">
        <v>380</v>
      </c>
      <c r="B312" t="s">
        <v>33</v>
      </c>
      <c r="C312" t="s">
        <v>26</v>
      </c>
      <c r="D312" t="s">
        <v>16</v>
      </c>
      <c r="E312" s="2">
        <v>48</v>
      </c>
      <c r="F312" t="s">
        <v>17</v>
      </c>
      <c r="G312" t="s">
        <v>40</v>
      </c>
      <c r="H312" s="2">
        <v>85</v>
      </c>
      <c r="I312" s="3">
        <v>2586</v>
      </c>
      <c r="J312" s="4">
        <v>5.98</v>
      </c>
      <c r="K312" s="2">
        <v>46</v>
      </c>
      <c r="L312" s="2">
        <v>5</v>
      </c>
      <c r="M312" s="3">
        <v>10067</v>
      </c>
    </row>
    <row r="313" spans="1:13">
      <c r="A313" t="s">
        <v>381</v>
      </c>
      <c r="B313" t="s">
        <v>25</v>
      </c>
      <c r="C313" t="s">
        <v>26</v>
      </c>
      <c r="D313" t="s">
        <v>16</v>
      </c>
      <c r="E313" s="2">
        <v>37</v>
      </c>
      <c r="F313" t="s">
        <v>22</v>
      </c>
      <c r="G313" t="s">
        <v>31</v>
      </c>
      <c r="H313" s="2">
        <v>97</v>
      </c>
      <c r="I313" s="3">
        <v>2128</v>
      </c>
      <c r="J313" s="4">
        <v>1.81</v>
      </c>
      <c r="K313" s="2">
        <v>41</v>
      </c>
      <c r="L313" s="2">
        <v>5</v>
      </c>
      <c r="M313" s="3">
        <v>8848</v>
      </c>
    </row>
    <row r="314" spans="1:13">
      <c r="A314" t="s">
        <v>382</v>
      </c>
      <c r="B314" t="s">
        <v>88</v>
      </c>
      <c r="C314" t="s">
        <v>15</v>
      </c>
      <c r="D314" t="s">
        <v>16</v>
      </c>
      <c r="E314" s="2">
        <v>45</v>
      </c>
      <c r="F314" t="s">
        <v>17</v>
      </c>
      <c r="G314" t="s">
        <v>40</v>
      </c>
      <c r="H314" s="2">
        <v>75</v>
      </c>
      <c r="I314" s="3">
        <v>5235</v>
      </c>
      <c r="J314" s="4">
        <v>13.53</v>
      </c>
      <c r="K314" s="2">
        <v>89</v>
      </c>
      <c r="L314" s="2">
        <v>4</v>
      </c>
      <c r="M314" s="3">
        <v>24491</v>
      </c>
    </row>
    <row r="315" spans="1:13">
      <c r="A315" t="s">
        <v>383</v>
      </c>
      <c r="B315" t="s">
        <v>135</v>
      </c>
      <c r="C315" t="s">
        <v>48</v>
      </c>
      <c r="D315" t="s">
        <v>16</v>
      </c>
      <c r="E315" s="2">
        <v>52</v>
      </c>
      <c r="F315" t="s">
        <v>34</v>
      </c>
      <c r="G315" t="s">
        <v>70</v>
      </c>
      <c r="H315" s="2">
        <v>70</v>
      </c>
      <c r="I315" s="3">
        <v>6390</v>
      </c>
      <c r="J315" s="4">
        <v>10.52</v>
      </c>
      <c r="K315" s="2">
        <v>103</v>
      </c>
      <c r="L315" s="2">
        <v>4</v>
      </c>
      <c r="M315" s="3">
        <v>31051</v>
      </c>
    </row>
    <row r="316" spans="1:13">
      <c r="A316" t="s">
        <v>384</v>
      </c>
      <c r="B316" t="s">
        <v>60</v>
      </c>
      <c r="C316" t="s">
        <v>52</v>
      </c>
      <c r="D316" t="s">
        <v>72</v>
      </c>
      <c r="E316" s="2">
        <v>28</v>
      </c>
      <c r="F316" t="s">
        <v>17</v>
      </c>
      <c r="G316" t="s">
        <v>23</v>
      </c>
      <c r="H316" s="2">
        <v>85</v>
      </c>
      <c r="I316" s="3">
        <v>7625</v>
      </c>
      <c r="J316" s="4">
        <v>15.87</v>
      </c>
      <c r="K316" s="2">
        <v>54</v>
      </c>
      <c r="L316" s="2">
        <v>4</v>
      </c>
      <c r="M316" s="3">
        <v>37949</v>
      </c>
    </row>
    <row r="317" spans="1:13">
      <c r="A317" t="s">
        <v>385</v>
      </c>
      <c r="B317" t="s">
        <v>58</v>
      </c>
      <c r="C317" t="s">
        <v>48</v>
      </c>
      <c r="D317" t="s">
        <v>16</v>
      </c>
      <c r="E317" s="2">
        <v>23</v>
      </c>
      <c r="F317" t="s">
        <v>22</v>
      </c>
      <c r="G317" t="s">
        <v>31</v>
      </c>
      <c r="H317" s="2">
        <v>79</v>
      </c>
      <c r="I317" s="3">
        <v>6045</v>
      </c>
      <c r="J317" s="4">
        <v>14.34</v>
      </c>
      <c r="K317" s="2">
        <v>71</v>
      </c>
      <c r="L317" s="2">
        <v>3</v>
      </c>
      <c r="M317" s="3">
        <v>29491</v>
      </c>
    </row>
    <row r="318" spans="1:13">
      <c r="A318" t="s">
        <v>386</v>
      </c>
      <c r="B318" t="s">
        <v>64</v>
      </c>
      <c r="C318" t="s">
        <v>30</v>
      </c>
      <c r="D318" t="s">
        <v>16</v>
      </c>
      <c r="E318" s="2">
        <v>41</v>
      </c>
      <c r="F318" t="s">
        <v>22</v>
      </c>
      <c r="G318" t="s">
        <v>18</v>
      </c>
      <c r="H318" s="2">
        <v>59</v>
      </c>
      <c r="I318" s="3">
        <v>3373</v>
      </c>
      <c r="J318" s="4">
        <v>23.49</v>
      </c>
      <c r="K318" s="2">
        <v>102</v>
      </c>
      <c r="L318" s="2">
        <v>4</v>
      </c>
      <c r="M318" s="3">
        <v>8950</v>
      </c>
    </row>
    <row r="319" spans="1:13">
      <c r="A319" t="s">
        <v>387</v>
      </c>
      <c r="B319" t="s">
        <v>33</v>
      </c>
      <c r="C319" t="s">
        <v>26</v>
      </c>
      <c r="D319" t="s">
        <v>27</v>
      </c>
      <c r="E319" s="2">
        <v>40</v>
      </c>
      <c r="F319" t="s">
        <v>22</v>
      </c>
      <c r="G319" t="s">
        <v>49</v>
      </c>
      <c r="H319" s="2">
        <v>89</v>
      </c>
      <c r="I319" s="3">
        <v>2723</v>
      </c>
      <c r="J319" s="4">
        <v>6.48</v>
      </c>
      <c r="K319" s="2">
        <v>20</v>
      </c>
      <c r="L319" s="2">
        <v>5</v>
      </c>
      <c r="M319" s="3">
        <v>9281</v>
      </c>
    </row>
    <row r="320" spans="1:13">
      <c r="A320" t="s">
        <v>388</v>
      </c>
      <c r="B320" t="s">
        <v>36</v>
      </c>
      <c r="C320" t="s">
        <v>21</v>
      </c>
      <c r="D320" t="s">
        <v>27</v>
      </c>
      <c r="E320" s="2">
        <v>85</v>
      </c>
      <c r="F320" t="s">
        <v>34</v>
      </c>
      <c r="G320" t="s">
        <v>31</v>
      </c>
      <c r="H320" s="2">
        <v>83</v>
      </c>
      <c r="I320" s="3">
        <v>6746</v>
      </c>
      <c r="J320" s="4">
        <v>12.35</v>
      </c>
      <c r="K320" s="2">
        <v>62</v>
      </c>
      <c r="L320" s="2">
        <v>4</v>
      </c>
      <c r="M320" s="3">
        <v>34745</v>
      </c>
    </row>
    <row r="321" spans="1:13">
      <c r="A321" t="s">
        <v>389</v>
      </c>
      <c r="B321" t="s">
        <v>185</v>
      </c>
      <c r="C321" t="s">
        <v>52</v>
      </c>
      <c r="D321" t="s">
        <v>16</v>
      </c>
      <c r="E321" s="2">
        <v>43</v>
      </c>
      <c r="F321" t="s">
        <v>22</v>
      </c>
      <c r="G321" t="s">
        <v>70</v>
      </c>
      <c r="H321" s="2">
        <v>86</v>
      </c>
      <c r="I321" s="3">
        <v>6461</v>
      </c>
      <c r="J321" s="4">
        <v>17.32</v>
      </c>
      <c r="K321" s="2">
        <v>55</v>
      </c>
      <c r="L321" s="2">
        <v>5</v>
      </c>
      <c r="M321" s="3">
        <v>19831</v>
      </c>
    </row>
    <row r="322" spans="1:13">
      <c r="A322" t="s">
        <v>390</v>
      </c>
      <c r="B322" t="s">
        <v>95</v>
      </c>
      <c r="C322" t="s">
        <v>52</v>
      </c>
      <c r="D322" t="s">
        <v>27</v>
      </c>
      <c r="E322" s="2">
        <v>74</v>
      </c>
      <c r="F322" t="s">
        <v>34</v>
      </c>
      <c r="G322" t="s">
        <v>18</v>
      </c>
      <c r="H322" s="2">
        <v>71</v>
      </c>
      <c r="I322" s="3">
        <v>7499</v>
      </c>
      <c r="J322" s="4">
        <v>14</v>
      </c>
      <c r="K322" s="2">
        <v>87</v>
      </c>
      <c r="L322" s="2">
        <v>4</v>
      </c>
      <c r="M322" s="3">
        <v>27190</v>
      </c>
    </row>
    <row r="323" spans="1:13">
      <c r="A323" t="s">
        <v>391</v>
      </c>
      <c r="B323" t="s">
        <v>42</v>
      </c>
      <c r="C323" t="s">
        <v>39</v>
      </c>
      <c r="D323" t="s">
        <v>72</v>
      </c>
      <c r="E323" s="2">
        <v>18</v>
      </c>
      <c r="F323" t="s">
        <v>34</v>
      </c>
      <c r="G323" t="s">
        <v>40</v>
      </c>
      <c r="H323" s="2">
        <v>83</v>
      </c>
      <c r="I323" s="3">
        <v>2907</v>
      </c>
      <c r="J323" s="4">
        <v>4.51</v>
      </c>
      <c r="K323" s="2">
        <v>74</v>
      </c>
      <c r="L323" s="2">
        <v>4</v>
      </c>
      <c r="M323" s="3">
        <v>14007</v>
      </c>
    </row>
    <row r="324" spans="1:13">
      <c r="A324" t="s">
        <v>392</v>
      </c>
      <c r="B324" t="s">
        <v>137</v>
      </c>
      <c r="C324" t="s">
        <v>26</v>
      </c>
      <c r="D324" t="s">
        <v>16</v>
      </c>
      <c r="E324" s="2">
        <v>37</v>
      </c>
      <c r="F324" t="s">
        <v>17</v>
      </c>
      <c r="G324" t="s">
        <v>18</v>
      </c>
      <c r="H324" s="2">
        <v>86</v>
      </c>
      <c r="I324" s="3">
        <v>2872</v>
      </c>
      <c r="J324" s="4">
        <v>4.28</v>
      </c>
      <c r="K324" s="2">
        <v>32</v>
      </c>
      <c r="L324" s="2">
        <v>5</v>
      </c>
      <c r="M324" s="3">
        <v>11124</v>
      </c>
    </row>
    <row r="325" spans="1:13">
      <c r="A325" t="s">
        <v>393</v>
      </c>
      <c r="B325" t="s">
        <v>129</v>
      </c>
      <c r="C325" t="s">
        <v>21</v>
      </c>
      <c r="D325" t="s">
        <v>27</v>
      </c>
      <c r="E325" s="2">
        <v>49</v>
      </c>
      <c r="F325" t="s">
        <v>34</v>
      </c>
      <c r="G325" t="s">
        <v>40</v>
      </c>
      <c r="H325" s="2">
        <v>81</v>
      </c>
      <c r="I325" s="3">
        <v>6630</v>
      </c>
      <c r="J325" s="4">
        <v>17.350000000000001</v>
      </c>
      <c r="K325" s="2">
        <v>93</v>
      </c>
      <c r="L325" s="2">
        <v>4</v>
      </c>
      <c r="M325" s="3">
        <v>22399</v>
      </c>
    </row>
    <row r="326" spans="1:13">
      <c r="A326" t="s">
        <v>394</v>
      </c>
      <c r="B326" t="s">
        <v>78</v>
      </c>
      <c r="C326" t="s">
        <v>15</v>
      </c>
      <c r="D326" t="s">
        <v>16</v>
      </c>
      <c r="E326" s="2">
        <v>5</v>
      </c>
      <c r="F326" t="s">
        <v>34</v>
      </c>
      <c r="G326" t="s">
        <v>23</v>
      </c>
      <c r="H326" s="2">
        <v>73</v>
      </c>
      <c r="I326" s="3">
        <v>5304</v>
      </c>
      <c r="J326" s="4">
        <v>18.920000000000002</v>
      </c>
      <c r="K326" s="2">
        <v>102</v>
      </c>
      <c r="L326" s="2">
        <v>3</v>
      </c>
      <c r="M326" s="3">
        <v>17359</v>
      </c>
    </row>
    <row r="327" spans="1:13">
      <c r="A327" t="s">
        <v>395</v>
      </c>
      <c r="B327" t="s">
        <v>129</v>
      </c>
      <c r="C327" t="s">
        <v>21</v>
      </c>
      <c r="D327" t="s">
        <v>27</v>
      </c>
      <c r="E327" s="2">
        <v>49</v>
      </c>
      <c r="F327" t="s">
        <v>22</v>
      </c>
      <c r="G327" t="s">
        <v>18</v>
      </c>
      <c r="H327" s="2">
        <v>76</v>
      </c>
      <c r="I327" s="3">
        <v>4497</v>
      </c>
      <c r="J327" s="4">
        <v>22.93</v>
      </c>
      <c r="K327" s="2">
        <v>86</v>
      </c>
      <c r="L327" s="2">
        <v>5</v>
      </c>
      <c r="M327" s="3">
        <v>23185</v>
      </c>
    </row>
    <row r="328" spans="1:13">
      <c r="A328" t="s">
        <v>396</v>
      </c>
      <c r="B328" t="s">
        <v>25</v>
      </c>
      <c r="C328" t="s">
        <v>26</v>
      </c>
      <c r="D328" t="s">
        <v>16</v>
      </c>
      <c r="E328" s="2">
        <v>27</v>
      </c>
      <c r="F328" t="s">
        <v>17</v>
      </c>
      <c r="G328" t="s">
        <v>70</v>
      </c>
      <c r="H328" s="2">
        <v>88</v>
      </c>
      <c r="I328" s="3">
        <v>2405</v>
      </c>
      <c r="J328" s="4">
        <v>8.69</v>
      </c>
      <c r="K328" s="2">
        <v>18</v>
      </c>
      <c r="L328" s="2">
        <v>5</v>
      </c>
      <c r="M328" s="3">
        <v>10200</v>
      </c>
    </row>
    <row r="329" spans="1:13">
      <c r="A329" t="s">
        <v>397</v>
      </c>
      <c r="B329" t="s">
        <v>38</v>
      </c>
      <c r="C329" t="s">
        <v>39</v>
      </c>
      <c r="D329" t="s">
        <v>27</v>
      </c>
      <c r="E329" s="2">
        <v>14</v>
      </c>
      <c r="F329" t="s">
        <v>34</v>
      </c>
      <c r="G329" t="s">
        <v>49</v>
      </c>
      <c r="H329" s="2">
        <v>87</v>
      </c>
      <c r="I329" s="3">
        <v>2669</v>
      </c>
      <c r="J329" s="4">
        <v>3.9</v>
      </c>
      <c r="K329" s="2">
        <v>33</v>
      </c>
      <c r="L329" s="2">
        <v>5</v>
      </c>
      <c r="M329" s="3">
        <v>7337</v>
      </c>
    </row>
    <row r="330" spans="1:13">
      <c r="A330" t="s">
        <v>398</v>
      </c>
      <c r="B330" t="s">
        <v>66</v>
      </c>
      <c r="C330" t="s">
        <v>39</v>
      </c>
      <c r="D330" t="s">
        <v>27</v>
      </c>
      <c r="E330" s="2">
        <v>1</v>
      </c>
      <c r="F330" t="s">
        <v>17</v>
      </c>
      <c r="G330" t="s">
        <v>40</v>
      </c>
      <c r="H330" s="2">
        <v>88</v>
      </c>
      <c r="I330" s="3">
        <v>3262</v>
      </c>
      <c r="J330" s="4">
        <v>9.6199999999999992</v>
      </c>
      <c r="K330" s="2">
        <v>63</v>
      </c>
      <c r="L330" s="2">
        <v>4</v>
      </c>
      <c r="M330" s="3">
        <v>16958</v>
      </c>
    </row>
    <row r="331" spans="1:13">
      <c r="A331" t="s">
        <v>399</v>
      </c>
      <c r="B331" t="s">
        <v>51</v>
      </c>
      <c r="C331" t="s">
        <v>52</v>
      </c>
      <c r="D331" t="s">
        <v>27</v>
      </c>
      <c r="E331" s="2">
        <v>25</v>
      </c>
      <c r="F331" t="s">
        <v>17</v>
      </c>
      <c r="G331" t="s">
        <v>31</v>
      </c>
      <c r="H331" s="2">
        <v>72</v>
      </c>
      <c r="I331" s="3">
        <v>8175</v>
      </c>
      <c r="J331" s="4">
        <v>18.21</v>
      </c>
      <c r="K331" s="2">
        <v>88</v>
      </c>
      <c r="L331" s="2">
        <v>3</v>
      </c>
      <c r="M331" s="3">
        <v>21512</v>
      </c>
    </row>
    <row r="332" spans="1:13">
      <c r="A332" t="s">
        <v>400</v>
      </c>
      <c r="B332" t="s">
        <v>66</v>
      </c>
      <c r="C332" t="s">
        <v>39</v>
      </c>
      <c r="D332" t="s">
        <v>27</v>
      </c>
      <c r="E332" s="2">
        <v>3</v>
      </c>
      <c r="F332" t="s">
        <v>34</v>
      </c>
      <c r="G332" t="s">
        <v>70</v>
      </c>
      <c r="H332" s="2">
        <v>79</v>
      </c>
      <c r="I332" s="3">
        <v>2594</v>
      </c>
      <c r="J332" s="4">
        <v>8.14</v>
      </c>
      <c r="K332" s="2">
        <v>50</v>
      </c>
      <c r="L332" s="2">
        <v>4</v>
      </c>
      <c r="M332" s="3">
        <v>8576</v>
      </c>
    </row>
    <row r="333" spans="1:13">
      <c r="A333" t="s">
        <v>401</v>
      </c>
      <c r="B333" t="s">
        <v>36</v>
      </c>
      <c r="C333" t="s">
        <v>21</v>
      </c>
      <c r="D333" t="s">
        <v>27</v>
      </c>
      <c r="E333" s="2">
        <v>69</v>
      </c>
      <c r="F333" t="s">
        <v>17</v>
      </c>
      <c r="G333" t="s">
        <v>23</v>
      </c>
      <c r="H333" s="2">
        <v>67</v>
      </c>
      <c r="I333" s="3">
        <v>6172</v>
      </c>
      <c r="J333" s="4">
        <v>19.53</v>
      </c>
      <c r="K333" s="2">
        <v>106</v>
      </c>
      <c r="L333" s="2">
        <v>3</v>
      </c>
      <c r="M333" s="3">
        <v>30824</v>
      </c>
    </row>
    <row r="334" spans="1:13">
      <c r="A334" t="s">
        <v>402</v>
      </c>
      <c r="B334" t="s">
        <v>64</v>
      </c>
      <c r="C334" t="s">
        <v>30</v>
      </c>
      <c r="D334" t="s">
        <v>27</v>
      </c>
      <c r="E334" s="2">
        <v>35</v>
      </c>
      <c r="F334" t="s">
        <v>17</v>
      </c>
      <c r="G334" t="s">
        <v>49</v>
      </c>
      <c r="H334" s="2">
        <v>69</v>
      </c>
      <c r="I334" s="3">
        <v>4048</v>
      </c>
      <c r="J334" s="4">
        <v>16.989999999999998</v>
      </c>
      <c r="K334" s="2">
        <v>119</v>
      </c>
      <c r="L334" s="2">
        <v>4</v>
      </c>
      <c r="M334" s="3">
        <v>18488</v>
      </c>
    </row>
    <row r="335" spans="1:13">
      <c r="A335" t="s">
        <v>403</v>
      </c>
      <c r="B335" t="s">
        <v>25</v>
      </c>
      <c r="C335" t="s">
        <v>26</v>
      </c>
      <c r="D335" t="s">
        <v>16</v>
      </c>
      <c r="E335" s="2">
        <v>33</v>
      </c>
      <c r="F335" t="s">
        <v>17</v>
      </c>
      <c r="G335" t="s">
        <v>40</v>
      </c>
      <c r="H335" s="2">
        <v>88</v>
      </c>
      <c r="I335" s="3">
        <v>3401</v>
      </c>
      <c r="J335" s="4">
        <v>6.53</v>
      </c>
      <c r="K335" s="2">
        <v>49</v>
      </c>
      <c r="L335" s="2">
        <v>4</v>
      </c>
      <c r="M335" s="3">
        <v>15451</v>
      </c>
    </row>
    <row r="336" spans="1:13">
      <c r="A336" t="s">
        <v>404</v>
      </c>
      <c r="B336" t="s">
        <v>14</v>
      </c>
      <c r="C336" t="s">
        <v>15</v>
      </c>
      <c r="D336" t="s">
        <v>27</v>
      </c>
      <c r="E336" s="2">
        <v>58</v>
      </c>
      <c r="F336" t="s">
        <v>22</v>
      </c>
      <c r="G336" t="s">
        <v>49</v>
      </c>
      <c r="H336" s="2">
        <v>80</v>
      </c>
      <c r="I336" s="3">
        <v>8472</v>
      </c>
      <c r="J336" s="4">
        <v>12.01</v>
      </c>
      <c r="K336" s="2">
        <v>54</v>
      </c>
      <c r="L336" s="2">
        <v>4</v>
      </c>
      <c r="M336" s="3">
        <v>36416</v>
      </c>
    </row>
    <row r="337" spans="1:13">
      <c r="A337" t="s">
        <v>405</v>
      </c>
      <c r="B337" t="s">
        <v>74</v>
      </c>
      <c r="C337" t="s">
        <v>45</v>
      </c>
      <c r="D337" t="s">
        <v>27</v>
      </c>
      <c r="E337" s="2">
        <v>1</v>
      </c>
      <c r="F337" t="s">
        <v>34</v>
      </c>
      <c r="G337" t="s">
        <v>49</v>
      </c>
      <c r="H337" s="2">
        <v>76</v>
      </c>
      <c r="I337" s="3">
        <v>10947</v>
      </c>
      <c r="J337" s="4">
        <v>20.98</v>
      </c>
      <c r="K337" s="2">
        <v>98</v>
      </c>
      <c r="L337" s="2">
        <v>4</v>
      </c>
      <c r="M337" s="3">
        <v>53980</v>
      </c>
    </row>
    <row r="338" spans="1:13">
      <c r="A338" t="s">
        <v>406</v>
      </c>
      <c r="B338" t="s">
        <v>29</v>
      </c>
      <c r="C338" t="s">
        <v>30</v>
      </c>
      <c r="D338" t="s">
        <v>16</v>
      </c>
      <c r="E338" s="2">
        <v>58</v>
      </c>
      <c r="F338" t="s">
        <v>22</v>
      </c>
      <c r="G338" t="s">
        <v>18</v>
      </c>
      <c r="H338" s="2">
        <v>70</v>
      </c>
      <c r="I338" s="3">
        <v>4087</v>
      </c>
      <c r="J338" s="4">
        <v>15.53</v>
      </c>
      <c r="K338" s="2">
        <v>118</v>
      </c>
      <c r="L338" s="2">
        <v>3</v>
      </c>
      <c r="M338" s="3">
        <v>15018</v>
      </c>
    </row>
    <row r="339" spans="1:13">
      <c r="A339" t="s">
        <v>407</v>
      </c>
      <c r="B339" t="s">
        <v>122</v>
      </c>
      <c r="C339" t="s">
        <v>48</v>
      </c>
      <c r="D339" t="s">
        <v>27</v>
      </c>
      <c r="E339" s="2">
        <v>66</v>
      </c>
      <c r="F339" t="s">
        <v>34</v>
      </c>
      <c r="G339" t="s">
        <v>18</v>
      </c>
      <c r="H339" s="2">
        <v>65</v>
      </c>
      <c r="I339" s="3">
        <v>6760</v>
      </c>
      <c r="J339" s="4">
        <v>12.35</v>
      </c>
      <c r="K339" s="2">
        <v>93</v>
      </c>
      <c r="L339" s="2">
        <v>3</v>
      </c>
      <c r="M339" s="3">
        <v>20757</v>
      </c>
    </row>
    <row r="340" spans="1:13">
      <c r="A340" t="s">
        <v>408</v>
      </c>
      <c r="B340" t="s">
        <v>33</v>
      </c>
      <c r="C340" t="s">
        <v>26</v>
      </c>
      <c r="D340" t="s">
        <v>16</v>
      </c>
      <c r="E340" s="2">
        <v>58</v>
      </c>
      <c r="F340" t="s">
        <v>17</v>
      </c>
      <c r="G340" t="s">
        <v>49</v>
      </c>
      <c r="H340" s="2">
        <v>77</v>
      </c>
      <c r="I340" s="3">
        <v>2353</v>
      </c>
      <c r="J340" s="4">
        <v>4.71</v>
      </c>
      <c r="K340" s="2">
        <v>61</v>
      </c>
      <c r="L340" s="2">
        <v>4</v>
      </c>
      <c r="M340" s="3">
        <v>11687</v>
      </c>
    </row>
    <row r="341" spans="1:13">
      <c r="A341" t="s">
        <v>409</v>
      </c>
      <c r="B341" t="s">
        <v>38</v>
      </c>
      <c r="C341" t="s">
        <v>39</v>
      </c>
      <c r="D341" t="s">
        <v>16</v>
      </c>
      <c r="E341" s="2">
        <v>4</v>
      </c>
      <c r="F341" t="s">
        <v>22</v>
      </c>
      <c r="G341" t="s">
        <v>49</v>
      </c>
      <c r="H341" s="2">
        <v>79</v>
      </c>
      <c r="I341" s="3">
        <v>4091</v>
      </c>
      <c r="J341" s="4">
        <v>8.16</v>
      </c>
      <c r="K341" s="2">
        <v>86</v>
      </c>
      <c r="L341" s="2">
        <v>4</v>
      </c>
      <c r="M341" s="3">
        <v>21682</v>
      </c>
    </row>
    <row r="342" spans="1:13">
      <c r="A342" t="s">
        <v>410</v>
      </c>
      <c r="B342" t="s">
        <v>187</v>
      </c>
      <c r="C342" t="s">
        <v>30</v>
      </c>
      <c r="D342" t="s">
        <v>16</v>
      </c>
      <c r="E342" s="2">
        <v>1</v>
      </c>
      <c r="F342" t="s">
        <v>17</v>
      </c>
      <c r="G342" t="s">
        <v>31</v>
      </c>
      <c r="H342" s="2">
        <v>75</v>
      </c>
      <c r="I342" s="3">
        <v>3164</v>
      </c>
      <c r="J342" s="4">
        <v>14.55</v>
      </c>
      <c r="K342" s="2">
        <v>131</v>
      </c>
      <c r="L342" s="2">
        <v>4</v>
      </c>
      <c r="M342" s="3">
        <v>15359</v>
      </c>
    </row>
    <row r="343" spans="1:13">
      <c r="A343" t="s">
        <v>411</v>
      </c>
      <c r="B343" t="s">
        <v>25</v>
      </c>
      <c r="C343" t="s">
        <v>26</v>
      </c>
      <c r="D343" t="s">
        <v>27</v>
      </c>
      <c r="E343" s="2">
        <v>32</v>
      </c>
      <c r="F343" t="s">
        <v>17</v>
      </c>
      <c r="G343" t="s">
        <v>40</v>
      </c>
      <c r="H343" s="2">
        <v>81</v>
      </c>
      <c r="I343" s="3">
        <v>3055</v>
      </c>
      <c r="J343" s="4">
        <v>12.74</v>
      </c>
      <c r="K343" s="2">
        <v>60</v>
      </c>
      <c r="L343" s="2">
        <v>4</v>
      </c>
      <c r="M343" s="3">
        <v>10713</v>
      </c>
    </row>
    <row r="344" spans="1:13">
      <c r="A344" t="s">
        <v>412</v>
      </c>
      <c r="B344" t="s">
        <v>80</v>
      </c>
      <c r="C344" t="s">
        <v>15</v>
      </c>
      <c r="D344" t="s">
        <v>27</v>
      </c>
      <c r="E344" s="2">
        <v>24</v>
      </c>
      <c r="F344" t="s">
        <v>22</v>
      </c>
      <c r="G344" t="s">
        <v>31</v>
      </c>
      <c r="H344" s="2">
        <v>75</v>
      </c>
      <c r="I344" s="3">
        <v>4868</v>
      </c>
      <c r="J344" s="4">
        <v>20.45</v>
      </c>
      <c r="K344" s="2">
        <v>57</v>
      </c>
      <c r="L344" s="2">
        <v>4</v>
      </c>
      <c r="M344" s="3">
        <v>13334</v>
      </c>
    </row>
    <row r="345" spans="1:13">
      <c r="A345" t="s">
        <v>413</v>
      </c>
      <c r="B345" t="s">
        <v>78</v>
      </c>
      <c r="C345" t="s">
        <v>15</v>
      </c>
      <c r="D345" t="s">
        <v>16</v>
      </c>
      <c r="E345" s="2">
        <v>30</v>
      </c>
      <c r="F345" t="s">
        <v>34</v>
      </c>
      <c r="G345" t="s">
        <v>18</v>
      </c>
      <c r="H345" s="2">
        <v>73</v>
      </c>
      <c r="I345" s="3">
        <v>9538</v>
      </c>
      <c r="J345" s="4">
        <v>13.37</v>
      </c>
      <c r="K345" s="2">
        <v>103</v>
      </c>
      <c r="L345" s="2">
        <v>4</v>
      </c>
      <c r="M345" s="3">
        <v>36327</v>
      </c>
    </row>
    <row r="346" spans="1:13">
      <c r="A346" t="s">
        <v>414</v>
      </c>
      <c r="B346" t="s">
        <v>64</v>
      </c>
      <c r="C346" t="s">
        <v>30</v>
      </c>
      <c r="D346" t="s">
        <v>16</v>
      </c>
      <c r="E346" s="2">
        <v>48</v>
      </c>
      <c r="F346" t="s">
        <v>22</v>
      </c>
      <c r="G346" t="s">
        <v>18</v>
      </c>
      <c r="H346" s="2">
        <v>66</v>
      </c>
      <c r="I346" s="3">
        <v>4282</v>
      </c>
      <c r="J346" s="4">
        <v>23.79</v>
      </c>
      <c r="K346" s="2">
        <v>120</v>
      </c>
      <c r="L346" s="2">
        <v>3</v>
      </c>
      <c r="M346" s="3">
        <v>21959</v>
      </c>
    </row>
    <row r="347" spans="1:13">
      <c r="A347" t="s">
        <v>415</v>
      </c>
      <c r="B347" t="s">
        <v>168</v>
      </c>
      <c r="C347" t="s">
        <v>45</v>
      </c>
      <c r="D347" t="s">
        <v>16</v>
      </c>
      <c r="E347" s="2">
        <v>39</v>
      </c>
      <c r="F347" t="s">
        <v>17</v>
      </c>
      <c r="G347" t="s">
        <v>23</v>
      </c>
      <c r="H347" s="2">
        <v>73</v>
      </c>
      <c r="I347" s="3">
        <v>8087</v>
      </c>
      <c r="J347" s="4">
        <v>10.33</v>
      </c>
      <c r="K347" s="2">
        <v>84</v>
      </c>
      <c r="L347" s="2">
        <v>4</v>
      </c>
      <c r="M347" s="3">
        <v>47692</v>
      </c>
    </row>
    <row r="348" spans="1:13">
      <c r="A348" t="s">
        <v>416</v>
      </c>
      <c r="B348" t="s">
        <v>74</v>
      </c>
      <c r="C348" t="s">
        <v>45</v>
      </c>
      <c r="D348" t="s">
        <v>27</v>
      </c>
      <c r="E348" s="2">
        <v>40</v>
      </c>
      <c r="F348" t="s">
        <v>17</v>
      </c>
      <c r="G348" t="s">
        <v>18</v>
      </c>
      <c r="H348" s="2">
        <v>66</v>
      </c>
      <c r="I348" s="3">
        <v>10602</v>
      </c>
      <c r="J348" s="4">
        <v>21.14</v>
      </c>
      <c r="K348" s="2">
        <v>76</v>
      </c>
      <c r="L348" s="2">
        <v>3</v>
      </c>
      <c r="M348" s="3">
        <v>41259</v>
      </c>
    </row>
    <row r="349" spans="1:13">
      <c r="A349" t="s">
        <v>417</v>
      </c>
      <c r="B349" t="s">
        <v>64</v>
      </c>
      <c r="C349" t="s">
        <v>30</v>
      </c>
      <c r="D349" t="s">
        <v>16</v>
      </c>
      <c r="E349" s="2">
        <v>28</v>
      </c>
      <c r="F349" t="s">
        <v>22</v>
      </c>
      <c r="G349" t="s">
        <v>70</v>
      </c>
      <c r="H349" s="2">
        <v>79</v>
      </c>
      <c r="I349" s="3">
        <v>2276</v>
      </c>
      <c r="J349" s="4">
        <v>17.489999999999998</v>
      </c>
      <c r="K349" s="2">
        <v>96</v>
      </c>
      <c r="L349" s="2">
        <v>3</v>
      </c>
      <c r="M349" s="3">
        <v>13405</v>
      </c>
    </row>
    <row r="350" spans="1:13">
      <c r="A350" t="s">
        <v>418</v>
      </c>
      <c r="B350" t="s">
        <v>56</v>
      </c>
      <c r="C350" t="s">
        <v>45</v>
      </c>
      <c r="D350" t="s">
        <v>27</v>
      </c>
      <c r="E350" s="2">
        <v>30</v>
      </c>
      <c r="F350" t="s">
        <v>22</v>
      </c>
      <c r="G350" t="s">
        <v>18</v>
      </c>
      <c r="H350" s="2">
        <v>83</v>
      </c>
      <c r="I350" s="3">
        <v>8015</v>
      </c>
      <c r="J350" s="4">
        <v>15.91</v>
      </c>
      <c r="K350" s="2">
        <v>98</v>
      </c>
      <c r="L350" s="2">
        <v>5</v>
      </c>
      <c r="M350" s="3">
        <v>38229</v>
      </c>
    </row>
    <row r="351" spans="1:13">
      <c r="A351" t="s">
        <v>419</v>
      </c>
      <c r="B351" t="s">
        <v>150</v>
      </c>
      <c r="C351" t="s">
        <v>48</v>
      </c>
      <c r="D351" t="s">
        <v>16</v>
      </c>
      <c r="E351" s="2">
        <v>68</v>
      </c>
      <c r="F351" t="s">
        <v>17</v>
      </c>
      <c r="G351" t="s">
        <v>31</v>
      </c>
      <c r="H351" s="2">
        <v>79</v>
      </c>
      <c r="I351" s="3">
        <v>4110</v>
      </c>
      <c r="J351" s="4">
        <v>15.7</v>
      </c>
      <c r="K351" s="2">
        <v>95</v>
      </c>
      <c r="L351" s="2">
        <v>3</v>
      </c>
      <c r="M351" s="3">
        <v>22733</v>
      </c>
    </row>
    <row r="352" spans="1:13">
      <c r="A352" t="s">
        <v>420</v>
      </c>
      <c r="B352" t="s">
        <v>25</v>
      </c>
      <c r="C352" t="s">
        <v>39</v>
      </c>
      <c r="D352" t="s">
        <v>27</v>
      </c>
      <c r="E352" s="2">
        <v>7</v>
      </c>
      <c r="F352" t="s">
        <v>34</v>
      </c>
      <c r="G352" t="s">
        <v>70</v>
      </c>
      <c r="H352" s="2">
        <v>91</v>
      </c>
      <c r="I352" s="3">
        <v>3234</v>
      </c>
      <c r="J352" s="4">
        <v>2.69</v>
      </c>
      <c r="K352" s="2">
        <v>66</v>
      </c>
      <c r="L352" s="2">
        <v>5</v>
      </c>
      <c r="M352" s="3">
        <v>12704</v>
      </c>
    </row>
    <row r="353" spans="1:13">
      <c r="A353" t="s">
        <v>421</v>
      </c>
      <c r="B353" t="s">
        <v>103</v>
      </c>
      <c r="C353" t="s">
        <v>26</v>
      </c>
      <c r="D353" t="s">
        <v>16</v>
      </c>
      <c r="E353" s="2">
        <v>45</v>
      </c>
      <c r="F353" t="s">
        <v>34</v>
      </c>
      <c r="G353" t="s">
        <v>40</v>
      </c>
      <c r="H353" s="2">
        <v>90</v>
      </c>
      <c r="I353" s="3">
        <v>2336</v>
      </c>
      <c r="J353" s="4">
        <v>0</v>
      </c>
      <c r="K353" s="2">
        <v>39</v>
      </c>
      <c r="L353" s="2">
        <v>5</v>
      </c>
      <c r="M353" s="3">
        <v>12706</v>
      </c>
    </row>
    <row r="354" spans="1:13">
      <c r="A354" t="s">
        <v>422</v>
      </c>
      <c r="B354" t="s">
        <v>36</v>
      </c>
      <c r="C354" t="s">
        <v>21</v>
      </c>
      <c r="D354" t="s">
        <v>16</v>
      </c>
      <c r="E354" s="2">
        <v>56</v>
      </c>
      <c r="F354" t="s">
        <v>34</v>
      </c>
      <c r="G354" t="s">
        <v>49</v>
      </c>
      <c r="H354" s="2">
        <v>80</v>
      </c>
      <c r="I354" s="3">
        <v>6469</v>
      </c>
      <c r="J354" s="4">
        <v>14.3</v>
      </c>
      <c r="K354" s="2">
        <v>69</v>
      </c>
      <c r="L354" s="2">
        <v>4</v>
      </c>
      <c r="M354" s="3">
        <v>36879</v>
      </c>
    </row>
    <row r="355" spans="1:13">
      <c r="A355" t="s">
        <v>423</v>
      </c>
      <c r="B355" t="s">
        <v>58</v>
      </c>
      <c r="C355" t="s">
        <v>48</v>
      </c>
      <c r="D355" t="s">
        <v>16</v>
      </c>
      <c r="E355" s="2">
        <v>12</v>
      </c>
      <c r="F355" t="s">
        <v>17</v>
      </c>
      <c r="G355" t="s">
        <v>70</v>
      </c>
      <c r="H355" s="2">
        <v>82</v>
      </c>
      <c r="I355" s="3">
        <v>8012</v>
      </c>
      <c r="J355" s="4">
        <v>10.029999999999999</v>
      </c>
      <c r="K355" s="2">
        <v>66</v>
      </c>
      <c r="L355" s="2">
        <v>4</v>
      </c>
      <c r="M355" s="3">
        <v>37227</v>
      </c>
    </row>
    <row r="356" spans="1:13">
      <c r="A356" t="s">
        <v>424</v>
      </c>
      <c r="B356" t="s">
        <v>84</v>
      </c>
      <c r="C356" t="s">
        <v>21</v>
      </c>
      <c r="D356" t="s">
        <v>27</v>
      </c>
      <c r="E356" s="2">
        <v>19</v>
      </c>
      <c r="F356" t="s">
        <v>17</v>
      </c>
      <c r="G356" t="s">
        <v>23</v>
      </c>
      <c r="H356" s="2">
        <v>76</v>
      </c>
      <c r="I356" s="3">
        <v>5846</v>
      </c>
      <c r="J356" s="4">
        <v>16.05</v>
      </c>
      <c r="K356" s="2">
        <v>103</v>
      </c>
      <c r="L356" s="2">
        <v>4</v>
      </c>
      <c r="M356" s="3">
        <v>29730</v>
      </c>
    </row>
    <row r="357" spans="1:13">
      <c r="A357" t="s">
        <v>425</v>
      </c>
      <c r="B357" t="s">
        <v>25</v>
      </c>
      <c r="C357" t="s">
        <v>39</v>
      </c>
      <c r="D357" t="s">
        <v>27</v>
      </c>
      <c r="E357" s="2">
        <v>13</v>
      </c>
      <c r="F357" t="s">
        <v>22</v>
      </c>
      <c r="G357" t="s">
        <v>31</v>
      </c>
      <c r="H357" s="2">
        <v>94</v>
      </c>
      <c r="I357" s="3">
        <v>4023</v>
      </c>
      <c r="J357" s="4">
        <v>6.8</v>
      </c>
      <c r="K357" s="2">
        <v>42</v>
      </c>
      <c r="L357" s="2">
        <v>5</v>
      </c>
      <c r="M357" s="3">
        <v>11200</v>
      </c>
    </row>
    <row r="358" spans="1:13">
      <c r="A358" t="s">
        <v>426</v>
      </c>
      <c r="B358" t="s">
        <v>33</v>
      </c>
      <c r="C358" t="s">
        <v>26</v>
      </c>
      <c r="D358" t="s">
        <v>16</v>
      </c>
      <c r="E358" s="2">
        <v>54</v>
      </c>
      <c r="F358" t="s">
        <v>34</v>
      </c>
      <c r="G358" t="s">
        <v>70</v>
      </c>
      <c r="H358" s="2">
        <v>87</v>
      </c>
      <c r="I358" s="3">
        <v>2537</v>
      </c>
      <c r="J358" s="4">
        <v>7.97</v>
      </c>
      <c r="K358" s="2">
        <v>54</v>
      </c>
      <c r="L358" s="2">
        <v>4</v>
      </c>
      <c r="M358" s="3">
        <v>12938</v>
      </c>
    </row>
    <row r="359" spans="1:13">
      <c r="A359" t="s">
        <v>427</v>
      </c>
      <c r="B359" t="s">
        <v>64</v>
      </c>
      <c r="C359" t="s">
        <v>30</v>
      </c>
      <c r="D359" t="s">
        <v>16</v>
      </c>
      <c r="E359" s="2">
        <v>48</v>
      </c>
      <c r="F359" t="s">
        <v>34</v>
      </c>
      <c r="G359" t="s">
        <v>40</v>
      </c>
      <c r="H359" s="2">
        <v>70</v>
      </c>
      <c r="I359" s="3">
        <v>3370</v>
      </c>
      <c r="J359" s="4">
        <v>15.52</v>
      </c>
      <c r="K359" s="2">
        <v>144</v>
      </c>
      <c r="L359" s="2">
        <v>4</v>
      </c>
      <c r="M359" s="3">
        <v>14774</v>
      </c>
    </row>
    <row r="360" spans="1:13">
      <c r="A360" t="s">
        <v>428</v>
      </c>
      <c r="B360" t="s">
        <v>109</v>
      </c>
      <c r="C360" t="s">
        <v>30</v>
      </c>
      <c r="D360" t="s">
        <v>16</v>
      </c>
      <c r="E360" s="2">
        <v>29</v>
      </c>
      <c r="F360" t="s">
        <v>34</v>
      </c>
      <c r="G360" t="s">
        <v>40</v>
      </c>
      <c r="H360" s="2">
        <v>73</v>
      </c>
      <c r="I360" s="3">
        <v>3712</v>
      </c>
      <c r="J360" s="4">
        <v>20.89</v>
      </c>
      <c r="K360" s="2">
        <v>82</v>
      </c>
      <c r="L360" s="2">
        <v>4</v>
      </c>
      <c r="M360" s="3">
        <v>17468</v>
      </c>
    </row>
    <row r="361" spans="1:13">
      <c r="A361" t="s">
        <v>429</v>
      </c>
      <c r="B361" t="s">
        <v>20</v>
      </c>
      <c r="C361" t="s">
        <v>21</v>
      </c>
      <c r="D361" t="s">
        <v>27</v>
      </c>
      <c r="E361" s="2">
        <v>61</v>
      </c>
      <c r="F361" t="s">
        <v>22</v>
      </c>
      <c r="G361" t="s">
        <v>31</v>
      </c>
      <c r="H361" s="2">
        <v>86</v>
      </c>
      <c r="I361" s="3">
        <v>4400</v>
      </c>
      <c r="J361" s="4">
        <v>6.86</v>
      </c>
      <c r="K361" s="2">
        <v>69</v>
      </c>
      <c r="L361" s="2">
        <v>4</v>
      </c>
      <c r="M361" s="3">
        <v>11985</v>
      </c>
    </row>
    <row r="362" spans="1:13">
      <c r="A362" t="s">
        <v>430</v>
      </c>
      <c r="B362" t="s">
        <v>74</v>
      </c>
      <c r="C362" t="s">
        <v>45</v>
      </c>
      <c r="D362" t="s">
        <v>27</v>
      </c>
      <c r="E362" s="2">
        <v>34</v>
      </c>
      <c r="F362" t="s">
        <v>17</v>
      </c>
      <c r="G362" t="s">
        <v>31</v>
      </c>
      <c r="H362" s="2">
        <v>73</v>
      </c>
      <c r="I362" s="3">
        <v>8303</v>
      </c>
      <c r="J362" s="4">
        <v>16.82</v>
      </c>
      <c r="K362" s="2">
        <v>112</v>
      </c>
      <c r="L362" s="2">
        <v>3</v>
      </c>
      <c r="M362" s="3">
        <v>22390</v>
      </c>
    </row>
    <row r="363" spans="1:13">
      <c r="A363" t="s">
        <v>431</v>
      </c>
      <c r="B363" t="s">
        <v>25</v>
      </c>
      <c r="C363" t="s">
        <v>39</v>
      </c>
      <c r="D363" t="s">
        <v>27</v>
      </c>
      <c r="E363" s="2">
        <v>10</v>
      </c>
      <c r="F363" t="s">
        <v>22</v>
      </c>
      <c r="G363" t="s">
        <v>23</v>
      </c>
      <c r="H363" s="2">
        <v>93</v>
      </c>
      <c r="I363" s="3">
        <v>3151</v>
      </c>
      <c r="J363" s="4">
        <v>6.5</v>
      </c>
      <c r="K363" s="2">
        <v>59</v>
      </c>
      <c r="L363" s="2">
        <v>4</v>
      </c>
      <c r="M363" s="3">
        <v>10747</v>
      </c>
    </row>
    <row r="364" spans="1:13">
      <c r="A364" t="s">
        <v>432</v>
      </c>
      <c r="B364" t="s">
        <v>36</v>
      </c>
      <c r="C364" t="s">
        <v>21</v>
      </c>
      <c r="D364" t="s">
        <v>16</v>
      </c>
      <c r="E364" s="2">
        <v>39</v>
      </c>
      <c r="F364" t="s">
        <v>34</v>
      </c>
      <c r="G364" t="s">
        <v>70</v>
      </c>
      <c r="H364" s="2">
        <v>79</v>
      </c>
      <c r="I364" s="3">
        <v>7527</v>
      </c>
      <c r="J364" s="4">
        <v>16.36</v>
      </c>
      <c r="K364" s="2">
        <v>84</v>
      </c>
      <c r="L364" s="2">
        <v>4</v>
      </c>
      <c r="M364" s="3">
        <v>21726</v>
      </c>
    </row>
    <row r="365" spans="1:13">
      <c r="A365" t="s">
        <v>433</v>
      </c>
      <c r="B365" t="s">
        <v>78</v>
      </c>
      <c r="C365" t="s">
        <v>15</v>
      </c>
      <c r="D365" t="s">
        <v>27</v>
      </c>
      <c r="E365" s="2">
        <v>24</v>
      </c>
      <c r="F365" t="s">
        <v>34</v>
      </c>
      <c r="G365" t="s">
        <v>70</v>
      </c>
      <c r="H365" s="2">
        <v>72</v>
      </c>
      <c r="I365" s="3">
        <v>7139</v>
      </c>
      <c r="J365" s="4">
        <v>9.36</v>
      </c>
      <c r="K365" s="2">
        <v>62</v>
      </c>
      <c r="L365" s="2">
        <v>4</v>
      </c>
      <c r="M365" s="3">
        <v>26687</v>
      </c>
    </row>
    <row r="366" spans="1:13">
      <c r="A366" t="s">
        <v>434</v>
      </c>
      <c r="B366" t="s">
        <v>25</v>
      </c>
      <c r="C366" t="s">
        <v>39</v>
      </c>
      <c r="D366" t="s">
        <v>27</v>
      </c>
      <c r="E366" s="2">
        <v>6</v>
      </c>
      <c r="F366" t="s">
        <v>17</v>
      </c>
      <c r="G366" t="s">
        <v>23</v>
      </c>
      <c r="H366" s="2">
        <v>82</v>
      </c>
      <c r="I366" s="3">
        <v>3329</v>
      </c>
      <c r="J366" s="4">
        <v>6.98</v>
      </c>
      <c r="K366" s="2">
        <v>70</v>
      </c>
      <c r="L366" s="2">
        <v>4</v>
      </c>
      <c r="M366" s="3">
        <v>12452</v>
      </c>
    </row>
    <row r="367" spans="1:13">
      <c r="A367" t="s">
        <v>435</v>
      </c>
      <c r="B367" t="s">
        <v>36</v>
      </c>
      <c r="C367" t="s">
        <v>21</v>
      </c>
      <c r="D367" t="s">
        <v>16</v>
      </c>
      <c r="E367" s="2">
        <v>59</v>
      </c>
      <c r="F367" t="s">
        <v>22</v>
      </c>
      <c r="G367" t="s">
        <v>23</v>
      </c>
      <c r="H367" s="2">
        <v>74</v>
      </c>
      <c r="I367" s="3">
        <v>7884</v>
      </c>
      <c r="J367" s="4">
        <v>6.44</v>
      </c>
      <c r="K367" s="2">
        <v>90</v>
      </c>
      <c r="L367" s="2">
        <v>4</v>
      </c>
      <c r="M367" s="3">
        <v>43408</v>
      </c>
    </row>
    <row r="368" spans="1:13">
      <c r="A368" t="s">
        <v>436</v>
      </c>
      <c r="B368" t="s">
        <v>150</v>
      </c>
      <c r="C368" t="s">
        <v>48</v>
      </c>
      <c r="D368" t="s">
        <v>16</v>
      </c>
      <c r="E368" s="2">
        <v>63</v>
      </c>
      <c r="F368" t="s">
        <v>17</v>
      </c>
      <c r="G368" t="s">
        <v>49</v>
      </c>
      <c r="H368" s="2">
        <v>88</v>
      </c>
      <c r="I368" s="3">
        <v>6504</v>
      </c>
      <c r="J368" s="4">
        <v>14.43</v>
      </c>
      <c r="K368" s="2">
        <v>84</v>
      </c>
      <c r="L368" s="2">
        <v>4</v>
      </c>
      <c r="M368" s="3">
        <v>19910</v>
      </c>
    </row>
    <row r="369" spans="1:13">
      <c r="A369" t="s">
        <v>437</v>
      </c>
      <c r="B369" t="s">
        <v>122</v>
      </c>
      <c r="C369" t="s">
        <v>48</v>
      </c>
      <c r="D369" t="s">
        <v>27</v>
      </c>
      <c r="E369" s="2">
        <v>25</v>
      </c>
      <c r="F369" t="s">
        <v>17</v>
      </c>
      <c r="G369" t="s">
        <v>23</v>
      </c>
      <c r="H369" s="2">
        <v>77</v>
      </c>
      <c r="I369" s="3">
        <v>4755</v>
      </c>
      <c r="J369" s="4">
        <v>14.98</v>
      </c>
      <c r="K369" s="2">
        <v>85</v>
      </c>
      <c r="L369" s="2">
        <v>5</v>
      </c>
      <c r="M369" s="3">
        <v>14572</v>
      </c>
    </row>
    <row r="370" spans="1:13">
      <c r="A370" t="s">
        <v>438</v>
      </c>
      <c r="B370" t="s">
        <v>68</v>
      </c>
      <c r="C370" t="s">
        <v>45</v>
      </c>
      <c r="D370" t="s">
        <v>16</v>
      </c>
      <c r="E370" s="2">
        <v>30</v>
      </c>
      <c r="F370" t="s">
        <v>34</v>
      </c>
      <c r="G370" t="s">
        <v>23</v>
      </c>
      <c r="H370" s="2">
        <v>91</v>
      </c>
      <c r="I370" s="3">
        <v>8609</v>
      </c>
      <c r="J370" s="4">
        <v>15.77</v>
      </c>
      <c r="K370" s="2">
        <v>69</v>
      </c>
      <c r="L370" s="2">
        <v>5</v>
      </c>
      <c r="M370" s="3">
        <v>28915</v>
      </c>
    </row>
    <row r="371" spans="1:13">
      <c r="A371" t="s">
        <v>439</v>
      </c>
      <c r="B371" t="s">
        <v>25</v>
      </c>
      <c r="C371" t="s">
        <v>39</v>
      </c>
      <c r="D371" t="s">
        <v>16</v>
      </c>
      <c r="E371" s="2">
        <v>13</v>
      </c>
      <c r="F371" t="s">
        <v>22</v>
      </c>
      <c r="G371" t="s">
        <v>49</v>
      </c>
      <c r="H371" s="2">
        <v>87</v>
      </c>
      <c r="I371" s="3">
        <v>2557</v>
      </c>
      <c r="J371" s="4">
        <v>5.21</v>
      </c>
      <c r="K371" s="2">
        <v>48</v>
      </c>
      <c r="L371" s="2">
        <v>5</v>
      </c>
      <c r="M371" s="3">
        <v>11376</v>
      </c>
    </row>
    <row r="372" spans="1:13">
      <c r="A372" t="s">
        <v>440</v>
      </c>
      <c r="B372" t="s">
        <v>150</v>
      </c>
      <c r="C372" t="s">
        <v>48</v>
      </c>
      <c r="D372" t="s">
        <v>16</v>
      </c>
      <c r="E372" s="2">
        <v>13</v>
      </c>
      <c r="F372" t="s">
        <v>22</v>
      </c>
      <c r="G372" t="s">
        <v>31</v>
      </c>
      <c r="H372" s="2">
        <v>79</v>
      </c>
      <c r="I372" s="3">
        <v>8245</v>
      </c>
      <c r="J372" s="4">
        <v>13.56</v>
      </c>
      <c r="K372" s="2">
        <v>37</v>
      </c>
      <c r="L372" s="2">
        <v>4</v>
      </c>
      <c r="M372" s="3">
        <v>35044</v>
      </c>
    </row>
    <row r="373" spans="1:13">
      <c r="A373" t="s">
        <v>441</v>
      </c>
      <c r="B373" t="s">
        <v>129</v>
      </c>
      <c r="C373" t="s">
        <v>21</v>
      </c>
      <c r="D373" t="s">
        <v>16</v>
      </c>
      <c r="E373" s="2">
        <v>65</v>
      </c>
      <c r="F373" t="s">
        <v>17</v>
      </c>
      <c r="G373" t="s">
        <v>18</v>
      </c>
      <c r="H373" s="2">
        <v>74</v>
      </c>
      <c r="I373" s="3">
        <v>7213</v>
      </c>
      <c r="J373" s="4">
        <v>23.88</v>
      </c>
      <c r="K373" s="2">
        <v>85</v>
      </c>
      <c r="L373" s="2">
        <v>3</v>
      </c>
      <c r="M373" s="3">
        <v>20991</v>
      </c>
    </row>
    <row r="374" spans="1:13">
      <c r="A374" t="s">
        <v>442</v>
      </c>
      <c r="B374" t="s">
        <v>143</v>
      </c>
      <c r="C374" t="s">
        <v>21</v>
      </c>
      <c r="D374" t="s">
        <v>16</v>
      </c>
      <c r="E374" s="2">
        <v>27</v>
      </c>
      <c r="F374" t="s">
        <v>17</v>
      </c>
      <c r="G374" t="s">
        <v>40</v>
      </c>
      <c r="H374" s="2">
        <v>80</v>
      </c>
      <c r="I374" s="3">
        <v>5205</v>
      </c>
      <c r="J374" s="4">
        <v>17.600000000000001</v>
      </c>
      <c r="K374" s="2">
        <v>81</v>
      </c>
      <c r="L374" s="2">
        <v>4</v>
      </c>
      <c r="M374" s="3">
        <v>16734</v>
      </c>
    </row>
    <row r="375" spans="1:13">
      <c r="A375" t="s">
        <v>443</v>
      </c>
      <c r="B375" t="s">
        <v>54</v>
      </c>
      <c r="C375" t="s">
        <v>39</v>
      </c>
      <c r="D375" t="s">
        <v>16</v>
      </c>
      <c r="E375" s="2">
        <v>4</v>
      </c>
      <c r="F375" t="s">
        <v>22</v>
      </c>
      <c r="G375" t="s">
        <v>18</v>
      </c>
      <c r="H375" s="2">
        <v>95</v>
      </c>
      <c r="I375" s="3">
        <v>2972</v>
      </c>
      <c r="J375" s="4">
        <v>4.9400000000000004</v>
      </c>
      <c r="K375" s="2">
        <v>65</v>
      </c>
      <c r="L375" s="2">
        <v>5</v>
      </c>
      <c r="M375" s="3">
        <v>14593</v>
      </c>
    </row>
    <row r="376" spans="1:13">
      <c r="A376" t="s">
        <v>444</v>
      </c>
      <c r="B376" t="s">
        <v>14</v>
      </c>
      <c r="C376" t="s">
        <v>15</v>
      </c>
      <c r="D376" t="s">
        <v>27</v>
      </c>
      <c r="E376" s="2">
        <v>50</v>
      </c>
      <c r="F376" t="s">
        <v>22</v>
      </c>
      <c r="G376" t="s">
        <v>31</v>
      </c>
      <c r="H376" s="2">
        <v>71</v>
      </c>
      <c r="I376" s="3">
        <v>7520</v>
      </c>
      <c r="J376" s="4">
        <v>17.559999999999999</v>
      </c>
      <c r="K376" s="2">
        <v>120</v>
      </c>
      <c r="L376" s="2">
        <v>4</v>
      </c>
      <c r="M376" s="3">
        <v>27581</v>
      </c>
    </row>
    <row r="377" spans="1:13">
      <c r="A377" t="s">
        <v>445</v>
      </c>
      <c r="B377" t="s">
        <v>44</v>
      </c>
      <c r="C377" t="s">
        <v>45</v>
      </c>
      <c r="D377" t="s">
        <v>27</v>
      </c>
      <c r="E377" s="2">
        <v>40</v>
      </c>
      <c r="F377" t="s">
        <v>34</v>
      </c>
      <c r="G377" t="s">
        <v>49</v>
      </c>
      <c r="H377" s="2">
        <v>71</v>
      </c>
      <c r="I377" s="3">
        <v>9600</v>
      </c>
      <c r="J377" s="4">
        <v>15.81</v>
      </c>
      <c r="K377" s="2">
        <v>123</v>
      </c>
      <c r="L377" s="2">
        <v>4</v>
      </c>
      <c r="M377" s="3">
        <v>26543</v>
      </c>
    </row>
    <row r="378" spans="1:13">
      <c r="A378" t="s">
        <v>446</v>
      </c>
      <c r="B378" t="s">
        <v>54</v>
      </c>
      <c r="C378" t="s">
        <v>15</v>
      </c>
      <c r="D378" t="s">
        <v>72</v>
      </c>
      <c r="E378" s="2">
        <v>69</v>
      </c>
      <c r="F378" t="s">
        <v>22</v>
      </c>
      <c r="G378" t="s">
        <v>23</v>
      </c>
      <c r="H378" s="2">
        <v>82</v>
      </c>
      <c r="I378" s="3">
        <v>6940</v>
      </c>
      <c r="J378" s="4">
        <v>16.23</v>
      </c>
      <c r="K378" s="2">
        <v>75</v>
      </c>
      <c r="L378" s="2">
        <v>3</v>
      </c>
      <c r="M378" s="3">
        <v>40864</v>
      </c>
    </row>
    <row r="379" spans="1:13">
      <c r="A379" t="s">
        <v>447</v>
      </c>
      <c r="B379" t="s">
        <v>168</v>
      </c>
      <c r="C379" t="s">
        <v>45</v>
      </c>
      <c r="D379" t="s">
        <v>16</v>
      </c>
      <c r="E379" s="2">
        <v>48</v>
      </c>
      <c r="F379" t="s">
        <v>34</v>
      </c>
      <c r="G379" t="s">
        <v>18</v>
      </c>
      <c r="H379" s="2">
        <v>76</v>
      </c>
      <c r="I379" s="3">
        <v>8650</v>
      </c>
      <c r="J379" s="4">
        <v>14.35</v>
      </c>
      <c r="K379" s="2">
        <v>83</v>
      </c>
      <c r="L379" s="2">
        <v>4</v>
      </c>
      <c r="M379" s="3">
        <v>51814</v>
      </c>
    </row>
    <row r="380" spans="1:13">
      <c r="A380" t="s">
        <v>448</v>
      </c>
      <c r="B380" t="s">
        <v>143</v>
      </c>
      <c r="C380" t="s">
        <v>21</v>
      </c>
      <c r="D380" t="s">
        <v>27</v>
      </c>
      <c r="E380" s="2">
        <v>7</v>
      </c>
      <c r="F380" t="s">
        <v>17</v>
      </c>
      <c r="G380" t="s">
        <v>23</v>
      </c>
      <c r="H380" s="2">
        <v>74</v>
      </c>
      <c r="I380" s="3">
        <v>5674</v>
      </c>
      <c r="J380" s="4">
        <v>10.24</v>
      </c>
      <c r="K380" s="2">
        <v>102</v>
      </c>
      <c r="L380" s="2">
        <v>4</v>
      </c>
      <c r="M380" s="3">
        <v>21524</v>
      </c>
    </row>
    <row r="381" spans="1:13">
      <c r="A381" t="s">
        <v>449</v>
      </c>
      <c r="B381" t="s">
        <v>129</v>
      </c>
      <c r="C381" t="s">
        <v>21</v>
      </c>
      <c r="D381" t="s">
        <v>27</v>
      </c>
      <c r="E381" s="2">
        <v>80</v>
      </c>
      <c r="F381" t="s">
        <v>34</v>
      </c>
      <c r="G381" t="s">
        <v>31</v>
      </c>
      <c r="H381" s="2">
        <v>74</v>
      </c>
      <c r="I381" s="3">
        <v>8176</v>
      </c>
      <c r="J381" s="4">
        <v>18.87</v>
      </c>
      <c r="K381" s="2">
        <v>84</v>
      </c>
      <c r="L381" s="2">
        <v>5</v>
      </c>
      <c r="M381" s="3">
        <v>20592</v>
      </c>
    </row>
    <row r="382" spans="1:13">
      <c r="A382" t="s">
        <v>450</v>
      </c>
      <c r="B382" t="s">
        <v>62</v>
      </c>
      <c r="C382" t="s">
        <v>52</v>
      </c>
      <c r="D382" t="s">
        <v>16</v>
      </c>
      <c r="E382" s="2">
        <v>56</v>
      </c>
      <c r="F382" t="s">
        <v>22</v>
      </c>
      <c r="G382" t="s">
        <v>40</v>
      </c>
      <c r="H382" s="2">
        <v>78</v>
      </c>
      <c r="I382" s="3">
        <v>6825</v>
      </c>
      <c r="J382" s="4">
        <v>14.33</v>
      </c>
      <c r="K382" s="2">
        <v>93</v>
      </c>
      <c r="L382" s="2">
        <v>4</v>
      </c>
      <c r="M382" s="3">
        <v>35741</v>
      </c>
    </row>
    <row r="383" spans="1:13">
      <c r="A383" t="s">
        <v>451</v>
      </c>
      <c r="B383" t="s">
        <v>80</v>
      </c>
      <c r="C383" t="s">
        <v>15</v>
      </c>
      <c r="D383" t="s">
        <v>27</v>
      </c>
      <c r="E383" s="2">
        <v>60</v>
      </c>
      <c r="F383" t="s">
        <v>22</v>
      </c>
      <c r="G383" t="s">
        <v>40</v>
      </c>
      <c r="H383" s="2">
        <v>80</v>
      </c>
      <c r="I383" s="3">
        <v>5398</v>
      </c>
      <c r="J383" s="4">
        <v>16.23</v>
      </c>
      <c r="K383" s="2">
        <v>97</v>
      </c>
      <c r="L383" s="2">
        <v>5</v>
      </c>
      <c r="M383" s="3">
        <v>27518</v>
      </c>
    </row>
    <row r="384" spans="1:13">
      <c r="A384" t="s">
        <v>452</v>
      </c>
      <c r="B384" t="s">
        <v>129</v>
      </c>
      <c r="C384" t="s">
        <v>21</v>
      </c>
      <c r="D384" t="s">
        <v>16</v>
      </c>
      <c r="E384" s="2">
        <v>36</v>
      </c>
      <c r="F384" t="s">
        <v>17</v>
      </c>
      <c r="G384" t="s">
        <v>49</v>
      </c>
      <c r="H384" s="2">
        <v>78</v>
      </c>
      <c r="I384" s="3">
        <v>6885</v>
      </c>
      <c r="J384" s="4">
        <v>16.850000000000001</v>
      </c>
      <c r="K384" s="2">
        <v>80</v>
      </c>
      <c r="L384" s="2">
        <v>4</v>
      </c>
      <c r="M384" s="3">
        <v>31602</v>
      </c>
    </row>
    <row r="385" spans="1:13">
      <c r="A385" t="s">
        <v>453</v>
      </c>
      <c r="B385" t="s">
        <v>84</v>
      </c>
      <c r="C385" t="s">
        <v>21</v>
      </c>
      <c r="D385" t="s">
        <v>16</v>
      </c>
      <c r="E385" s="2">
        <v>60</v>
      </c>
      <c r="F385" t="s">
        <v>17</v>
      </c>
      <c r="G385" t="s">
        <v>18</v>
      </c>
      <c r="H385" s="2">
        <v>73</v>
      </c>
      <c r="I385" s="3">
        <v>8924</v>
      </c>
      <c r="J385" s="4">
        <v>19.440000000000001</v>
      </c>
      <c r="K385" s="2">
        <v>96</v>
      </c>
      <c r="L385" s="2">
        <v>3</v>
      </c>
      <c r="M385" s="3">
        <v>44685</v>
      </c>
    </row>
    <row r="386" spans="1:13">
      <c r="A386" t="s">
        <v>454</v>
      </c>
      <c r="B386" t="s">
        <v>42</v>
      </c>
      <c r="C386" t="s">
        <v>39</v>
      </c>
      <c r="D386" t="s">
        <v>27</v>
      </c>
      <c r="E386" s="2">
        <v>12</v>
      </c>
      <c r="F386" t="s">
        <v>17</v>
      </c>
      <c r="G386" t="s">
        <v>23</v>
      </c>
      <c r="H386" s="2">
        <v>85</v>
      </c>
      <c r="I386" s="3">
        <v>2346</v>
      </c>
      <c r="J386" s="4">
        <v>4.8600000000000003</v>
      </c>
      <c r="K386" s="2">
        <v>46</v>
      </c>
      <c r="L386" s="2">
        <v>4</v>
      </c>
      <c r="M386" s="3">
        <v>13319</v>
      </c>
    </row>
    <row r="387" spans="1:13">
      <c r="A387" t="s">
        <v>455</v>
      </c>
      <c r="B387" t="s">
        <v>29</v>
      </c>
      <c r="C387" t="s">
        <v>30</v>
      </c>
      <c r="D387" t="s">
        <v>27</v>
      </c>
      <c r="E387" s="2">
        <v>17</v>
      </c>
      <c r="F387" t="s">
        <v>17</v>
      </c>
      <c r="G387" t="s">
        <v>49</v>
      </c>
      <c r="H387" s="2">
        <v>79</v>
      </c>
      <c r="I387" s="3">
        <v>3655</v>
      </c>
      <c r="J387" s="4">
        <v>16.079999999999998</v>
      </c>
      <c r="K387" s="2">
        <v>110</v>
      </c>
      <c r="L387" s="2">
        <v>4</v>
      </c>
      <c r="M387" s="3">
        <v>17574</v>
      </c>
    </row>
    <row r="388" spans="1:13">
      <c r="A388" t="s">
        <v>456</v>
      </c>
      <c r="B388" t="s">
        <v>137</v>
      </c>
      <c r="C388" t="s">
        <v>26</v>
      </c>
      <c r="D388" t="s">
        <v>16</v>
      </c>
      <c r="E388" s="2">
        <v>31</v>
      </c>
      <c r="F388" t="s">
        <v>34</v>
      </c>
      <c r="G388" t="s">
        <v>31</v>
      </c>
      <c r="H388" s="2">
        <v>84</v>
      </c>
      <c r="I388" s="3">
        <v>1954</v>
      </c>
      <c r="J388" s="4">
        <v>8.56</v>
      </c>
      <c r="K388" s="2">
        <v>62</v>
      </c>
      <c r="L388" s="2">
        <v>4</v>
      </c>
      <c r="M388" s="3">
        <v>7104</v>
      </c>
    </row>
    <row r="389" spans="1:13">
      <c r="A389" t="s">
        <v>457</v>
      </c>
      <c r="B389" t="s">
        <v>150</v>
      </c>
      <c r="C389" t="s">
        <v>48</v>
      </c>
      <c r="D389" t="s">
        <v>16</v>
      </c>
      <c r="E389" s="2">
        <v>28</v>
      </c>
      <c r="F389" t="s">
        <v>22</v>
      </c>
      <c r="G389" t="s">
        <v>70</v>
      </c>
      <c r="H389" s="2">
        <v>72</v>
      </c>
      <c r="I389" s="3">
        <v>4784</v>
      </c>
      <c r="J389" s="4">
        <v>14.8</v>
      </c>
      <c r="K389" s="2">
        <v>62</v>
      </c>
      <c r="L389" s="2">
        <v>4</v>
      </c>
      <c r="M389" s="3">
        <v>23044</v>
      </c>
    </row>
    <row r="390" spans="1:13">
      <c r="A390" t="s">
        <v>458</v>
      </c>
      <c r="B390" t="s">
        <v>122</v>
      </c>
      <c r="C390" t="s">
        <v>48</v>
      </c>
      <c r="D390" t="s">
        <v>27</v>
      </c>
      <c r="E390" s="2">
        <v>56</v>
      </c>
      <c r="F390" t="s">
        <v>17</v>
      </c>
      <c r="G390" t="s">
        <v>18</v>
      </c>
      <c r="H390" s="2">
        <v>78</v>
      </c>
      <c r="I390" s="3">
        <v>5163</v>
      </c>
      <c r="J390" s="4">
        <v>14.33</v>
      </c>
      <c r="K390" s="2">
        <v>87</v>
      </c>
      <c r="L390" s="2">
        <v>4</v>
      </c>
      <c r="M390" s="3">
        <v>19563</v>
      </c>
    </row>
    <row r="391" spans="1:13">
      <c r="A391" t="s">
        <v>459</v>
      </c>
      <c r="B391" t="s">
        <v>168</v>
      </c>
      <c r="C391" t="s">
        <v>45</v>
      </c>
      <c r="D391" t="s">
        <v>16</v>
      </c>
      <c r="E391" s="2">
        <v>35</v>
      </c>
      <c r="F391" t="s">
        <v>17</v>
      </c>
      <c r="G391" t="s">
        <v>40</v>
      </c>
      <c r="H391" s="2">
        <v>71</v>
      </c>
      <c r="I391" s="3">
        <v>8401</v>
      </c>
      <c r="J391" s="4">
        <v>18.97</v>
      </c>
      <c r="K391" s="2">
        <v>93</v>
      </c>
      <c r="L391" s="2">
        <v>4</v>
      </c>
      <c r="M391" s="3">
        <v>40610</v>
      </c>
    </row>
    <row r="392" spans="1:13">
      <c r="A392" t="s">
        <v>460</v>
      </c>
      <c r="B392" t="s">
        <v>129</v>
      </c>
      <c r="C392" t="s">
        <v>21</v>
      </c>
      <c r="D392" t="s">
        <v>16</v>
      </c>
      <c r="E392" s="2">
        <v>58</v>
      </c>
      <c r="F392" t="s">
        <v>34</v>
      </c>
      <c r="G392" t="s">
        <v>31</v>
      </c>
      <c r="H392" s="2">
        <v>77</v>
      </c>
      <c r="I392" s="3">
        <v>6071</v>
      </c>
      <c r="J392" s="4">
        <v>17.93</v>
      </c>
      <c r="K392" s="2">
        <v>83</v>
      </c>
      <c r="L392" s="2">
        <v>4</v>
      </c>
      <c r="M392" s="3">
        <v>20468</v>
      </c>
    </row>
    <row r="393" spans="1:13">
      <c r="A393" t="s">
        <v>461</v>
      </c>
      <c r="B393" t="s">
        <v>54</v>
      </c>
      <c r="C393" t="s">
        <v>39</v>
      </c>
      <c r="D393" t="s">
        <v>27</v>
      </c>
      <c r="E393" s="2">
        <v>17</v>
      </c>
      <c r="F393" t="s">
        <v>34</v>
      </c>
      <c r="G393" t="s">
        <v>49</v>
      </c>
      <c r="H393" s="2">
        <v>87</v>
      </c>
      <c r="I393" s="3">
        <v>3696</v>
      </c>
      <c r="J393" s="4">
        <v>4.75</v>
      </c>
      <c r="K393" s="2">
        <v>62</v>
      </c>
      <c r="L393" s="2">
        <v>4</v>
      </c>
      <c r="M393" s="3">
        <v>22145</v>
      </c>
    </row>
    <row r="394" spans="1:13">
      <c r="A394" t="s">
        <v>462</v>
      </c>
      <c r="B394" t="s">
        <v>80</v>
      </c>
      <c r="C394" t="s">
        <v>15</v>
      </c>
      <c r="D394" t="s">
        <v>27</v>
      </c>
      <c r="E394" s="2">
        <v>24</v>
      </c>
      <c r="F394" t="s">
        <v>17</v>
      </c>
      <c r="G394" t="s">
        <v>40</v>
      </c>
      <c r="H394" s="2">
        <v>79</v>
      </c>
      <c r="I394" s="3">
        <v>6944</v>
      </c>
      <c r="J394" s="4">
        <v>15.46</v>
      </c>
      <c r="K394" s="2">
        <v>80</v>
      </c>
      <c r="L394" s="2">
        <v>5</v>
      </c>
      <c r="M394" s="3">
        <v>24961</v>
      </c>
    </row>
    <row r="395" spans="1:13">
      <c r="A395" t="s">
        <v>463</v>
      </c>
      <c r="B395" t="s">
        <v>68</v>
      </c>
      <c r="C395" t="s">
        <v>45</v>
      </c>
      <c r="D395" t="s">
        <v>27</v>
      </c>
      <c r="E395" s="2">
        <v>20</v>
      </c>
      <c r="F395" t="s">
        <v>17</v>
      </c>
      <c r="G395" t="s">
        <v>40</v>
      </c>
      <c r="H395" s="2">
        <v>77</v>
      </c>
      <c r="I395" s="3">
        <v>11402</v>
      </c>
      <c r="J395" s="4">
        <v>19.52</v>
      </c>
      <c r="K395" s="2">
        <v>108</v>
      </c>
      <c r="L395" s="2">
        <v>5</v>
      </c>
      <c r="M395" s="3">
        <v>53431</v>
      </c>
    </row>
    <row r="396" spans="1:13">
      <c r="A396" t="s">
        <v>464</v>
      </c>
      <c r="B396" t="s">
        <v>137</v>
      </c>
      <c r="C396" t="s">
        <v>26</v>
      </c>
      <c r="D396" t="s">
        <v>27</v>
      </c>
      <c r="E396" s="2">
        <v>49</v>
      </c>
      <c r="F396" t="s">
        <v>17</v>
      </c>
      <c r="G396" t="s">
        <v>40</v>
      </c>
      <c r="H396" s="2">
        <v>83</v>
      </c>
      <c r="I396" s="3">
        <v>2572</v>
      </c>
      <c r="J396" s="4">
        <v>5.0999999999999996</v>
      </c>
      <c r="K396" s="2">
        <v>65</v>
      </c>
      <c r="L396" s="2">
        <v>5</v>
      </c>
      <c r="M396" s="3">
        <v>12797</v>
      </c>
    </row>
    <row r="397" spans="1:13">
      <c r="A397" t="s">
        <v>465</v>
      </c>
      <c r="B397" t="s">
        <v>66</v>
      </c>
      <c r="C397" t="s">
        <v>39</v>
      </c>
      <c r="D397" t="s">
        <v>16</v>
      </c>
      <c r="E397" s="2">
        <v>17</v>
      </c>
      <c r="F397" t="s">
        <v>34</v>
      </c>
      <c r="G397" t="s">
        <v>49</v>
      </c>
      <c r="H397" s="2">
        <v>84</v>
      </c>
      <c r="I397" s="3">
        <v>3422</v>
      </c>
      <c r="J397" s="4">
        <v>8.64</v>
      </c>
      <c r="K397" s="2">
        <v>48</v>
      </c>
      <c r="L397" s="2">
        <v>4</v>
      </c>
      <c r="M397" s="3">
        <v>14874</v>
      </c>
    </row>
    <row r="398" spans="1:13">
      <c r="A398" t="s">
        <v>466</v>
      </c>
      <c r="B398" t="s">
        <v>168</v>
      </c>
      <c r="C398" t="s">
        <v>45</v>
      </c>
      <c r="D398" t="s">
        <v>16</v>
      </c>
      <c r="E398" s="2">
        <v>57</v>
      </c>
      <c r="F398" t="s">
        <v>34</v>
      </c>
      <c r="G398" t="s">
        <v>23</v>
      </c>
      <c r="H398" s="2">
        <v>82</v>
      </c>
      <c r="I398" s="3">
        <v>7933</v>
      </c>
      <c r="J398" s="4">
        <v>17.489999999999998</v>
      </c>
      <c r="K398" s="2">
        <v>112</v>
      </c>
      <c r="L398" s="2">
        <v>4</v>
      </c>
      <c r="M398" s="3">
        <v>38644</v>
      </c>
    </row>
    <row r="399" spans="1:13">
      <c r="A399" t="s">
        <v>467</v>
      </c>
      <c r="B399" t="s">
        <v>88</v>
      </c>
      <c r="C399" t="s">
        <v>15</v>
      </c>
      <c r="D399" t="s">
        <v>16</v>
      </c>
      <c r="E399" s="2">
        <v>56</v>
      </c>
      <c r="F399" t="s">
        <v>17</v>
      </c>
      <c r="G399" t="s">
        <v>18</v>
      </c>
      <c r="H399" s="2">
        <v>85</v>
      </c>
      <c r="I399" s="3">
        <v>7001</v>
      </c>
      <c r="J399" s="4">
        <v>10.89</v>
      </c>
      <c r="K399" s="2">
        <v>81</v>
      </c>
      <c r="L399" s="2">
        <v>5</v>
      </c>
      <c r="M399" s="3">
        <v>33396</v>
      </c>
    </row>
    <row r="400" spans="1:13">
      <c r="A400" t="s">
        <v>468</v>
      </c>
      <c r="B400" t="s">
        <v>38</v>
      </c>
      <c r="C400" t="s">
        <v>39</v>
      </c>
      <c r="D400" t="s">
        <v>27</v>
      </c>
      <c r="E400" s="2">
        <v>18</v>
      </c>
      <c r="F400" t="s">
        <v>34</v>
      </c>
      <c r="G400" t="s">
        <v>49</v>
      </c>
      <c r="H400" s="2">
        <v>84</v>
      </c>
      <c r="I400" s="3">
        <v>3738</v>
      </c>
      <c r="J400" s="4">
        <v>14.74</v>
      </c>
      <c r="K400" s="2">
        <v>50</v>
      </c>
      <c r="L400" s="2">
        <v>4</v>
      </c>
      <c r="M400" s="3">
        <v>15300</v>
      </c>
    </row>
    <row r="401" spans="1:13">
      <c r="A401" t="s">
        <v>469</v>
      </c>
      <c r="B401" t="s">
        <v>56</v>
      </c>
      <c r="C401" t="s">
        <v>45</v>
      </c>
      <c r="D401" t="s">
        <v>16</v>
      </c>
      <c r="E401" s="2">
        <v>64</v>
      </c>
      <c r="F401" t="s">
        <v>17</v>
      </c>
      <c r="G401" t="s">
        <v>70</v>
      </c>
      <c r="H401" s="2">
        <v>75</v>
      </c>
      <c r="I401" s="3">
        <v>9941</v>
      </c>
      <c r="J401" s="4">
        <v>22.32</v>
      </c>
      <c r="K401" s="2">
        <v>104</v>
      </c>
      <c r="L401" s="2">
        <v>4</v>
      </c>
      <c r="M401" s="3">
        <v>52785</v>
      </c>
    </row>
    <row r="402" spans="1:13">
      <c r="A402" t="s">
        <v>470</v>
      </c>
      <c r="B402" t="s">
        <v>129</v>
      </c>
      <c r="C402" t="s">
        <v>21</v>
      </c>
      <c r="D402" t="s">
        <v>16</v>
      </c>
      <c r="E402" s="2">
        <v>45</v>
      </c>
      <c r="F402" t="s">
        <v>34</v>
      </c>
      <c r="G402" t="s">
        <v>40</v>
      </c>
      <c r="H402" s="2">
        <v>77</v>
      </c>
      <c r="I402" s="3">
        <v>3211</v>
      </c>
      <c r="J402" s="4">
        <v>13.81</v>
      </c>
      <c r="K402" s="2">
        <v>101</v>
      </c>
      <c r="L402" s="2">
        <v>3</v>
      </c>
      <c r="M402" s="3">
        <v>11140</v>
      </c>
    </row>
    <row r="403" spans="1:13">
      <c r="A403" t="s">
        <v>471</v>
      </c>
      <c r="B403" t="s">
        <v>187</v>
      </c>
      <c r="C403" t="s">
        <v>30</v>
      </c>
      <c r="D403" t="s">
        <v>27</v>
      </c>
      <c r="E403" s="2">
        <v>48</v>
      </c>
      <c r="F403" t="s">
        <v>22</v>
      </c>
      <c r="G403" t="s">
        <v>18</v>
      </c>
      <c r="H403" s="2">
        <v>64</v>
      </c>
      <c r="I403" s="3">
        <v>2282</v>
      </c>
      <c r="J403" s="4">
        <v>22.45</v>
      </c>
      <c r="K403" s="2">
        <v>125</v>
      </c>
      <c r="L403" s="2">
        <v>3</v>
      </c>
      <c r="M403" s="3">
        <v>10551</v>
      </c>
    </row>
    <row r="404" spans="1:13">
      <c r="A404" t="s">
        <v>472</v>
      </c>
      <c r="B404" t="s">
        <v>42</v>
      </c>
      <c r="C404" t="s">
        <v>39</v>
      </c>
      <c r="D404" t="s">
        <v>27</v>
      </c>
      <c r="E404" s="2">
        <v>16</v>
      </c>
      <c r="F404" t="s">
        <v>34</v>
      </c>
      <c r="G404" t="s">
        <v>49</v>
      </c>
      <c r="H404" s="2">
        <v>88</v>
      </c>
      <c r="I404" s="3">
        <v>3377</v>
      </c>
      <c r="J404" s="4">
        <v>4.78</v>
      </c>
      <c r="K404" s="2">
        <v>72</v>
      </c>
      <c r="L404" s="2">
        <v>4</v>
      </c>
      <c r="M404" s="3">
        <v>20229</v>
      </c>
    </row>
    <row r="405" spans="1:13">
      <c r="A405" t="s">
        <v>473</v>
      </c>
      <c r="B405" t="s">
        <v>44</v>
      </c>
      <c r="C405" t="s">
        <v>45</v>
      </c>
      <c r="D405" t="s">
        <v>27</v>
      </c>
      <c r="E405" s="2">
        <v>50</v>
      </c>
      <c r="F405" t="s">
        <v>22</v>
      </c>
      <c r="G405" t="s">
        <v>31</v>
      </c>
      <c r="H405" s="2">
        <v>74</v>
      </c>
      <c r="I405" s="3">
        <v>11146</v>
      </c>
      <c r="J405" s="4">
        <v>16.52</v>
      </c>
      <c r="K405" s="2">
        <v>96</v>
      </c>
      <c r="L405" s="2">
        <v>4</v>
      </c>
      <c r="M405" s="3">
        <v>30479</v>
      </c>
    </row>
    <row r="406" spans="1:13">
      <c r="A406" t="s">
        <v>474</v>
      </c>
      <c r="B406" t="s">
        <v>54</v>
      </c>
      <c r="C406" t="s">
        <v>15</v>
      </c>
      <c r="D406" t="s">
        <v>72</v>
      </c>
      <c r="E406" s="2">
        <v>40</v>
      </c>
      <c r="F406" t="s">
        <v>34</v>
      </c>
      <c r="G406" t="s">
        <v>40</v>
      </c>
      <c r="H406" s="2">
        <v>79</v>
      </c>
      <c r="I406" s="3">
        <v>6752</v>
      </c>
      <c r="J406" s="4">
        <v>9.81</v>
      </c>
      <c r="K406" s="2">
        <v>70</v>
      </c>
      <c r="L406" s="2">
        <v>4</v>
      </c>
      <c r="M406" s="3">
        <v>20838</v>
      </c>
    </row>
    <row r="407" spans="1:13">
      <c r="A407" t="s">
        <v>475</v>
      </c>
      <c r="B407" t="s">
        <v>42</v>
      </c>
      <c r="C407" t="s">
        <v>39</v>
      </c>
      <c r="D407" t="s">
        <v>16</v>
      </c>
      <c r="E407" s="2">
        <v>10</v>
      </c>
      <c r="F407" t="s">
        <v>17</v>
      </c>
      <c r="G407" t="s">
        <v>18</v>
      </c>
      <c r="H407" s="2">
        <v>78</v>
      </c>
      <c r="I407" s="3">
        <v>2632</v>
      </c>
      <c r="J407" s="4">
        <v>12.21</v>
      </c>
      <c r="K407" s="2">
        <v>50</v>
      </c>
      <c r="L407" s="2">
        <v>4</v>
      </c>
      <c r="M407" s="3">
        <v>7774</v>
      </c>
    </row>
    <row r="408" spans="1:13">
      <c r="A408" t="s">
        <v>476</v>
      </c>
      <c r="B408" t="s">
        <v>137</v>
      </c>
      <c r="C408" t="s">
        <v>26</v>
      </c>
      <c r="D408" t="s">
        <v>27</v>
      </c>
      <c r="E408" s="2">
        <v>29</v>
      </c>
      <c r="F408" t="s">
        <v>17</v>
      </c>
      <c r="G408" t="s">
        <v>18</v>
      </c>
      <c r="H408" s="2">
        <v>93</v>
      </c>
      <c r="I408" s="3">
        <v>2271</v>
      </c>
      <c r="J408" s="4">
        <v>5.73</v>
      </c>
      <c r="K408" s="2">
        <v>19</v>
      </c>
      <c r="L408" s="2">
        <v>4</v>
      </c>
      <c r="M408" s="3">
        <v>6845</v>
      </c>
    </row>
    <row r="409" spans="1:13">
      <c r="A409" t="s">
        <v>477</v>
      </c>
      <c r="B409" t="s">
        <v>54</v>
      </c>
      <c r="C409" t="s">
        <v>39</v>
      </c>
      <c r="D409" t="s">
        <v>16</v>
      </c>
      <c r="E409" s="2">
        <v>16</v>
      </c>
      <c r="F409" t="s">
        <v>17</v>
      </c>
      <c r="G409" t="s">
        <v>49</v>
      </c>
      <c r="H409" s="2">
        <v>92</v>
      </c>
      <c r="I409" s="3">
        <v>1849</v>
      </c>
      <c r="J409" s="4">
        <v>7.4</v>
      </c>
      <c r="K409" s="2">
        <v>52</v>
      </c>
      <c r="L409" s="2">
        <v>5</v>
      </c>
      <c r="M409" s="3">
        <v>5510</v>
      </c>
    </row>
    <row r="410" spans="1:13">
      <c r="A410" t="s">
        <v>478</v>
      </c>
      <c r="B410" t="s">
        <v>129</v>
      </c>
      <c r="C410" t="s">
        <v>21</v>
      </c>
      <c r="D410" t="s">
        <v>16</v>
      </c>
      <c r="E410" s="2">
        <v>48</v>
      </c>
      <c r="F410" t="s">
        <v>34</v>
      </c>
      <c r="G410" t="s">
        <v>18</v>
      </c>
      <c r="H410" s="2">
        <v>71</v>
      </c>
      <c r="I410" s="3">
        <v>6954</v>
      </c>
      <c r="J410" s="4">
        <v>10.98</v>
      </c>
      <c r="K410" s="2">
        <v>143</v>
      </c>
      <c r="L410" s="2">
        <v>3</v>
      </c>
      <c r="M410" s="3">
        <v>19387</v>
      </c>
    </row>
    <row r="411" spans="1:13">
      <c r="A411" t="s">
        <v>479</v>
      </c>
      <c r="B411" t="s">
        <v>137</v>
      </c>
      <c r="C411" t="s">
        <v>26</v>
      </c>
      <c r="D411" t="s">
        <v>16</v>
      </c>
      <c r="E411" s="2">
        <v>7</v>
      </c>
      <c r="F411" t="s">
        <v>34</v>
      </c>
      <c r="G411" t="s">
        <v>49</v>
      </c>
      <c r="H411" s="2">
        <v>93</v>
      </c>
      <c r="I411" s="3">
        <v>1907</v>
      </c>
      <c r="J411" s="4">
        <v>0</v>
      </c>
      <c r="K411" s="2">
        <v>37</v>
      </c>
      <c r="L411" s="2">
        <v>5</v>
      </c>
      <c r="M411" s="3">
        <v>9220</v>
      </c>
    </row>
    <row r="412" spans="1:13">
      <c r="A412" t="s">
        <v>480</v>
      </c>
      <c r="B412" t="s">
        <v>42</v>
      </c>
      <c r="C412" t="s">
        <v>39</v>
      </c>
      <c r="D412" t="s">
        <v>16</v>
      </c>
      <c r="E412" s="2">
        <v>15</v>
      </c>
      <c r="F412" t="s">
        <v>22</v>
      </c>
      <c r="G412" t="s">
        <v>70</v>
      </c>
      <c r="H412" s="2">
        <v>85</v>
      </c>
      <c r="I412" s="3">
        <v>3236</v>
      </c>
      <c r="J412" s="4">
        <v>0.28999999999999998</v>
      </c>
      <c r="K412" s="2">
        <v>67</v>
      </c>
      <c r="L412" s="2">
        <v>5</v>
      </c>
      <c r="M412" s="3">
        <v>10300</v>
      </c>
    </row>
    <row r="413" spans="1:13">
      <c r="A413" t="s">
        <v>481</v>
      </c>
      <c r="B413" t="s">
        <v>122</v>
      </c>
      <c r="C413" t="s">
        <v>48</v>
      </c>
      <c r="D413" t="s">
        <v>16</v>
      </c>
      <c r="E413" s="2">
        <v>79</v>
      </c>
      <c r="F413" t="s">
        <v>34</v>
      </c>
      <c r="G413" t="s">
        <v>40</v>
      </c>
      <c r="H413" s="2">
        <v>81</v>
      </c>
      <c r="I413" s="3">
        <v>2010</v>
      </c>
      <c r="J413" s="4">
        <v>6.12</v>
      </c>
      <c r="K413" s="2">
        <v>73</v>
      </c>
      <c r="L413" s="2">
        <v>4</v>
      </c>
      <c r="M413" s="3">
        <v>11073</v>
      </c>
    </row>
    <row r="414" spans="1:13">
      <c r="A414" t="s">
        <v>482</v>
      </c>
      <c r="B414" t="s">
        <v>88</v>
      </c>
      <c r="C414" t="s">
        <v>15</v>
      </c>
      <c r="D414" t="s">
        <v>16</v>
      </c>
      <c r="E414" s="2">
        <v>10</v>
      </c>
      <c r="F414" t="s">
        <v>22</v>
      </c>
      <c r="G414" t="s">
        <v>31</v>
      </c>
      <c r="H414" s="2">
        <v>78</v>
      </c>
      <c r="I414" s="3">
        <v>9188</v>
      </c>
      <c r="J414" s="4">
        <v>14.9</v>
      </c>
      <c r="K414" s="2">
        <v>66</v>
      </c>
      <c r="L414" s="2">
        <v>4</v>
      </c>
      <c r="M414" s="3">
        <v>53566</v>
      </c>
    </row>
    <row r="415" spans="1:13">
      <c r="A415" t="s">
        <v>483</v>
      </c>
      <c r="B415" t="s">
        <v>29</v>
      </c>
      <c r="C415" t="s">
        <v>30</v>
      </c>
      <c r="D415" t="s">
        <v>27</v>
      </c>
      <c r="E415" s="2">
        <v>50</v>
      </c>
      <c r="F415" t="s">
        <v>22</v>
      </c>
      <c r="G415" t="s">
        <v>49</v>
      </c>
      <c r="H415" s="2">
        <v>64</v>
      </c>
      <c r="I415" s="3">
        <v>3254</v>
      </c>
      <c r="J415" s="4">
        <v>28.74</v>
      </c>
      <c r="K415" s="2">
        <v>84</v>
      </c>
      <c r="L415" s="2">
        <v>3</v>
      </c>
      <c r="M415" s="3">
        <v>14429</v>
      </c>
    </row>
    <row r="416" spans="1:13">
      <c r="A416" t="s">
        <v>484</v>
      </c>
      <c r="B416" t="s">
        <v>51</v>
      </c>
      <c r="C416" t="s">
        <v>52</v>
      </c>
      <c r="D416" t="s">
        <v>16</v>
      </c>
      <c r="E416" s="2">
        <v>74</v>
      </c>
      <c r="F416" t="s">
        <v>17</v>
      </c>
      <c r="G416" t="s">
        <v>49</v>
      </c>
      <c r="H416" s="2">
        <v>80</v>
      </c>
      <c r="I416" s="3">
        <v>8346</v>
      </c>
      <c r="J416" s="4">
        <v>9.61</v>
      </c>
      <c r="K416" s="2">
        <v>56</v>
      </c>
      <c r="L416" s="2">
        <v>4</v>
      </c>
      <c r="M416" s="3">
        <v>27253</v>
      </c>
    </row>
    <row r="417" spans="1:13">
      <c r="A417" t="s">
        <v>485</v>
      </c>
      <c r="B417" t="s">
        <v>33</v>
      </c>
      <c r="C417" t="s">
        <v>26</v>
      </c>
      <c r="D417" t="s">
        <v>16</v>
      </c>
      <c r="E417" s="2">
        <v>53</v>
      </c>
      <c r="F417" t="s">
        <v>17</v>
      </c>
      <c r="G417" t="s">
        <v>23</v>
      </c>
      <c r="H417" s="2">
        <v>89</v>
      </c>
      <c r="I417" s="3">
        <v>2690</v>
      </c>
      <c r="J417" s="4">
        <v>4.24</v>
      </c>
      <c r="K417" s="2">
        <v>36</v>
      </c>
      <c r="L417" s="2">
        <v>5</v>
      </c>
      <c r="M417" s="3">
        <v>8071</v>
      </c>
    </row>
    <row r="418" spans="1:13">
      <c r="A418" t="s">
        <v>486</v>
      </c>
      <c r="B418" t="s">
        <v>54</v>
      </c>
      <c r="C418" t="s">
        <v>15</v>
      </c>
      <c r="D418" t="s">
        <v>27</v>
      </c>
      <c r="E418" s="2">
        <v>69</v>
      </c>
      <c r="F418" t="s">
        <v>34</v>
      </c>
      <c r="G418" t="s">
        <v>70</v>
      </c>
      <c r="H418" s="2">
        <v>84</v>
      </c>
      <c r="I418" s="3">
        <v>5994</v>
      </c>
      <c r="J418" s="4">
        <v>15.08</v>
      </c>
      <c r="K418" s="2">
        <v>74</v>
      </c>
      <c r="L418" s="2">
        <v>4</v>
      </c>
      <c r="M418" s="3">
        <v>31682</v>
      </c>
    </row>
    <row r="419" spans="1:13">
      <c r="A419" t="s">
        <v>487</v>
      </c>
      <c r="B419" t="s">
        <v>36</v>
      </c>
      <c r="C419" t="s">
        <v>21</v>
      </c>
      <c r="D419" t="s">
        <v>16</v>
      </c>
      <c r="E419" s="2">
        <v>55</v>
      </c>
      <c r="F419" t="s">
        <v>34</v>
      </c>
      <c r="G419" t="s">
        <v>49</v>
      </c>
      <c r="H419" s="2">
        <v>78</v>
      </c>
      <c r="I419" s="3">
        <v>5612</v>
      </c>
      <c r="J419" s="4">
        <v>12.29</v>
      </c>
      <c r="K419" s="2">
        <v>70</v>
      </c>
      <c r="L419" s="2">
        <v>4</v>
      </c>
      <c r="M419" s="3">
        <v>19200</v>
      </c>
    </row>
    <row r="420" spans="1:13">
      <c r="A420" t="s">
        <v>488</v>
      </c>
      <c r="B420" t="s">
        <v>74</v>
      </c>
      <c r="C420" t="s">
        <v>45</v>
      </c>
      <c r="D420" t="s">
        <v>16</v>
      </c>
      <c r="E420" s="2">
        <v>55</v>
      </c>
      <c r="F420" t="s">
        <v>22</v>
      </c>
      <c r="G420" t="s">
        <v>18</v>
      </c>
      <c r="H420" s="2">
        <v>60</v>
      </c>
      <c r="I420" s="3">
        <v>7852</v>
      </c>
      <c r="J420" s="4">
        <v>18.829999999999998</v>
      </c>
      <c r="K420" s="2">
        <v>119</v>
      </c>
      <c r="L420" s="2">
        <v>3</v>
      </c>
      <c r="M420" s="3">
        <v>22207</v>
      </c>
    </row>
    <row r="421" spans="1:13">
      <c r="A421" t="s">
        <v>489</v>
      </c>
      <c r="B421" t="s">
        <v>54</v>
      </c>
      <c r="C421" t="s">
        <v>39</v>
      </c>
      <c r="D421" t="s">
        <v>16</v>
      </c>
      <c r="E421" s="2">
        <v>4</v>
      </c>
      <c r="F421" t="s">
        <v>34</v>
      </c>
      <c r="G421" t="s">
        <v>18</v>
      </c>
      <c r="H421" s="2">
        <v>85</v>
      </c>
      <c r="I421" s="3">
        <v>2606</v>
      </c>
      <c r="J421" s="4">
        <v>5.07</v>
      </c>
      <c r="K421" s="2">
        <v>59</v>
      </c>
      <c r="L421" s="2">
        <v>5</v>
      </c>
      <c r="M421" s="3">
        <v>10768</v>
      </c>
    </row>
    <row r="422" spans="1:13">
      <c r="A422" t="s">
        <v>490</v>
      </c>
      <c r="B422" t="s">
        <v>44</v>
      </c>
      <c r="C422" t="s">
        <v>45</v>
      </c>
      <c r="D422" t="s">
        <v>27</v>
      </c>
      <c r="E422" s="2">
        <v>32</v>
      </c>
      <c r="F422" t="s">
        <v>34</v>
      </c>
      <c r="G422" t="s">
        <v>31</v>
      </c>
      <c r="H422" s="2">
        <v>72</v>
      </c>
      <c r="I422" s="3">
        <v>4054</v>
      </c>
      <c r="J422" s="4">
        <v>15</v>
      </c>
      <c r="K422" s="2">
        <v>104</v>
      </c>
      <c r="L422" s="2">
        <v>4</v>
      </c>
      <c r="M422" s="3">
        <v>21877</v>
      </c>
    </row>
    <row r="423" spans="1:13">
      <c r="A423" t="s">
        <v>491</v>
      </c>
      <c r="B423" t="s">
        <v>47</v>
      </c>
      <c r="C423" t="s">
        <v>48</v>
      </c>
      <c r="D423" t="s">
        <v>16</v>
      </c>
      <c r="E423" s="2">
        <v>33</v>
      </c>
      <c r="F423" t="s">
        <v>17</v>
      </c>
      <c r="G423" t="s">
        <v>40</v>
      </c>
      <c r="H423" s="2">
        <v>82</v>
      </c>
      <c r="I423" s="3">
        <v>8892</v>
      </c>
      <c r="J423" s="4">
        <v>12.89</v>
      </c>
      <c r="K423" s="2">
        <v>52</v>
      </c>
      <c r="L423" s="2">
        <v>4</v>
      </c>
      <c r="M423" s="3">
        <v>37830</v>
      </c>
    </row>
    <row r="424" spans="1:13">
      <c r="A424" t="s">
        <v>492</v>
      </c>
      <c r="B424" t="s">
        <v>135</v>
      </c>
      <c r="C424" t="s">
        <v>48</v>
      </c>
      <c r="D424" t="s">
        <v>16</v>
      </c>
      <c r="E424" s="2">
        <v>3</v>
      </c>
      <c r="F424" t="s">
        <v>34</v>
      </c>
      <c r="G424" t="s">
        <v>40</v>
      </c>
      <c r="H424" s="2">
        <v>75</v>
      </c>
      <c r="I424" s="3">
        <v>5655</v>
      </c>
      <c r="J424" s="4">
        <v>13.15</v>
      </c>
      <c r="K424" s="2">
        <v>109</v>
      </c>
      <c r="L424" s="2">
        <v>4</v>
      </c>
      <c r="M424" s="3">
        <v>18837</v>
      </c>
    </row>
    <row r="425" spans="1:13">
      <c r="A425" t="s">
        <v>493</v>
      </c>
      <c r="B425" t="s">
        <v>185</v>
      </c>
      <c r="C425" t="s">
        <v>52</v>
      </c>
      <c r="D425" t="s">
        <v>27</v>
      </c>
      <c r="E425" s="2">
        <v>49</v>
      </c>
      <c r="F425" t="s">
        <v>34</v>
      </c>
      <c r="G425" t="s">
        <v>49</v>
      </c>
      <c r="H425" s="2">
        <v>87</v>
      </c>
      <c r="I425" s="3">
        <v>6696</v>
      </c>
      <c r="J425" s="4">
        <v>11.81</v>
      </c>
      <c r="K425" s="2">
        <v>62</v>
      </c>
      <c r="L425" s="2">
        <v>4</v>
      </c>
      <c r="M425" s="3">
        <v>25929</v>
      </c>
    </row>
    <row r="426" spans="1:13">
      <c r="A426" t="s">
        <v>494</v>
      </c>
      <c r="B426" t="s">
        <v>150</v>
      </c>
      <c r="C426" t="s">
        <v>48</v>
      </c>
      <c r="D426" t="s">
        <v>27</v>
      </c>
      <c r="E426" s="2">
        <v>34</v>
      </c>
      <c r="F426" t="s">
        <v>22</v>
      </c>
      <c r="G426" t="s">
        <v>49</v>
      </c>
      <c r="H426" s="2">
        <v>81</v>
      </c>
      <c r="I426" s="3">
        <v>5122</v>
      </c>
      <c r="J426" s="4">
        <v>15.03</v>
      </c>
      <c r="K426" s="2">
        <v>82</v>
      </c>
      <c r="L426" s="2">
        <v>5</v>
      </c>
      <c r="M426" s="3">
        <v>29461</v>
      </c>
    </row>
    <row r="427" spans="1:13">
      <c r="A427" t="s">
        <v>495</v>
      </c>
      <c r="B427" t="s">
        <v>103</v>
      </c>
      <c r="C427" t="s">
        <v>26</v>
      </c>
      <c r="D427" t="s">
        <v>16</v>
      </c>
      <c r="E427" s="2">
        <v>32</v>
      </c>
      <c r="F427" t="s">
        <v>17</v>
      </c>
      <c r="G427" t="s">
        <v>40</v>
      </c>
      <c r="H427" s="2">
        <v>84</v>
      </c>
      <c r="I427" s="3">
        <v>3266</v>
      </c>
      <c r="J427" s="4">
        <v>5.55</v>
      </c>
      <c r="K427" s="2">
        <v>41</v>
      </c>
      <c r="L427" s="2">
        <v>4</v>
      </c>
      <c r="M427" s="3">
        <v>8509</v>
      </c>
    </row>
    <row r="428" spans="1:13">
      <c r="A428" t="s">
        <v>496</v>
      </c>
      <c r="B428" t="s">
        <v>64</v>
      </c>
      <c r="C428" t="s">
        <v>30</v>
      </c>
      <c r="D428" t="s">
        <v>16</v>
      </c>
      <c r="E428" s="2">
        <v>46</v>
      </c>
      <c r="F428" t="s">
        <v>17</v>
      </c>
      <c r="G428" t="s">
        <v>40</v>
      </c>
      <c r="H428" s="2">
        <v>79</v>
      </c>
      <c r="I428" s="3">
        <v>3418</v>
      </c>
      <c r="J428" s="4">
        <v>18.86</v>
      </c>
      <c r="K428" s="2">
        <v>115</v>
      </c>
      <c r="L428" s="2">
        <v>4</v>
      </c>
      <c r="M428" s="3">
        <v>12343</v>
      </c>
    </row>
    <row r="429" spans="1:13">
      <c r="A429" t="s">
        <v>497</v>
      </c>
      <c r="B429" t="s">
        <v>56</v>
      </c>
      <c r="C429" t="s">
        <v>45</v>
      </c>
      <c r="D429" t="s">
        <v>16</v>
      </c>
      <c r="E429" s="2">
        <v>51</v>
      </c>
      <c r="F429" t="s">
        <v>17</v>
      </c>
      <c r="G429" t="s">
        <v>18</v>
      </c>
      <c r="H429" s="2">
        <v>80</v>
      </c>
      <c r="I429" s="3">
        <v>7267</v>
      </c>
      <c r="J429" s="4">
        <v>13.08</v>
      </c>
      <c r="K429" s="2">
        <v>105</v>
      </c>
      <c r="L429" s="2">
        <v>4</v>
      </c>
      <c r="M429" s="3">
        <v>34005</v>
      </c>
    </row>
    <row r="430" spans="1:13">
      <c r="A430" t="s">
        <v>498</v>
      </c>
      <c r="B430" t="s">
        <v>47</v>
      </c>
      <c r="C430" t="s">
        <v>48</v>
      </c>
      <c r="D430" t="s">
        <v>16</v>
      </c>
      <c r="E430" s="2">
        <v>32</v>
      </c>
      <c r="F430" t="s">
        <v>17</v>
      </c>
      <c r="G430" t="s">
        <v>23</v>
      </c>
      <c r="H430" s="2">
        <v>86</v>
      </c>
      <c r="I430" s="3">
        <v>4032</v>
      </c>
      <c r="J430" s="4">
        <v>10.43</v>
      </c>
      <c r="K430" s="2">
        <v>70</v>
      </c>
      <c r="L430" s="2">
        <v>4</v>
      </c>
      <c r="M430" s="3">
        <v>23281</v>
      </c>
    </row>
    <row r="431" spans="1:13">
      <c r="A431" t="s">
        <v>499</v>
      </c>
      <c r="B431" t="s">
        <v>60</v>
      </c>
      <c r="C431" t="s">
        <v>52</v>
      </c>
      <c r="D431" t="s">
        <v>27</v>
      </c>
      <c r="E431" s="2">
        <v>35</v>
      </c>
      <c r="F431" t="s">
        <v>22</v>
      </c>
      <c r="G431" t="s">
        <v>18</v>
      </c>
      <c r="H431" s="2">
        <v>80</v>
      </c>
      <c r="I431" s="3">
        <v>6247</v>
      </c>
      <c r="J431" s="4">
        <v>15.19</v>
      </c>
      <c r="K431" s="2">
        <v>56</v>
      </c>
      <c r="L431" s="2">
        <v>4</v>
      </c>
      <c r="M431" s="3">
        <v>26582</v>
      </c>
    </row>
    <row r="432" spans="1:13">
      <c r="A432" t="s">
        <v>500</v>
      </c>
      <c r="B432" t="s">
        <v>51</v>
      </c>
      <c r="C432" t="s">
        <v>52</v>
      </c>
      <c r="D432" t="s">
        <v>27</v>
      </c>
      <c r="E432" s="2">
        <v>41</v>
      </c>
      <c r="F432" t="s">
        <v>34</v>
      </c>
      <c r="G432" t="s">
        <v>31</v>
      </c>
      <c r="H432" s="2">
        <v>83</v>
      </c>
      <c r="I432" s="3">
        <v>9929</v>
      </c>
      <c r="J432" s="4">
        <v>17.11</v>
      </c>
      <c r="K432" s="2">
        <v>47</v>
      </c>
      <c r="L432" s="2">
        <v>5</v>
      </c>
      <c r="M432" s="3">
        <v>56250</v>
      </c>
    </row>
    <row r="433" spans="1:13">
      <c r="A433" t="s">
        <v>501</v>
      </c>
      <c r="B433" t="s">
        <v>74</v>
      </c>
      <c r="C433" t="s">
        <v>45</v>
      </c>
      <c r="D433" t="s">
        <v>16</v>
      </c>
      <c r="E433" s="2">
        <v>56</v>
      </c>
      <c r="F433" t="s">
        <v>17</v>
      </c>
      <c r="G433" t="s">
        <v>23</v>
      </c>
      <c r="H433" s="2">
        <v>67</v>
      </c>
      <c r="I433" s="3">
        <v>10143</v>
      </c>
      <c r="J433" s="4">
        <v>12.53</v>
      </c>
      <c r="K433" s="2">
        <v>108</v>
      </c>
      <c r="L433" s="2">
        <v>3</v>
      </c>
      <c r="M433" s="3">
        <v>56760</v>
      </c>
    </row>
    <row r="434" spans="1:13">
      <c r="A434" t="s">
        <v>502</v>
      </c>
      <c r="B434" t="s">
        <v>36</v>
      </c>
      <c r="C434" t="s">
        <v>21</v>
      </c>
      <c r="D434" t="s">
        <v>16</v>
      </c>
      <c r="E434" s="2">
        <v>67</v>
      </c>
      <c r="F434" t="s">
        <v>34</v>
      </c>
      <c r="G434" t="s">
        <v>70</v>
      </c>
      <c r="H434" s="2">
        <v>78</v>
      </c>
      <c r="I434" s="3">
        <v>5428</v>
      </c>
      <c r="J434" s="4">
        <v>12.57</v>
      </c>
      <c r="K434" s="2">
        <v>67</v>
      </c>
      <c r="L434" s="2">
        <v>3</v>
      </c>
      <c r="M434" s="3">
        <v>21738</v>
      </c>
    </row>
    <row r="435" spans="1:13">
      <c r="A435" t="s">
        <v>503</v>
      </c>
      <c r="B435" t="s">
        <v>62</v>
      </c>
      <c r="C435" t="s">
        <v>52</v>
      </c>
      <c r="D435" t="s">
        <v>27</v>
      </c>
      <c r="E435" s="2">
        <v>49</v>
      </c>
      <c r="F435" t="s">
        <v>22</v>
      </c>
      <c r="G435" t="s">
        <v>23</v>
      </c>
      <c r="H435" s="2">
        <v>81</v>
      </c>
      <c r="I435" s="3">
        <v>7899</v>
      </c>
      <c r="J435" s="4">
        <v>6.6</v>
      </c>
      <c r="K435" s="2">
        <v>114</v>
      </c>
      <c r="L435" s="2">
        <v>3</v>
      </c>
      <c r="M435" s="3">
        <v>31741</v>
      </c>
    </row>
    <row r="436" spans="1:13">
      <c r="A436" t="s">
        <v>504</v>
      </c>
      <c r="B436" t="s">
        <v>78</v>
      </c>
      <c r="C436" t="s">
        <v>15</v>
      </c>
      <c r="D436" t="s">
        <v>27</v>
      </c>
      <c r="E436" s="2">
        <v>63</v>
      </c>
      <c r="F436" t="s">
        <v>22</v>
      </c>
      <c r="G436" t="s">
        <v>31</v>
      </c>
      <c r="H436" s="2">
        <v>81</v>
      </c>
      <c r="I436" s="3">
        <v>8769</v>
      </c>
      <c r="J436" s="4">
        <v>12.61</v>
      </c>
      <c r="K436" s="2">
        <v>87</v>
      </c>
      <c r="L436" s="2">
        <v>4</v>
      </c>
      <c r="M436" s="3">
        <v>47119</v>
      </c>
    </row>
    <row r="437" spans="1:13">
      <c r="A437" t="s">
        <v>505</v>
      </c>
      <c r="B437" t="s">
        <v>97</v>
      </c>
      <c r="C437" t="s">
        <v>30</v>
      </c>
      <c r="D437" t="s">
        <v>27</v>
      </c>
      <c r="E437" s="2">
        <v>83</v>
      </c>
      <c r="F437" t="s">
        <v>17</v>
      </c>
      <c r="G437" t="s">
        <v>23</v>
      </c>
      <c r="H437" s="2">
        <v>71</v>
      </c>
      <c r="I437" s="3">
        <v>3348</v>
      </c>
      <c r="J437" s="4">
        <v>21.44</v>
      </c>
      <c r="K437" s="2">
        <v>126</v>
      </c>
      <c r="L437" s="2">
        <v>4</v>
      </c>
      <c r="M437" s="3">
        <v>9593</v>
      </c>
    </row>
    <row r="438" spans="1:13">
      <c r="A438" t="s">
        <v>506</v>
      </c>
      <c r="B438" t="s">
        <v>103</v>
      </c>
      <c r="C438" t="s">
        <v>26</v>
      </c>
      <c r="D438" t="s">
        <v>27</v>
      </c>
      <c r="E438" s="2">
        <v>22</v>
      </c>
      <c r="F438" t="s">
        <v>22</v>
      </c>
      <c r="G438" t="s">
        <v>40</v>
      </c>
      <c r="H438" s="2">
        <v>80</v>
      </c>
      <c r="I438" s="3">
        <v>3258</v>
      </c>
      <c r="J438" s="4">
        <v>7.41</v>
      </c>
      <c r="K438" s="2">
        <v>93</v>
      </c>
      <c r="L438" s="2">
        <v>4</v>
      </c>
      <c r="M438" s="3">
        <v>14214</v>
      </c>
    </row>
    <row r="439" spans="1:13">
      <c r="A439" t="s">
        <v>507</v>
      </c>
      <c r="B439" t="s">
        <v>109</v>
      </c>
      <c r="C439" t="s">
        <v>30</v>
      </c>
      <c r="D439" t="s">
        <v>27</v>
      </c>
      <c r="E439" s="2">
        <v>10</v>
      </c>
      <c r="F439" t="s">
        <v>22</v>
      </c>
      <c r="G439" t="s">
        <v>23</v>
      </c>
      <c r="H439" s="2">
        <v>68</v>
      </c>
      <c r="I439" s="3">
        <v>3453</v>
      </c>
      <c r="J439" s="4">
        <v>19.8</v>
      </c>
      <c r="K439" s="2">
        <v>121</v>
      </c>
      <c r="L439" s="2">
        <v>3</v>
      </c>
      <c r="M439" s="3">
        <v>9270</v>
      </c>
    </row>
    <row r="440" spans="1:13">
      <c r="A440" t="s">
        <v>508</v>
      </c>
      <c r="B440" t="s">
        <v>25</v>
      </c>
      <c r="C440" t="s">
        <v>39</v>
      </c>
      <c r="D440" t="s">
        <v>27</v>
      </c>
      <c r="E440" s="2">
        <v>36</v>
      </c>
      <c r="F440" t="s">
        <v>22</v>
      </c>
      <c r="G440" t="s">
        <v>49</v>
      </c>
      <c r="H440" s="2">
        <v>84</v>
      </c>
      <c r="I440" s="3">
        <v>3333</v>
      </c>
      <c r="J440" s="4">
        <v>2.66</v>
      </c>
      <c r="K440" s="2">
        <v>97</v>
      </c>
      <c r="L440" s="2">
        <v>4</v>
      </c>
      <c r="M440" s="3">
        <v>12522</v>
      </c>
    </row>
    <row r="441" spans="1:13">
      <c r="A441" t="s">
        <v>509</v>
      </c>
      <c r="B441" t="s">
        <v>68</v>
      </c>
      <c r="C441" t="s">
        <v>45</v>
      </c>
      <c r="D441" t="s">
        <v>16</v>
      </c>
      <c r="E441" s="2">
        <v>53</v>
      </c>
      <c r="F441" t="s">
        <v>34</v>
      </c>
      <c r="G441" t="s">
        <v>40</v>
      </c>
      <c r="H441" s="2">
        <v>80</v>
      </c>
      <c r="I441" s="3">
        <v>5104</v>
      </c>
      <c r="J441" s="4">
        <v>15.69</v>
      </c>
      <c r="K441" s="2">
        <v>103</v>
      </c>
      <c r="L441" s="2">
        <v>4</v>
      </c>
      <c r="M441" s="3">
        <v>18622</v>
      </c>
    </row>
    <row r="442" spans="1:13">
      <c r="A442" t="s">
        <v>510</v>
      </c>
      <c r="B442" t="s">
        <v>51</v>
      </c>
      <c r="C442" t="s">
        <v>52</v>
      </c>
      <c r="D442" t="s">
        <v>27</v>
      </c>
      <c r="E442" s="2">
        <v>14</v>
      </c>
      <c r="F442" t="s">
        <v>22</v>
      </c>
      <c r="G442" t="s">
        <v>70</v>
      </c>
      <c r="H442" s="2">
        <v>90</v>
      </c>
      <c r="I442" s="3">
        <v>7278</v>
      </c>
      <c r="J442" s="4">
        <v>16.21</v>
      </c>
      <c r="K442" s="2">
        <v>23</v>
      </c>
      <c r="L442" s="2">
        <v>4</v>
      </c>
      <c r="M442" s="3">
        <v>39175</v>
      </c>
    </row>
    <row r="443" spans="1:13">
      <c r="A443" t="s">
        <v>511</v>
      </c>
      <c r="B443" t="s">
        <v>135</v>
      </c>
      <c r="C443" t="s">
        <v>48</v>
      </c>
      <c r="D443" t="s">
        <v>27</v>
      </c>
      <c r="E443" s="2">
        <v>29</v>
      </c>
      <c r="F443" t="s">
        <v>34</v>
      </c>
      <c r="G443" t="s">
        <v>40</v>
      </c>
      <c r="H443" s="2">
        <v>87</v>
      </c>
      <c r="I443" s="3">
        <v>6492</v>
      </c>
      <c r="J443" s="4">
        <v>11.25</v>
      </c>
      <c r="K443" s="2">
        <v>30</v>
      </c>
      <c r="L443" s="2">
        <v>5</v>
      </c>
      <c r="M443" s="3">
        <v>16972</v>
      </c>
    </row>
    <row r="444" spans="1:13">
      <c r="A444" t="s">
        <v>512</v>
      </c>
      <c r="B444" t="s">
        <v>60</v>
      </c>
      <c r="C444" t="s">
        <v>52</v>
      </c>
      <c r="D444" t="s">
        <v>16</v>
      </c>
      <c r="E444" s="2">
        <v>1</v>
      </c>
      <c r="F444" t="s">
        <v>22</v>
      </c>
      <c r="G444" t="s">
        <v>70</v>
      </c>
      <c r="H444" s="2">
        <v>82</v>
      </c>
      <c r="I444" s="3">
        <v>8725</v>
      </c>
      <c r="J444" s="4">
        <v>10.07</v>
      </c>
      <c r="K444" s="2">
        <v>66</v>
      </c>
      <c r="L444" s="2">
        <v>4</v>
      </c>
      <c r="M444" s="3">
        <v>43639</v>
      </c>
    </row>
    <row r="445" spans="1:13">
      <c r="A445" t="s">
        <v>513</v>
      </c>
      <c r="B445" t="s">
        <v>137</v>
      </c>
      <c r="C445" t="s">
        <v>26</v>
      </c>
      <c r="D445" t="s">
        <v>27</v>
      </c>
      <c r="E445" s="2">
        <v>42</v>
      </c>
      <c r="F445" t="s">
        <v>34</v>
      </c>
      <c r="G445" t="s">
        <v>31</v>
      </c>
      <c r="H445" s="2">
        <v>91</v>
      </c>
      <c r="I445" s="3">
        <v>2633</v>
      </c>
      <c r="J445" s="4">
        <v>1.37</v>
      </c>
      <c r="K445" s="2">
        <v>30</v>
      </c>
      <c r="L445" s="2">
        <v>5</v>
      </c>
      <c r="M445" s="3">
        <v>7290</v>
      </c>
    </row>
    <row r="446" spans="1:13">
      <c r="A446" t="s">
        <v>514</v>
      </c>
      <c r="B446" t="s">
        <v>54</v>
      </c>
      <c r="C446" t="s">
        <v>15</v>
      </c>
      <c r="D446" t="s">
        <v>72</v>
      </c>
      <c r="E446" s="2">
        <v>59</v>
      </c>
      <c r="F446" t="s">
        <v>34</v>
      </c>
      <c r="G446" t="s">
        <v>40</v>
      </c>
      <c r="H446" s="2">
        <v>84</v>
      </c>
      <c r="I446" s="3">
        <v>8622</v>
      </c>
      <c r="J446" s="4">
        <v>14.65</v>
      </c>
      <c r="K446" s="2">
        <v>44</v>
      </c>
      <c r="L446" s="2">
        <v>5</v>
      </c>
      <c r="M446" s="3">
        <v>32824</v>
      </c>
    </row>
    <row r="447" spans="1:13">
      <c r="A447" t="s">
        <v>515</v>
      </c>
      <c r="B447" t="s">
        <v>51</v>
      </c>
      <c r="C447" t="s">
        <v>52</v>
      </c>
      <c r="D447" t="s">
        <v>27</v>
      </c>
      <c r="E447" s="2">
        <v>35</v>
      </c>
      <c r="F447" t="s">
        <v>17</v>
      </c>
      <c r="G447" t="s">
        <v>70</v>
      </c>
      <c r="H447" s="2">
        <v>88</v>
      </c>
      <c r="I447" s="3">
        <v>6289</v>
      </c>
      <c r="J447" s="4">
        <v>6.85</v>
      </c>
      <c r="K447" s="2">
        <v>74</v>
      </c>
      <c r="L447" s="2">
        <v>5</v>
      </c>
      <c r="M447" s="3">
        <v>17265</v>
      </c>
    </row>
    <row r="448" spans="1:13">
      <c r="A448" t="s">
        <v>516</v>
      </c>
      <c r="B448" t="s">
        <v>150</v>
      </c>
      <c r="C448" t="s">
        <v>48</v>
      </c>
      <c r="D448" t="s">
        <v>27</v>
      </c>
      <c r="E448" s="2">
        <v>20</v>
      </c>
      <c r="F448" t="s">
        <v>22</v>
      </c>
      <c r="G448" t="s">
        <v>49</v>
      </c>
      <c r="H448" s="2">
        <v>81</v>
      </c>
      <c r="I448" s="3">
        <v>6380</v>
      </c>
      <c r="J448" s="4">
        <v>10.67</v>
      </c>
      <c r="K448" s="2">
        <v>67</v>
      </c>
      <c r="L448" s="2">
        <v>4</v>
      </c>
      <c r="M448" s="3">
        <v>19705</v>
      </c>
    </row>
    <row r="449" spans="1:13">
      <c r="A449" t="s">
        <v>517</v>
      </c>
      <c r="B449" t="s">
        <v>64</v>
      </c>
      <c r="C449" t="s">
        <v>30</v>
      </c>
      <c r="D449" t="s">
        <v>16</v>
      </c>
      <c r="E449" s="2">
        <v>48</v>
      </c>
      <c r="F449" t="s">
        <v>22</v>
      </c>
      <c r="G449" t="s">
        <v>18</v>
      </c>
      <c r="H449" s="2">
        <v>75</v>
      </c>
      <c r="I449" s="3">
        <v>3509</v>
      </c>
      <c r="J449" s="4">
        <v>11.69</v>
      </c>
      <c r="K449" s="2">
        <v>130</v>
      </c>
      <c r="L449" s="2">
        <v>4</v>
      </c>
      <c r="M449" s="3">
        <v>20247</v>
      </c>
    </row>
    <row r="450" spans="1:13">
      <c r="A450" t="s">
        <v>518</v>
      </c>
      <c r="B450" t="s">
        <v>109</v>
      </c>
      <c r="C450" t="s">
        <v>30</v>
      </c>
      <c r="D450" t="s">
        <v>27</v>
      </c>
      <c r="E450" s="2">
        <v>49</v>
      </c>
      <c r="F450" t="s">
        <v>17</v>
      </c>
      <c r="G450" t="s">
        <v>70</v>
      </c>
      <c r="H450" s="2">
        <v>68</v>
      </c>
      <c r="I450" s="3">
        <v>2611</v>
      </c>
      <c r="J450" s="4">
        <v>24.81</v>
      </c>
      <c r="K450" s="2">
        <v>123</v>
      </c>
      <c r="L450" s="2">
        <v>4</v>
      </c>
      <c r="M450" s="3">
        <v>12718</v>
      </c>
    </row>
    <row r="451" spans="1:13">
      <c r="A451" t="s">
        <v>519</v>
      </c>
      <c r="B451" t="s">
        <v>58</v>
      </c>
      <c r="C451" t="s">
        <v>48</v>
      </c>
      <c r="D451" t="s">
        <v>16</v>
      </c>
      <c r="E451" s="2">
        <v>77</v>
      </c>
      <c r="F451" t="s">
        <v>34</v>
      </c>
      <c r="G451" t="s">
        <v>40</v>
      </c>
      <c r="H451" s="2">
        <v>81</v>
      </c>
      <c r="I451" s="3">
        <v>5641</v>
      </c>
      <c r="J451" s="4">
        <v>13.1</v>
      </c>
      <c r="K451" s="2">
        <v>64</v>
      </c>
      <c r="L451" s="2">
        <v>5</v>
      </c>
      <c r="M451" s="3">
        <v>30779</v>
      </c>
    </row>
    <row r="452" spans="1:13">
      <c r="A452" t="s">
        <v>520</v>
      </c>
      <c r="B452" t="s">
        <v>60</v>
      </c>
      <c r="C452" t="s">
        <v>52</v>
      </c>
      <c r="D452" t="s">
        <v>16</v>
      </c>
      <c r="E452" s="2">
        <v>5</v>
      </c>
      <c r="F452" t="s">
        <v>34</v>
      </c>
      <c r="G452" t="s">
        <v>18</v>
      </c>
      <c r="H452" s="2">
        <v>80</v>
      </c>
      <c r="I452" s="3">
        <v>7702</v>
      </c>
      <c r="J452" s="4">
        <v>15.24</v>
      </c>
      <c r="K452" s="2">
        <v>57</v>
      </c>
      <c r="L452" s="2">
        <v>4</v>
      </c>
      <c r="M452" s="3">
        <v>33113</v>
      </c>
    </row>
    <row r="453" spans="1:13">
      <c r="A453" t="s">
        <v>521</v>
      </c>
      <c r="B453" t="s">
        <v>44</v>
      </c>
      <c r="C453" t="s">
        <v>45</v>
      </c>
      <c r="D453" t="s">
        <v>27</v>
      </c>
      <c r="E453" s="2">
        <v>58</v>
      </c>
      <c r="F453" t="s">
        <v>22</v>
      </c>
      <c r="G453" t="s">
        <v>49</v>
      </c>
      <c r="H453" s="2">
        <v>87</v>
      </c>
      <c r="I453" s="3">
        <v>8593</v>
      </c>
      <c r="J453" s="4">
        <v>16.66</v>
      </c>
      <c r="K453" s="2">
        <v>59</v>
      </c>
      <c r="L453" s="2">
        <v>4</v>
      </c>
      <c r="M453" s="3">
        <v>31882</v>
      </c>
    </row>
    <row r="454" spans="1:13">
      <c r="A454" t="s">
        <v>522</v>
      </c>
      <c r="B454" t="s">
        <v>44</v>
      </c>
      <c r="C454" t="s">
        <v>45</v>
      </c>
      <c r="D454" t="s">
        <v>16</v>
      </c>
      <c r="E454" s="2">
        <v>65</v>
      </c>
      <c r="F454" t="s">
        <v>17</v>
      </c>
      <c r="G454" t="s">
        <v>18</v>
      </c>
      <c r="H454" s="2">
        <v>69</v>
      </c>
      <c r="I454" s="3">
        <v>8766</v>
      </c>
      <c r="J454" s="4">
        <v>19.32</v>
      </c>
      <c r="K454" s="2">
        <v>106</v>
      </c>
      <c r="L454" s="2">
        <v>4</v>
      </c>
      <c r="M454" s="3">
        <v>52299</v>
      </c>
    </row>
    <row r="455" spans="1:13">
      <c r="A455" t="s">
        <v>523</v>
      </c>
      <c r="B455" t="s">
        <v>78</v>
      </c>
      <c r="C455" t="s">
        <v>15</v>
      </c>
      <c r="D455" t="s">
        <v>27</v>
      </c>
      <c r="E455" s="2">
        <v>46</v>
      </c>
      <c r="F455" t="s">
        <v>22</v>
      </c>
      <c r="G455" t="s">
        <v>40</v>
      </c>
      <c r="H455" s="2">
        <v>77</v>
      </c>
      <c r="I455" s="3">
        <v>8795</v>
      </c>
      <c r="J455" s="4">
        <v>20.350000000000001</v>
      </c>
      <c r="K455" s="2">
        <v>78</v>
      </c>
      <c r="L455" s="2">
        <v>3</v>
      </c>
      <c r="M455" s="3">
        <v>28842</v>
      </c>
    </row>
    <row r="456" spans="1:13">
      <c r="A456" t="s">
        <v>524</v>
      </c>
      <c r="B456" t="s">
        <v>78</v>
      </c>
      <c r="C456" t="s">
        <v>15</v>
      </c>
      <c r="D456" t="s">
        <v>27</v>
      </c>
      <c r="E456" s="2">
        <v>54</v>
      </c>
      <c r="F456" t="s">
        <v>22</v>
      </c>
      <c r="G456" t="s">
        <v>49</v>
      </c>
      <c r="H456" s="2">
        <v>80</v>
      </c>
      <c r="I456" s="3">
        <v>5373</v>
      </c>
      <c r="J456" s="4">
        <v>14.87</v>
      </c>
      <c r="K456" s="2">
        <v>47</v>
      </c>
      <c r="L456" s="2">
        <v>4</v>
      </c>
      <c r="M456" s="3">
        <v>27673</v>
      </c>
    </row>
    <row r="457" spans="1:13">
      <c r="A457" t="s">
        <v>525</v>
      </c>
      <c r="B457" t="s">
        <v>95</v>
      </c>
      <c r="C457" t="s">
        <v>52</v>
      </c>
      <c r="D457" t="s">
        <v>16</v>
      </c>
      <c r="E457" s="2">
        <v>28</v>
      </c>
      <c r="F457" t="s">
        <v>17</v>
      </c>
      <c r="G457" t="s">
        <v>40</v>
      </c>
      <c r="H457" s="2">
        <v>76</v>
      </c>
      <c r="I457" s="3">
        <v>6187</v>
      </c>
      <c r="J457" s="4">
        <v>15.38</v>
      </c>
      <c r="K457" s="2">
        <v>75</v>
      </c>
      <c r="L457" s="2">
        <v>4</v>
      </c>
      <c r="M457" s="3">
        <v>34272</v>
      </c>
    </row>
    <row r="458" spans="1:13">
      <c r="A458" t="s">
        <v>526</v>
      </c>
      <c r="B458" t="s">
        <v>74</v>
      </c>
      <c r="C458" t="s">
        <v>45</v>
      </c>
      <c r="D458" t="s">
        <v>16</v>
      </c>
      <c r="E458" s="2">
        <v>42</v>
      </c>
      <c r="F458" t="s">
        <v>22</v>
      </c>
      <c r="G458" t="s">
        <v>49</v>
      </c>
      <c r="H458" s="2">
        <v>71</v>
      </c>
      <c r="I458" s="3">
        <v>5563</v>
      </c>
      <c r="J458" s="4">
        <v>22.27</v>
      </c>
      <c r="K458" s="2">
        <v>109</v>
      </c>
      <c r="L458" s="2">
        <v>3</v>
      </c>
      <c r="M458" s="3">
        <v>14127</v>
      </c>
    </row>
    <row r="459" spans="1:13">
      <c r="A459" t="s">
        <v>527</v>
      </c>
      <c r="B459" t="s">
        <v>74</v>
      </c>
      <c r="C459" t="s">
        <v>45</v>
      </c>
      <c r="D459" t="s">
        <v>16</v>
      </c>
      <c r="E459" s="2">
        <v>31</v>
      </c>
      <c r="F459" t="s">
        <v>34</v>
      </c>
      <c r="G459" t="s">
        <v>23</v>
      </c>
      <c r="H459" s="2">
        <v>75</v>
      </c>
      <c r="I459" s="3">
        <v>9174</v>
      </c>
      <c r="J459" s="4">
        <v>14.98</v>
      </c>
      <c r="K459" s="2">
        <v>115</v>
      </c>
      <c r="L459" s="2">
        <v>4</v>
      </c>
      <c r="M459" s="3">
        <v>40408</v>
      </c>
    </row>
    <row r="460" spans="1:13">
      <c r="A460" t="s">
        <v>528</v>
      </c>
      <c r="B460" t="s">
        <v>68</v>
      </c>
      <c r="C460" t="s">
        <v>45</v>
      </c>
      <c r="D460" t="s">
        <v>16</v>
      </c>
      <c r="E460" s="2">
        <v>64</v>
      </c>
      <c r="F460" t="s">
        <v>34</v>
      </c>
      <c r="G460" t="s">
        <v>49</v>
      </c>
      <c r="H460" s="2">
        <v>82</v>
      </c>
      <c r="I460" s="3">
        <v>9852</v>
      </c>
      <c r="J460" s="4">
        <v>15.93</v>
      </c>
      <c r="K460" s="2">
        <v>74</v>
      </c>
      <c r="L460" s="2">
        <v>3</v>
      </c>
      <c r="M460" s="3">
        <v>26373</v>
      </c>
    </row>
    <row r="461" spans="1:13">
      <c r="A461" t="s">
        <v>529</v>
      </c>
      <c r="B461" t="s">
        <v>29</v>
      </c>
      <c r="C461" t="s">
        <v>30</v>
      </c>
      <c r="D461" t="s">
        <v>27</v>
      </c>
      <c r="E461" s="2">
        <v>69</v>
      </c>
      <c r="F461" t="s">
        <v>34</v>
      </c>
      <c r="G461" t="s">
        <v>31</v>
      </c>
      <c r="H461" s="2">
        <v>75</v>
      </c>
      <c r="I461" s="3">
        <v>3086</v>
      </c>
      <c r="J461" s="4">
        <v>20.62</v>
      </c>
      <c r="K461" s="2">
        <v>104</v>
      </c>
      <c r="L461" s="2">
        <v>4</v>
      </c>
      <c r="M461" s="3">
        <v>17764</v>
      </c>
    </row>
    <row r="462" spans="1:13">
      <c r="A462" t="s">
        <v>530</v>
      </c>
      <c r="B462" t="s">
        <v>187</v>
      </c>
      <c r="C462" t="s">
        <v>30</v>
      </c>
      <c r="D462" t="s">
        <v>27</v>
      </c>
      <c r="E462" s="2">
        <v>42</v>
      </c>
      <c r="F462" t="s">
        <v>17</v>
      </c>
      <c r="G462" t="s">
        <v>31</v>
      </c>
      <c r="H462" s="2">
        <v>61</v>
      </c>
      <c r="I462" s="3">
        <v>4089</v>
      </c>
      <c r="J462" s="4">
        <v>16.52</v>
      </c>
      <c r="K462" s="2">
        <v>92</v>
      </c>
      <c r="L462" s="2">
        <v>3</v>
      </c>
      <c r="M462" s="3">
        <v>15008</v>
      </c>
    </row>
    <row r="463" spans="1:13">
      <c r="A463" t="s">
        <v>531</v>
      </c>
      <c r="B463" t="s">
        <v>95</v>
      </c>
      <c r="C463" t="s">
        <v>52</v>
      </c>
      <c r="D463" t="s">
        <v>27</v>
      </c>
      <c r="E463" s="2">
        <v>58</v>
      </c>
      <c r="F463" t="s">
        <v>34</v>
      </c>
      <c r="G463" t="s">
        <v>40</v>
      </c>
      <c r="H463" s="2">
        <v>89</v>
      </c>
      <c r="I463" s="3">
        <v>8403</v>
      </c>
      <c r="J463" s="4">
        <v>9.26</v>
      </c>
      <c r="K463" s="2">
        <v>32</v>
      </c>
      <c r="L463" s="2">
        <v>5</v>
      </c>
      <c r="M463" s="3">
        <v>25533</v>
      </c>
    </row>
    <row r="464" spans="1:13">
      <c r="A464" t="s">
        <v>532</v>
      </c>
      <c r="B464" t="s">
        <v>78</v>
      </c>
      <c r="C464" t="s">
        <v>15</v>
      </c>
      <c r="D464" t="s">
        <v>72</v>
      </c>
      <c r="E464" s="2">
        <v>35</v>
      </c>
      <c r="F464" t="s">
        <v>17</v>
      </c>
      <c r="G464" t="s">
        <v>70</v>
      </c>
      <c r="H464" s="2">
        <v>80</v>
      </c>
      <c r="I464" s="3">
        <v>5383</v>
      </c>
      <c r="J464" s="4">
        <v>8.99</v>
      </c>
      <c r="K464" s="2">
        <v>71</v>
      </c>
      <c r="L464" s="2">
        <v>4</v>
      </c>
      <c r="M464" s="3">
        <v>14110</v>
      </c>
    </row>
    <row r="465" spans="1:13">
      <c r="A465" t="s">
        <v>533</v>
      </c>
      <c r="B465" t="s">
        <v>64</v>
      </c>
      <c r="C465" t="s">
        <v>30</v>
      </c>
      <c r="D465" t="s">
        <v>27</v>
      </c>
      <c r="E465" s="2">
        <v>76</v>
      </c>
      <c r="F465" t="s">
        <v>17</v>
      </c>
      <c r="G465" t="s">
        <v>31</v>
      </c>
      <c r="H465" s="2">
        <v>79</v>
      </c>
      <c r="I465" s="3">
        <v>3867</v>
      </c>
      <c r="J465" s="4">
        <v>13.45</v>
      </c>
      <c r="K465" s="2">
        <v>92</v>
      </c>
      <c r="L465" s="2">
        <v>4</v>
      </c>
      <c r="M465" s="3">
        <v>21790</v>
      </c>
    </row>
    <row r="466" spans="1:13">
      <c r="A466" t="s">
        <v>534</v>
      </c>
      <c r="B466" t="s">
        <v>25</v>
      </c>
      <c r="C466" t="s">
        <v>26</v>
      </c>
      <c r="D466" t="s">
        <v>72</v>
      </c>
      <c r="E466" s="2">
        <v>24</v>
      </c>
      <c r="F466" t="s">
        <v>34</v>
      </c>
      <c r="G466" t="s">
        <v>70</v>
      </c>
      <c r="H466" s="2">
        <v>95</v>
      </c>
      <c r="I466" s="3">
        <v>1766</v>
      </c>
      <c r="J466" s="4">
        <v>2.99</v>
      </c>
      <c r="K466" s="2">
        <v>29</v>
      </c>
      <c r="L466" s="2">
        <v>5</v>
      </c>
      <c r="M466" s="3">
        <v>8575</v>
      </c>
    </row>
    <row r="467" spans="1:13">
      <c r="A467" t="s">
        <v>535</v>
      </c>
      <c r="B467" t="s">
        <v>103</v>
      </c>
      <c r="C467" t="s">
        <v>26</v>
      </c>
      <c r="D467" t="s">
        <v>27</v>
      </c>
      <c r="E467" s="2">
        <v>37</v>
      </c>
      <c r="F467" t="s">
        <v>22</v>
      </c>
      <c r="G467" t="s">
        <v>49</v>
      </c>
      <c r="H467" s="2">
        <v>92</v>
      </c>
      <c r="I467" s="3">
        <v>2740</v>
      </c>
      <c r="J467" s="4">
        <v>2.2200000000000002</v>
      </c>
      <c r="K467" s="2">
        <v>68</v>
      </c>
      <c r="L467" s="2">
        <v>4</v>
      </c>
      <c r="M467" s="3">
        <v>9445</v>
      </c>
    </row>
    <row r="468" spans="1:13">
      <c r="A468" t="s">
        <v>536</v>
      </c>
      <c r="B468" t="s">
        <v>129</v>
      </c>
      <c r="C468" t="s">
        <v>21</v>
      </c>
      <c r="D468" t="s">
        <v>27</v>
      </c>
      <c r="E468" s="2">
        <v>62</v>
      </c>
      <c r="F468" t="s">
        <v>22</v>
      </c>
      <c r="G468" t="s">
        <v>70</v>
      </c>
      <c r="H468" s="2">
        <v>82</v>
      </c>
      <c r="I468" s="3">
        <v>5967</v>
      </c>
      <c r="J468" s="4">
        <v>17.850000000000001</v>
      </c>
      <c r="K468" s="2">
        <v>126</v>
      </c>
      <c r="L468" s="2">
        <v>4</v>
      </c>
      <c r="M468" s="3">
        <v>23505</v>
      </c>
    </row>
    <row r="469" spans="1:13">
      <c r="A469" t="s">
        <v>537</v>
      </c>
      <c r="B469" t="s">
        <v>143</v>
      </c>
      <c r="C469" t="s">
        <v>21</v>
      </c>
      <c r="D469" t="s">
        <v>16</v>
      </c>
      <c r="E469" s="2">
        <v>8</v>
      </c>
      <c r="F469" t="s">
        <v>17</v>
      </c>
      <c r="G469" t="s">
        <v>40</v>
      </c>
      <c r="H469" s="2">
        <v>82</v>
      </c>
      <c r="I469" s="3">
        <v>7987</v>
      </c>
      <c r="J469" s="4">
        <v>15.84</v>
      </c>
      <c r="K469" s="2">
        <v>74</v>
      </c>
      <c r="L469" s="2">
        <v>4</v>
      </c>
      <c r="M469" s="3">
        <v>35515</v>
      </c>
    </row>
    <row r="470" spans="1:13">
      <c r="A470" t="s">
        <v>538</v>
      </c>
      <c r="B470" t="s">
        <v>44</v>
      </c>
      <c r="C470" t="s">
        <v>45</v>
      </c>
      <c r="D470" t="s">
        <v>27</v>
      </c>
      <c r="E470" s="2">
        <v>25</v>
      </c>
      <c r="F470" t="s">
        <v>34</v>
      </c>
      <c r="G470" t="s">
        <v>18</v>
      </c>
      <c r="H470" s="2">
        <v>79</v>
      </c>
      <c r="I470" s="3">
        <v>7609</v>
      </c>
      <c r="J470" s="4">
        <v>20.32</v>
      </c>
      <c r="K470" s="2">
        <v>81</v>
      </c>
      <c r="L470" s="2">
        <v>4</v>
      </c>
      <c r="M470" s="3">
        <v>27659</v>
      </c>
    </row>
    <row r="471" spans="1:13">
      <c r="A471" t="s">
        <v>539</v>
      </c>
      <c r="B471" t="s">
        <v>185</v>
      </c>
      <c r="C471" t="s">
        <v>52</v>
      </c>
      <c r="D471" t="s">
        <v>27</v>
      </c>
      <c r="E471" s="2">
        <v>63</v>
      </c>
      <c r="F471" t="s">
        <v>34</v>
      </c>
      <c r="G471" t="s">
        <v>18</v>
      </c>
      <c r="H471" s="2">
        <v>63</v>
      </c>
      <c r="I471" s="3">
        <v>10597</v>
      </c>
      <c r="J471" s="4">
        <v>17.670000000000002</v>
      </c>
      <c r="K471" s="2">
        <v>113</v>
      </c>
      <c r="L471" s="2">
        <v>4</v>
      </c>
      <c r="M471" s="3">
        <v>36726</v>
      </c>
    </row>
    <row r="472" spans="1:13">
      <c r="A472" t="s">
        <v>540</v>
      </c>
      <c r="B472" t="s">
        <v>14</v>
      </c>
      <c r="C472" t="s">
        <v>15</v>
      </c>
      <c r="D472" t="s">
        <v>16</v>
      </c>
      <c r="E472" s="2">
        <v>30</v>
      </c>
      <c r="F472" t="s">
        <v>34</v>
      </c>
      <c r="G472" t="s">
        <v>49</v>
      </c>
      <c r="H472" s="2">
        <v>80</v>
      </c>
      <c r="I472" s="3">
        <v>5529</v>
      </c>
      <c r="J472" s="4">
        <v>19.03</v>
      </c>
      <c r="K472" s="2">
        <v>99</v>
      </c>
      <c r="L472" s="2">
        <v>4</v>
      </c>
      <c r="M472" s="3">
        <v>18054</v>
      </c>
    </row>
    <row r="473" spans="1:13">
      <c r="A473" t="s">
        <v>541</v>
      </c>
      <c r="B473" t="s">
        <v>97</v>
      </c>
      <c r="C473" t="s">
        <v>30</v>
      </c>
      <c r="D473" t="s">
        <v>27</v>
      </c>
      <c r="E473" s="2">
        <v>66</v>
      </c>
      <c r="F473" t="s">
        <v>17</v>
      </c>
      <c r="G473" t="s">
        <v>49</v>
      </c>
      <c r="H473" s="2">
        <v>75</v>
      </c>
      <c r="I473" s="3">
        <v>3299</v>
      </c>
      <c r="J473" s="4">
        <v>9.5399999999999991</v>
      </c>
      <c r="K473" s="2">
        <v>116</v>
      </c>
      <c r="L473" s="2">
        <v>4</v>
      </c>
      <c r="M473" s="3">
        <v>13620</v>
      </c>
    </row>
    <row r="474" spans="1:13">
      <c r="A474" t="s">
        <v>542</v>
      </c>
      <c r="B474" t="s">
        <v>187</v>
      </c>
      <c r="C474" t="s">
        <v>30</v>
      </c>
      <c r="D474" t="s">
        <v>16</v>
      </c>
      <c r="E474" s="2">
        <v>23</v>
      </c>
      <c r="F474" t="s">
        <v>22</v>
      </c>
      <c r="G474" t="s">
        <v>23</v>
      </c>
      <c r="H474" s="2">
        <v>72</v>
      </c>
      <c r="I474" s="3">
        <v>2603</v>
      </c>
      <c r="J474" s="4">
        <v>18.760000000000002</v>
      </c>
      <c r="K474" s="2">
        <v>148</v>
      </c>
      <c r="L474" s="2">
        <v>3</v>
      </c>
      <c r="M474" s="3">
        <v>15301</v>
      </c>
    </row>
    <row r="475" spans="1:13">
      <c r="A475" t="s">
        <v>543</v>
      </c>
      <c r="B475" t="s">
        <v>51</v>
      </c>
      <c r="C475" t="s">
        <v>52</v>
      </c>
      <c r="D475" t="s">
        <v>27</v>
      </c>
      <c r="E475" s="2">
        <v>77</v>
      </c>
      <c r="F475" t="s">
        <v>17</v>
      </c>
      <c r="G475" t="s">
        <v>49</v>
      </c>
      <c r="H475" s="2">
        <v>74</v>
      </c>
      <c r="I475" s="3">
        <v>6763</v>
      </c>
      <c r="J475" s="4">
        <v>14</v>
      </c>
      <c r="K475" s="2">
        <v>119</v>
      </c>
      <c r="L475" s="2">
        <v>3</v>
      </c>
      <c r="M475" s="3">
        <v>24978</v>
      </c>
    </row>
    <row r="476" spans="1:13">
      <c r="A476" t="s">
        <v>544</v>
      </c>
      <c r="B476" t="s">
        <v>51</v>
      </c>
      <c r="C476" t="s">
        <v>52</v>
      </c>
      <c r="D476" t="s">
        <v>27</v>
      </c>
      <c r="E476" s="2">
        <v>41</v>
      </c>
      <c r="F476" t="s">
        <v>34</v>
      </c>
      <c r="G476" t="s">
        <v>18</v>
      </c>
      <c r="H476" s="2">
        <v>79</v>
      </c>
      <c r="I476" s="3">
        <v>8706</v>
      </c>
      <c r="J476" s="4">
        <v>11.07</v>
      </c>
      <c r="K476" s="2">
        <v>95</v>
      </c>
      <c r="L476" s="2">
        <v>3</v>
      </c>
      <c r="M476" s="3">
        <v>43028</v>
      </c>
    </row>
    <row r="477" spans="1:13">
      <c r="A477" t="s">
        <v>545</v>
      </c>
      <c r="B477" t="s">
        <v>42</v>
      </c>
      <c r="C477" t="s">
        <v>39</v>
      </c>
      <c r="D477" t="s">
        <v>16</v>
      </c>
      <c r="E477" s="2">
        <v>16</v>
      </c>
      <c r="F477" t="s">
        <v>22</v>
      </c>
      <c r="G477" t="s">
        <v>40</v>
      </c>
      <c r="H477" s="2">
        <v>80</v>
      </c>
      <c r="I477" s="3">
        <v>3709</v>
      </c>
      <c r="J477" s="4">
        <v>12.64</v>
      </c>
      <c r="K477" s="2">
        <v>63</v>
      </c>
      <c r="L477" s="2">
        <v>4</v>
      </c>
      <c r="M477" s="3">
        <v>9286</v>
      </c>
    </row>
    <row r="478" spans="1:13">
      <c r="A478" t="s">
        <v>546</v>
      </c>
      <c r="B478" t="s">
        <v>62</v>
      </c>
      <c r="C478" t="s">
        <v>52</v>
      </c>
      <c r="D478" t="s">
        <v>16</v>
      </c>
      <c r="E478" s="2">
        <v>27</v>
      </c>
      <c r="F478" t="s">
        <v>22</v>
      </c>
      <c r="G478" t="s">
        <v>49</v>
      </c>
      <c r="H478" s="2">
        <v>76</v>
      </c>
      <c r="I478" s="3">
        <v>9898</v>
      </c>
      <c r="J478" s="4">
        <v>19.75</v>
      </c>
      <c r="K478" s="2">
        <v>65</v>
      </c>
      <c r="L478" s="2">
        <v>4</v>
      </c>
      <c r="M478" s="3">
        <v>49992</v>
      </c>
    </row>
    <row r="479" spans="1:13">
      <c r="A479" t="s">
        <v>547</v>
      </c>
      <c r="B479" t="s">
        <v>185</v>
      </c>
      <c r="C479" t="s">
        <v>52</v>
      </c>
      <c r="D479" t="s">
        <v>27</v>
      </c>
      <c r="E479" s="2">
        <v>68</v>
      </c>
      <c r="F479" t="s">
        <v>17</v>
      </c>
      <c r="G479" t="s">
        <v>49</v>
      </c>
      <c r="H479" s="2">
        <v>76</v>
      </c>
      <c r="I479" s="3">
        <v>4847</v>
      </c>
      <c r="J479" s="4">
        <v>16.829999999999998</v>
      </c>
      <c r="K479" s="2">
        <v>55</v>
      </c>
      <c r="L479" s="2">
        <v>4</v>
      </c>
      <c r="M479" s="3">
        <v>18937</v>
      </c>
    </row>
    <row r="480" spans="1:13">
      <c r="A480" t="s">
        <v>548</v>
      </c>
      <c r="B480" t="s">
        <v>36</v>
      </c>
      <c r="C480" t="s">
        <v>21</v>
      </c>
      <c r="D480" t="s">
        <v>16</v>
      </c>
      <c r="E480" s="2">
        <v>62</v>
      </c>
      <c r="F480" t="s">
        <v>17</v>
      </c>
      <c r="G480" t="s">
        <v>40</v>
      </c>
      <c r="H480" s="2">
        <v>78</v>
      </c>
      <c r="I480" s="3">
        <v>5308</v>
      </c>
      <c r="J480" s="4">
        <v>20.420000000000002</v>
      </c>
      <c r="K480" s="2">
        <v>104</v>
      </c>
      <c r="L480" s="2">
        <v>4</v>
      </c>
      <c r="M480" s="3">
        <v>31060</v>
      </c>
    </row>
    <row r="481" spans="1:13">
      <c r="A481" t="s">
        <v>549</v>
      </c>
      <c r="B481" t="s">
        <v>137</v>
      </c>
      <c r="C481" t="s">
        <v>26</v>
      </c>
      <c r="D481" t="s">
        <v>27</v>
      </c>
      <c r="E481" s="2">
        <v>57</v>
      </c>
      <c r="F481" t="s">
        <v>34</v>
      </c>
      <c r="G481" t="s">
        <v>70</v>
      </c>
      <c r="H481" s="2">
        <v>89</v>
      </c>
      <c r="I481" s="3">
        <v>2549</v>
      </c>
      <c r="J481" s="4">
        <v>1.63</v>
      </c>
      <c r="K481" s="2">
        <v>100</v>
      </c>
      <c r="L481" s="2">
        <v>4</v>
      </c>
      <c r="M481" s="3">
        <v>9840</v>
      </c>
    </row>
    <row r="482" spans="1:13">
      <c r="A482" t="s">
        <v>550</v>
      </c>
      <c r="B482" t="s">
        <v>129</v>
      </c>
      <c r="C482" t="s">
        <v>21</v>
      </c>
      <c r="D482" t="s">
        <v>27</v>
      </c>
      <c r="E482" s="2">
        <v>38</v>
      </c>
      <c r="F482" t="s">
        <v>22</v>
      </c>
      <c r="G482" t="s">
        <v>70</v>
      </c>
      <c r="H482" s="2">
        <v>85</v>
      </c>
      <c r="I482" s="3">
        <v>5683</v>
      </c>
      <c r="J482" s="4">
        <v>13.85</v>
      </c>
      <c r="K482" s="2">
        <v>85</v>
      </c>
      <c r="L482" s="2">
        <v>3</v>
      </c>
      <c r="M482" s="3">
        <v>31584</v>
      </c>
    </row>
    <row r="483" spans="1:13">
      <c r="A483" t="s">
        <v>551</v>
      </c>
      <c r="B483" t="s">
        <v>60</v>
      </c>
      <c r="C483" t="s">
        <v>52</v>
      </c>
      <c r="D483" t="s">
        <v>27</v>
      </c>
      <c r="E483" s="2">
        <v>33</v>
      </c>
      <c r="F483" t="s">
        <v>22</v>
      </c>
      <c r="G483" t="s">
        <v>18</v>
      </c>
      <c r="H483" s="2">
        <v>85</v>
      </c>
      <c r="I483" s="3">
        <v>6691</v>
      </c>
      <c r="J483" s="4">
        <v>7.47</v>
      </c>
      <c r="K483" s="2">
        <v>100</v>
      </c>
      <c r="L483" s="2">
        <v>5</v>
      </c>
      <c r="M483" s="3">
        <v>24109</v>
      </c>
    </row>
    <row r="484" spans="1:13">
      <c r="A484" t="s">
        <v>552</v>
      </c>
      <c r="B484" t="s">
        <v>74</v>
      </c>
      <c r="C484" t="s">
        <v>45</v>
      </c>
      <c r="D484" t="s">
        <v>16</v>
      </c>
      <c r="E484" s="2">
        <v>51</v>
      </c>
      <c r="F484" t="s">
        <v>34</v>
      </c>
      <c r="G484" t="s">
        <v>49</v>
      </c>
      <c r="H484" s="2">
        <v>85</v>
      </c>
      <c r="I484" s="3">
        <v>9389</v>
      </c>
      <c r="J484" s="4">
        <v>12.9</v>
      </c>
      <c r="K484" s="2">
        <v>76</v>
      </c>
      <c r="L484" s="2">
        <v>5</v>
      </c>
      <c r="M484" s="3">
        <v>48232</v>
      </c>
    </row>
    <row r="485" spans="1:13">
      <c r="A485" t="s">
        <v>553</v>
      </c>
      <c r="B485" t="s">
        <v>36</v>
      </c>
      <c r="C485" t="s">
        <v>21</v>
      </c>
      <c r="D485" t="s">
        <v>27</v>
      </c>
      <c r="E485" s="2">
        <v>44</v>
      </c>
      <c r="F485" t="s">
        <v>17</v>
      </c>
      <c r="G485" t="s">
        <v>40</v>
      </c>
      <c r="H485" s="2">
        <v>68</v>
      </c>
      <c r="I485" s="3">
        <v>7468</v>
      </c>
      <c r="J485" s="4">
        <v>20.76</v>
      </c>
      <c r="K485" s="2">
        <v>111</v>
      </c>
      <c r="L485" s="2">
        <v>3</v>
      </c>
      <c r="M485" s="3">
        <v>34799</v>
      </c>
    </row>
    <row r="486" spans="1:13">
      <c r="A486" t="s">
        <v>554</v>
      </c>
      <c r="B486" t="s">
        <v>88</v>
      </c>
      <c r="C486" t="s">
        <v>15</v>
      </c>
      <c r="D486" t="s">
        <v>16</v>
      </c>
      <c r="E486" s="2">
        <v>37</v>
      </c>
      <c r="F486" t="s">
        <v>17</v>
      </c>
      <c r="G486" t="s">
        <v>49</v>
      </c>
      <c r="H486" s="2">
        <v>83</v>
      </c>
      <c r="I486" s="3">
        <v>6924</v>
      </c>
      <c r="J486" s="4">
        <v>12.07</v>
      </c>
      <c r="K486" s="2">
        <v>93</v>
      </c>
      <c r="L486" s="2">
        <v>5</v>
      </c>
      <c r="M486" s="3">
        <v>19394</v>
      </c>
    </row>
    <row r="487" spans="1:13">
      <c r="A487" t="s">
        <v>555</v>
      </c>
      <c r="B487" t="s">
        <v>51</v>
      </c>
      <c r="C487" t="s">
        <v>52</v>
      </c>
      <c r="D487" t="s">
        <v>27</v>
      </c>
      <c r="E487" s="2">
        <v>68</v>
      </c>
      <c r="F487" t="s">
        <v>22</v>
      </c>
      <c r="G487" t="s">
        <v>49</v>
      </c>
      <c r="H487" s="2">
        <v>85</v>
      </c>
      <c r="I487" s="3">
        <v>9051</v>
      </c>
      <c r="J487" s="4">
        <v>8.92</v>
      </c>
      <c r="K487" s="2">
        <v>125</v>
      </c>
      <c r="L487" s="2">
        <v>4</v>
      </c>
      <c r="M487" s="3">
        <v>30620</v>
      </c>
    </row>
    <row r="488" spans="1:13">
      <c r="A488" t="s">
        <v>556</v>
      </c>
      <c r="B488" t="s">
        <v>109</v>
      </c>
      <c r="C488" t="s">
        <v>30</v>
      </c>
      <c r="D488" t="s">
        <v>27</v>
      </c>
      <c r="E488" s="2">
        <v>63</v>
      </c>
      <c r="F488" t="s">
        <v>22</v>
      </c>
      <c r="G488" t="s">
        <v>31</v>
      </c>
      <c r="H488" s="2">
        <v>82</v>
      </c>
      <c r="I488" s="3">
        <v>4612</v>
      </c>
      <c r="J488" s="4">
        <v>20.3</v>
      </c>
      <c r="K488" s="2">
        <v>79</v>
      </c>
      <c r="L488" s="2">
        <v>4</v>
      </c>
      <c r="M488" s="3">
        <v>19055</v>
      </c>
    </row>
    <row r="489" spans="1:13">
      <c r="A489" t="s">
        <v>557</v>
      </c>
      <c r="B489" t="s">
        <v>185</v>
      </c>
      <c r="C489" t="s">
        <v>52</v>
      </c>
      <c r="D489" t="s">
        <v>27</v>
      </c>
      <c r="E489" s="2">
        <v>56</v>
      </c>
      <c r="F489" t="s">
        <v>34</v>
      </c>
      <c r="G489" t="s">
        <v>40</v>
      </c>
      <c r="H489" s="2">
        <v>77</v>
      </c>
      <c r="I489" s="3">
        <v>4759</v>
      </c>
      <c r="J489" s="4">
        <v>17.239999999999998</v>
      </c>
      <c r="K489" s="2">
        <v>61</v>
      </c>
      <c r="L489" s="2">
        <v>4</v>
      </c>
      <c r="M489" s="3">
        <v>24665</v>
      </c>
    </row>
    <row r="490" spans="1:13">
      <c r="A490" t="s">
        <v>558</v>
      </c>
      <c r="B490" t="s">
        <v>97</v>
      </c>
      <c r="C490" t="s">
        <v>30</v>
      </c>
      <c r="D490" t="s">
        <v>16</v>
      </c>
      <c r="E490" s="2">
        <v>24</v>
      </c>
      <c r="F490" t="s">
        <v>22</v>
      </c>
      <c r="G490" t="s">
        <v>23</v>
      </c>
      <c r="H490" s="2">
        <v>65</v>
      </c>
      <c r="I490" s="3">
        <v>2824</v>
      </c>
      <c r="J490" s="4">
        <v>24.51</v>
      </c>
      <c r="K490" s="2">
        <v>134</v>
      </c>
      <c r="L490" s="2">
        <v>4</v>
      </c>
      <c r="M490" s="3">
        <v>11134</v>
      </c>
    </row>
    <row r="491" spans="1:13">
      <c r="A491" t="s">
        <v>559</v>
      </c>
      <c r="B491" t="s">
        <v>68</v>
      </c>
      <c r="C491" t="s">
        <v>45</v>
      </c>
      <c r="D491" t="s">
        <v>16</v>
      </c>
      <c r="E491" s="2">
        <v>49</v>
      </c>
      <c r="F491" t="s">
        <v>22</v>
      </c>
      <c r="G491" t="s">
        <v>18</v>
      </c>
      <c r="H491" s="2">
        <v>76</v>
      </c>
      <c r="I491" s="3">
        <v>8841</v>
      </c>
      <c r="J491" s="4">
        <v>18.350000000000001</v>
      </c>
      <c r="K491" s="2">
        <v>75</v>
      </c>
      <c r="L491" s="2">
        <v>4</v>
      </c>
      <c r="M491" s="3">
        <v>37757</v>
      </c>
    </row>
    <row r="492" spans="1:13">
      <c r="A492" t="s">
        <v>560</v>
      </c>
      <c r="B492" t="s">
        <v>33</v>
      </c>
      <c r="C492" t="s">
        <v>26</v>
      </c>
      <c r="D492" t="s">
        <v>16</v>
      </c>
      <c r="E492" s="2">
        <v>54</v>
      </c>
      <c r="F492" t="s">
        <v>34</v>
      </c>
      <c r="G492" t="s">
        <v>70</v>
      </c>
      <c r="H492" s="2">
        <v>83</v>
      </c>
      <c r="I492" s="3">
        <v>1923</v>
      </c>
      <c r="J492" s="4">
        <v>0</v>
      </c>
      <c r="K492" s="2">
        <v>25</v>
      </c>
      <c r="L492" s="2">
        <v>4</v>
      </c>
      <c r="M492" s="3">
        <v>9247</v>
      </c>
    </row>
    <row r="493" spans="1:13">
      <c r="A493" t="s">
        <v>561</v>
      </c>
      <c r="B493" t="s">
        <v>44</v>
      </c>
      <c r="C493" t="s">
        <v>45</v>
      </c>
      <c r="D493" t="s">
        <v>16</v>
      </c>
      <c r="E493" s="2">
        <v>84</v>
      </c>
      <c r="F493" t="s">
        <v>34</v>
      </c>
      <c r="G493" t="s">
        <v>40</v>
      </c>
      <c r="H493" s="2">
        <v>88</v>
      </c>
      <c r="I493" s="3">
        <v>9310</v>
      </c>
      <c r="J493" s="4">
        <v>19.04</v>
      </c>
      <c r="K493" s="2">
        <v>79</v>
      </c>
      <c r="L493" s="2">
        <v>4</v>
      </c>
      <c r="M493" s="3">
        <v>42230</v>
      </c>
    </row>
    <row r="494" spans="1:13">
      <c r="A494" t="s">
        <v>562</v>
      </c>
      <c r="B494" t="s">
        <v>42</v>
      </c>
      <c r="C494" t="s">
        <v>39</v>
      </c>
      <c r="D494" t="s">
        <v>16</v>
      </c>
      <c r="E494" s="2">
        <v>11</v>
      </c>
      <c r="F494" t="s">
        <v>34</v>
      </c>
      <c r="G494" t="s">
        <v>23</v>
      </c>
      <c r="H494" s="2">
        <v>91</v>
      </c>
      <c r="I494" s="3">
        <v>2832</v>
      </c>
      <c r="J494" s="4">
        <v>4.1399999999999997</v>
      </c>
      <c r="K494" s="2">
        <v>39</v>
      </c>
      <c r="L494" s="2">
        <v>4</v>
      </c>
      <c r="M494" s="3">
        <v>9149</v>
      </c>
    </row>
    <row r="495" spans="1:13">
      <c r="A495" t="s">
        <v>563</v>
      </c>
      <c r="B495" t="s">
        <v>56</v>
      </c>
      <c r="C495" t="s">
        <v>45</v>
      </c>
      <c r="D495" t="s">
        <v>16</v>
      </c>
      <c r="E495" s="2">
        <v>46</v>
      </c>
      <c r="F495" t="s">
        <v>34</v>
      </c>
      <c r="G495" t="s">
        <v>40</v>
      </c>
      <c r="H495" s="2">
        <v>67</v>
      </c>
      <c r="I495" s="3">
        <v>10792</v>
      </c>
      <c r="J495" s="4">
        <v>18.02</v>
      </c>
      <c r="K495" s="2">
        <v>81</v>
      </c>
      <c r="L495" s="2">
        <v>4</v>
      </c>
      <c r="M495" s="3">
        <v>57311</v>
      </c>
    </row>
    <row r="496" spans="1:13">
      <c r="A496" t="s">
        <v>564</v>
      </c>
      <c r="B496" t="s">
        <v>25</v>
      </c>
      <c r="C496" t="s">
        <v>26</v>
      </c>
      <c r="D496" t="s">
        <v>16</v>
      </c>
      <c r="E496" s="2">
        <v>28</v>
      </c>
      <c r="F496" t="s">
        <v>17</v>
      </c>
      <c r="G496" t="s">
        <v>31</v>
      </c>
      <c r="H496" s="2">
        <v>79</v>
      </c>
      <c r="I496" s="3">
        <v>2930</v>
      </c>
      <c r="J496" s="4">
        <v>5.56</v>
      </c>
      <c r="K496" s="2">
        <v>46</v>
      </c>
      <c r="L496" s="2">
        <v>4</v>
      </c>
      <c r="M496" s="3">
        <v>8796</v>
      </c>
    </row>
    <row r="497" spans="1:13">
      <c r="A497" t="s">
        <v>565</v>
      </c>
      <c r="B497" t="s">
        <v>20</v>
      </c>
      <c r="C497" t="s">
        <v>21</v>
      </c>
      <c r="D497" t="s">
        <v>27</v>
      </c>
      <c r="E497" s="2">
        <v>40</v>
      </c>
      <c r="F497" t="s">
        <v>22</v>
      </c>
      <c r="G497" t="s">
        <v>49</v>
      </c>
      <c r="H497" s="2">
        <v>85</v>
      </c>
      <c r="I497" s="3">
        <v>5516</v>
      </c>
      <c r="J497" s="4">
        <v>15.69</v>
      </c>
      <c r="K497" s="2">
        <v>67</v>
      </c>
      <c r="L497" s="2">
        <v>4</v>
      </c>
      <c r="M497" s="3">
        <v>15338</v>
      </c>
    </row>
    <row r="498" spans="1:13">
      <c r="A498" t="s">
        <v>566</v>
      </c>
      <c r="B498" t="s">
        <v>25</v>
      </c>
      <c r="C498" t="s">
        <v>26</v>
      </c>
      <c r="D498" t="s">
        <v>27</v>
      </c>
      <c r="E498" s="2">
        <v>90</v>
      </c>
      <c r="F498" t="s">
        <v>34</v>
      </c>
      <c r="G498" t="s">
        <v>18</v>
      </c>
      <c r="H498" s="2">
        <v>88</v>
      </c>
      <c r="I498" s="3">
        <v>2745</v>
      </c>
      <c r="J498" s="4">
        <v>7.28</v>
      </c>
      <c r="K498" s="2">
        <v>36</v>
      </c>
      <c r="L498" s="2">
        <v>4</v>
      </c>
      <c r="M498" s="3">
        <v>8057</v>
      </c>
    </row>
    <row r="499" spans="1:13">
      <c r="A499" t="s">
        <v>567</v>
      </c>
      <c r="B499" t="s">
        <v>137</v>
      </c>
      <c r="C499" t="s">
        <v>26</v>
      </c>
      <c r="D499" t="s">
        <v>16</v>
      </c>
      <c r="E499" s="2">
        <v>56</v>
      </c>
      <c r="F499" t="s">
        <v>34</v>
      </c>
      <c r="G499" t="s">
        <v>49</v>
      </c>
      <c r="H499" s="2">
        <v>99</v>
      </c>
      <c r="I499" s="3">
        <v>2449</v>
      </c>
      <c r="J499" s="4">
        <v>3.03</v>
      </c>
      <c r="K499" s="2">
        <v>28</v>
      </c>
      <c r="L499" s="2">
        <v>5</v>
      </c>
      <c r="M499" s="3">
        <v>14144</v>
      </c>
    </row>
    <row r="500" spans="1:13">
      <c r="A500" t="s">
        <v>568</v>
      </c>
      <c r="B500" t="s">
        <v>25</v>
      </c>
      <c r="C500" t="s">
        <v>39</v>
      </c>
      <c r="D500" t="s">
        <v>16</v>
      </c>
      <c r="E500" s="2">
        <v>17</v>
      </c>
      <c r="F500" t="s">
        <v>34</v>
      </c>
      <c r="G500" t="s">
        <v>31</v>
      </c>
      <c r="H500" s="2">
        <v>89</v>
      </c>
      <c r="I500" s="3">
        <v>2595</v>
      </c>
      <c r="J500" s="4">
        <v>6.39</v>
      </c>
      <c r="K500" s="2">
        <v>100</v>
      </c>
      <c r="L500" s="2">
        <v>4</v>
      </c>
      <c r="M500" s="3">
        <v>9947</v>
      </c>
    </row>
    <row r="501" spans="1:13">
      <c r="A501" t="s">
        <v>569</v>
      </c>
      <c r="B501" t="s">
        <v>168</v>
      </c>
      <c r="C501" t="s">
        <v>45</v>
      </c>
      <c r="D501" t="s">
        <v>27</v>
      </c>
      <c r="E501" s="2">
        <v>47</v>
      </c>
      <c r="F501" t="s">
        <v>34</v>
      </c>
      <c r="G501" t="s">
        <v>18</v>
      </c>
      <c r="H501" s="2">
        <v>73</v>
      </c>
      <c r="I501" s="3">
        <v>8578</v>
      </c>
      <c r="J501" s="4">
        <v>20.23</v>
      </c>
      <c r="K501" s="2">
        <v>83</v>
      </c>
      <c r="L501" s="2">
        <v>3</v>
      </c>
      <c r="M501" s="3">
        <v>22896</v>
      </c>
    </row>
    <row r="502" spans="1:13">
      <c r="A502" t="s">
        <v>570</v>
      </c>
      <c r="B502" t="s">
        <v>84</v>
      </c>
      <c r="C502" t="s">
        <v>21</v>
      </c>
      <c r="D502" t="s">
        <v>16</v>
      </c>
      <c r="E502" s="2">
        <v>53</v>
      </c>
      <c r="F502" t="s">
        <v>22</v>
      </c>
      <c r="G502" t="s">
        <v>31</v>
      </c>
      <c r="H502" s="2">
        <v>74</v>
      </c>
      <c r="I502" s="3">
        <v>4191</v>
      </c>
      <c r="J502" s="4">
        <v>19.260000000000002</v>
      </c>
      <c r="K502" s="2">
        <v>98</v>
      </c>
      <c r="L502" s="2">
        <v>4</v>
      </c>
      <c r="M502" s="3">
        <v>22592</v>
      </c>
    </row>
    <row r="503" spans="1:13">
      <c r="A503" t="s">
        <v>571</v>
      </c>
      <c r="B503" t="s">
        <v>29</v>
      </c>
      <c r="C503" t="s">
        <v>30</v>
      </c>
      <c r="D503" t="s">
        <v>27</v>
      </c>
      <c r="E503" s="2">
        <v>69</v>
      </c>
      <c r="F503" t="s">
        <v>17</v>
      </c>
      <c r="G503" t="s">
        <v>31</v>
      </c>
      <c r="H503" s="2">
        <v>68</v>
      </c>
      <c r="I503" s="3">
        <v>2434</v>
      </c>
      <c r="J503" s="4">
        <v>24.99</v>
      </c>
      <c r="K503" s="2">
        <v>121</v>
      </c>
      <c r="L503" s="2">
        <v>4</v>
      </c>
      <c r="M503" s="3">
        <v>11239</v>
      </c>
    </row>
    <row r="504" spans="1:13">
      <c r="A504" t="s">
        <v>572</v>
      </c>
      <c r="B504" t="s">
        <v>109</v>
      </c>
      <c r="C504" t="s">
        <v>30</v>
      </c>
      <c r="D504" t="s">
        <v>27</v>
      </c>
      <c r="E504" s="2">
        <v>56</v>
      </c>
      <c r="F504" t="s">
        <v>22</v>
      </c>
      <c r="G504" t="s">
        <v>18</v>
      </c>
      <c r="H504" s="2">
        <v>76</v>
      </c>
      <c r="I504" s="3">
        <v>2598</v>
      </c>
      <c r="J504" s="4">
        <v>19.170000000000002</v>
      </c>
      <c r="K504" s="2">
        <v>84</v>
      </c>
      <c r="L504" s="2">
        <v>4</v>
      </c>
      <c r="M504" s="3">
        <v>13439</v>
      </c>
    </row>
    <row r="505" spans="1:13">
      <c r="A505" t="s">
        <v>573</v>
      </c>
      <c r="B505" t="s">
        <v>54</v>
      </c>
      <c r="C505" t="s">
        <v>15</v>
      </c>
      <c r="D505" t="s">
        <v>27</v>
      </c>
      <c r="E505" s="2">
        <v>14</v>
      </c>
      <c r="F505" t="s">
        <v>22</v>
      </c>
      <c r="G505" t="s">
        <v>70</v>
      </c>
      <c r="H505" s="2">
        <v>70</v>
      </c>
      <c r="I505" s="3">
        <v>6170</v>
      </c>
      <c r="J505" s="4">
        <v>16.940000000000001</v>
      </c>
      <c r="K505" s="2">
        <v>87</v>
      </c>
      <c r="L505" s="2">
        <v>3</v>
      </c>
      <c r="M505" s="3">
        <v>19408</v>
      </c>
    </row>
    <row r="506" spans="1:13">
      <c r="A506" t="s">
        <v>574</v>
      </c>
      <c r="B506" t="s">
        <v>38</v>
      </c>
      <c r="C506" t="s">
        <v>39</v>
      </c>
      <c r="D506" t="s">
        <v>16</v>
      </c>
      <c r="E506" s="2">
        <v>18</v>
      </c>
      <c r="F506" t="s">
        <v>22</v>
      </c>
      <c r="G506" t="s">
        <v>49</v>
      </c>
      <c r="H506" s="2">
        <v>73</v>
      </c>
      <c r="I506" s="3">
        <v>2923</v>
      </c>
      <c r="J506" s="4">
        <v>5.76</v>
      </c>
      <c r="K506" s="2">
        <v>34</v>
      </c>
      <c r="L506" s="2">
        <v>4</v>
      </c>
      <c r="M506" s="3">
        <v>11223</v>
      </c>
    </row>
    <row r="507" spans="1:13">
      <c r="A507" t="s">
        <v>575</v>
      </c>
      <c r="B507" t="s">
        <v>168</v>
      </c>
      <c r="C507" t="s">
        <v>45</v>
      </c>
      <c r="D507" t="s">
        <v>27</v>
      </c>
      <c r="E507" s="2">
        <v>41</v>
      </c>
      <c r="F507" t="s">
        <v>22</v>
      </c>
      <c r="G507" t="s">
        <v>49</v>
      </c>
      <c r="H507" s="2">
        <v>75</v>
      </c>
      <c r="I507" s="3">
        <v>7690</v>
      </c>
      <c r="J507" s="4">
        <v>17.04</v>
      </c>
      <c r="K507" s="2">
        <v>98</v>
      </c>
      <c r="L507" s="2">
        <v>3</v>
      </c>
      <c r="M507" s="3">
        <v>34459</v>
      </c>
    </row>
    <row r="508" spans="1:13">
      <c r="A508" t="s">
        <v>576</v>
      </c>
      <c r="B508" t="s">
        <v>25</v>
      </c>
      <c r="C508" t="s">
        <v>26</v>
      </c>
      <c r="D508" t="s">
        <v>27</v>
      </c>
      <c r="E508" s="2">
        <v>48</v>
      </c>
      <c r="F508" t="s">
        <v>22</v>
      </c>
      <c r="G508" t="s">
        <v>40</v>
      </c>
      <c r="H508" s="2">
        <v>85</v>
      </c>
      <c r="I508" s="3">
        <v>2587</v>
      </c>
      <c r="J508" s="4">
        <v>0</v>
      </c>
      <c r="K508" s="2">
        <v>65</v>
      </c>
      <c r="L508" s="2">
        <v>4</v>
      </c>
      <c r="M508" s="3">
        <v>15032</v>
      </c>
    </row>
    <row r="509" spans="1:13">
      <c r="A509" t="s">
        <v>577</v>
      </c>
      <c r="B509" t="s">
        <v>58</v>
      </c>
      <c r="C509" t="s">
        <v>48</v>
      </c>
      <c r="D509" t="s">
        <v>16</v>
      </c>
      <c r="E509" s="2">
        <v>35</v>
      </c>
      <c r="F509" t="s">
        <v>22</v>
      </c>
      <c r="G509" t="s">
        <v>31</v>
      </c>
      <c r="H509" s="2">
        <v>79</v>
      </c>
      <c r="I509" s="3">
        <v>4034</v>
      </c>
      <c r="J509" s="4">
        <v>12.48</v>
      </c>
      <c r="K509" s="2">
        <v>91</v>
      </c>
      <c r="L509" s="2">
        <v>4</v>
      </c>
      <c r="M509" s="3">
        <v>12097</v>
      </c>
    </row>
    <row r="510" spans="1:13">
      <c r="A510" t="s">
        <v>578</v>
      </c>
      <c r="B510" t="s">
        <v>33</v>
      </c>
      <c r="C510" t="s">
        <v>26</v>
      </c>
      <c r="D510" t="s">
        <v>27</v>
      </c>
      <c r="E510" s="2">
        <v>64</v>
      </c>
      <c r="F510" t="s">
        <v>17</v>
      </c>
      <c r="G510" t="s">
        <v>49</v>
      </c>
      <c r="H510" s="2">
        <v>88</v>
      </c>
      <c r="I510" s="3">
        <v>3076</v>
      </c>
      <c r="J510" s="4">
        <v>10.55</v>
      </c>
      <c r="K510" s="2">
        <v>5</v>
      </c>
      <c r="L510" s="2">
        <v>3</v>
      </c>
      <c r="M510" s="3">
        <v>12162</v>
      </c>
    </row>
    <row r="511" spans="1:13">
      <c r="A511" t="s">
        <v>579</v>
      </c>
      <c r="B511" t="s">
        <v>143</v>
      </c>
      <c r="C511" t="s">
        <v>21</v>
      </c>
      <c r="D511" t="s">
        <v>27</v>
      </c>
      <c r="E511" s="2">
        <v>47</v>
      </c>
      <c r="F511" t="s">
        <v>22</v>
      </c>
      <c r="G511" t="s">
        <v>40</v>
      </c>
      <c r="H511" s="2">
        <v>66</v>
      </c>
      <c r="I511" s="3">
        <v>5309</v>
      </c>
      <c r="J511" s="4">
        <v>19.54</v>
      </c>
      <c r="K511" s="2">
        <v>100</v>
      </c>
      <c r="L511" s="2">
        <v>3</v>
      </c>
      <c r="M511" s="3">
        <v>15074</v>
      </c>
    </row>
    <row r="512" spans="1:13">
      <c r="A512" t="s">
        <v>580</v>
      </c>
      <c r="B512" t="s">
        <v>25</v>
      </c>
      <c r="C512" t="s">
        <v>39</v>
      </c>
      <c r="D512" t="s">
        <v>16</v>
      </c>
      <c r="E512" s="2">
        <v>6</v>
      </c>
      <c r="F512" t="s">
        <v>17</v>
      </c>
      <c r="G512" t="s">
        <v>40</v>
      </c>
      <c r="H512" s="2">
        <v>85</v>
      </c>
      <c r="I512" s="3">
        <v>3306</v>
      </c>
      <c r="J512" s="4">
        <v>15.74</v>
      </c>
      <c r="K512" s="2">
        <v>49</v>
      </c>
      <c r="L512" s="2">
        <v>4</v>
      </c>
      <c r="M512" s="3">
        <v>9106</v>
      </c>
    </row>
    <row r="513" spans="1:13">
      <c r="A513" t="s">
        <v>581</v>
      </c>
      <c r="B513" t="s">
        <v>103</v>
      </c>
      <c r="C513" t="s">
        <v>26</v>
      </c>
      <c r="D513" t="s">
        <v>16</v>
      </c>
      <c r="E513" s="2">
        <v>27</v>
      </c>
      <c r="F513" t="s">
        <v>22</v>
      </c>
      <c r="G513" t="s">
        <v>18</v>
      </c>
      <c r="H513" s="2">
        <v>88</v>
      </c>
      <c r="I513" s="3">
        <v>2751</v>
      </c>
      <c r="J513" s="4">
        <v>3.61</v>
      </c>
      <c r="K513" s="2">
        <v>18</v>
      </c>
      <c r="L513" s="2">
        <v>5</v>
      </c>
      <c r="M513" s="3">
        <v>10722</v>
      </c>
    </row>
    <row r="514" spans="1:13">
      <c r="A514" t="s">
        <v>582</v>
      </c>
      <c r="B514" t="s">
        <v>58</v>
      </c>
      <c r="C514" t="s">
        <v>48</v>
      </c>
      <c r="D514" t="s">
        <v>16</v>
      </c>
      <c r="E514" s="2">
        <v>51</v>
      </c>
      <c r="F514" t="s">
        <v>22</v>
      </c>
      <c r="G514" t="s">
        <v>23</v>
      </c>
      <c r="H514" s="2">
        <v>87</v>
      </c>
      <c r="I514" s="3">
        <v>6600</v>
      </c>
      <c r="J514" s="4">
        <v>9.8699999999999992</v>
      </c>
      <c r="K514" s="2">
        <v>73</v>
      </c>
      <c r="L514" s="2">
        <v>4</v>
      </c>
      <c r="M514" s="3">
        <v>26202</v>
      </c>
    </row>
    <row r="515" spans="1:13">
      <c r="A515" t="s">
        <v>583</v>
      </c>
      <c r="B515" t="s">
        <v>88</v>
      </c>
      <c r="C515" t="s">
        <v>15</v>
      </c>
      <c r="D515" t="s">
        <v>27</v>
      </c>
      <c r="E515" s="2">
        <v>69</v>
      </c>
      <c r="F515" t="s">
        <v>22</v>
      </c>
      <c r="G515" t="s">
        <v>70</v>
      </c>
      <c r="H515" s="2">
        <v>76</v>
      </c>
      <c r="I515" s="3">
        <v>7475</v>
      </c>
      <c r="J515" s="4">
        <v>17.13</v>
      </c>
      <c r="K515" s="2">
        <v>90</v>
      </c>
      <c r="L515" s="2">
        <v>4</v>
      </c>
      <c r="M515" s="3">
        <v>22349</v>
      </c>
    </row>
    <row r="516" spans="1:13">
      <c r="A516" t="s">
        <v>584</v>
      </c>
      <c r="B516" t="s">
        <v>109</v>
      </c>
      <c r="C516" t="s">
        <v>30</v>
      </c>
      <c r="D516" t="s">
        <v>16</v>
      </c>
      <c r="E516" s="2">
        <v>70</v>
      </c>
      <c r="F516" t="s">
        <v>17</v>
      </c>
      <c r="G516" t="s">
        <v>70</v>
      </c>
      <c r="H516" s="2">
        <v>78</v>
      </c>
      <c r="I516" s="3">
        <v>3851</v>
      </c>
      <c r="J516" s="4">
        <v>8.0299999999999994</v>
      </c>
      <c r="K516" s="2">
        <v>65</v>
      </c>
      <c r="L516" s="2">
        <v>5</v>
      </c>
      <c r="M516" s="3">
        <v>11420</v>
      </c>
    </row>
    <row r="517" spans="1:13">
      <c r="A517" t="s">
        <v>585</v>
      </c>
      <c r="B517" t="s">
        <v>25</v>
      </c>
      <c r="C517" t="s">
        <v>26</v>
      </c>
      <c r="D517" t="s">
        <v>16</v>
      </c>
      <c r="E517" s="2">
        <v>72</v>
      </c>
      <c r="F517" t="s">
        <v>17</v>
      </c>
      <c r="G517" t="s">
        <v>49</v>
      </c>
      <c r="H517" s="2">
        <v>97</v>
      </c>
      <c r="I517" s="3">
        <v>1186</v>
      </c>
      <c r="J517" s="4">
        <v>2.91</v>
      </c>
      <c r="K517" s="2">
        <v>21</v>
      </c>
      <c r="L517" s="2">
        <v>4</v>
      </c>
      <c r="M517" s="3">
        <v>5354</v>
      </c>
    </row>
    <row r="518" spans="1:13">
      <c r="A518" t="s">
        <v>586</v>
      </c>
      <c r="B518" t="s">
        <v>97</v>
      </c>
      <c r="C518" t="s">
        <v>30</v>
      </c>
      <c r="D518" t="s">
        <v>27</v>
      </c>
      <c r="E518" s="2">
        <v>42</v>
      </c>
      <c r="F518" t="s">
        <v>22</v>
      </c>
      <c r="G518" t="s">
        <v>49</v>
      </c>
      <c r="H518" s="2">
        <v>76</v>
      </c>
      <c r="I518" s="3">
        <v>4967</v>
      </c>
      <c r="J518" s="4">
        <v>24.38</v>
      </c>
      <c r="K518" s="2">
        <v>85</v>
      </c>
      <c r="L518" s="2">
        <v>3</v>
      </c>
      <c r="M518" s="3">
        <v>12855</v>
      </c>
    </row>
    <row r="519" spans="1:13">
      <c r="A519" t="s">
        <v>587</v>
      </c>
      <c r="B519" t="s">
        <v>56</v>
      </c>
      <c r="C519" t="s">
        <v>45</v>
      </c>
      <c r="D519" t="s">
        <v>27</v>
      </c>
      <c r="E519" s="2">
        <v>69</v>
      </c>
      <c r="F519" t="s">
        <v>17</v>
      </c>
      <c r="G519" t="s">
        <v>31</v>
      </c>
      <c r="H519" s="2">
        <v>78</v>
      </c>
      <c r="I519" s="3">
        <v>6081</v>
      </c>
      <c r="J519" s="4">
        <v>18.73</v>
      </c>
      <c r="K519" s="2">
        <v>82</v>
      </c>
      <c r="L519" s="2">
        <v>5</v>
      </c>
      <c r="M519" s="3">
        <v>32149</v>
      </c>
    </row>
    <row r="520" spans="1:13">
      <c r="A520" t="s">
        <v>588</v>
      </c>
      <c r="B520" t="s">
        <v>47</v>
      </c>
      <c r="C520" t="s">
        <v>48</v>
      </c>
      <c r="D520" t="s">
        <v>16</v>
      </c>
      <c r="E520" s="2">
        <v>58</v>
      </c>
      <c r="F520" t="s">
        <v>17</v>
      </c>
      <c r="G520" t="s">
        <v>18</v>
      </c>
      <c r="H520" s="2">
        <v>73</v>
      </c>
      <c r="I520" s="3">
        <v>4666</v>
      </c>
      <c r="J520" s="4">
        <v>11.86</v>
      </c>
      <c r="K520" s="2">
        <v>104</v>
      </c>
      <c r="L520" s="2">
        <v>3</v>
      </c>
      <c r="M520" s="3">
        <v>21452</v>
      </c>
    </row>
    <row r="521" spans="1:13">
      <c r="A521" t="s">
        <v>589</v>
      </c>
      <c r="B521" t="s">
        <v>38</v>
      </c>
      <c r="C521" t="s">
        <v>39</v>
      </c>
      <c r="D521" t="s">
        <v>72</v>
      </c>
      <c r="E521" s="2">
        <v>18</v>
      </c>
      <c r="F521" t="s">
        <v>22</v>
      </c>
      <c r="G521" t="s">
        <v>18</v>
      </c>
      <c r="H521" s="2">
        <v>89</v>
      </c>
      <c r="I521" s="3">
        <v>2998</v>
      </c>
      <c r="J521" s="4">
        <v>7.09</v>
      </c>
      <c r="K521" s="2">
        <v>62</v>
      </c>
      <c r="L521" s="2">
        <v>4</v>
      </c>
      <c r="M521" s="3">
        <v>7746</v>
      </c>
    </row>
    <row r="522" spans="1:13">
      <c r="A522" t="s">
        <v>590</v>
      </c>
      <c r="B522" t="s">
        <v>25</v>
      </c>
      <c r="C522" t="s">
        <v>26</v>
      </c>
      <c r="D522" t="s">
        <v>27</v>
      </c>
      <c r="E522" s="2">
        <v>57</v>
      </c>
      <c r="F522" t="s">
        <v>22</v>
      </c>
      <c r="G522" t="s">
        <v>18</v>
      </c>
      <c r="H522" s="2">
        <v>90</v>
      </c>
      <c r="I522" s="3">
        <v>2443</v>
      </c>
      <c r="J522" s="4">
        <v>0</v>
      </c>
      <c r="K522" s="2">
        <v>47</v>
      </c>
      <c r="L522" s="2">
        <v>4</v>
      </c>
      <c r="M522" s="3">
        <v>10814</v>
      </c>
    </row>
    <row r="523" spans="1:13">
      <c r="A523" t="s">
        <v>591</v>
      </c>
      <c r="B523" t="s">
        <v>137</v>
      </c>
      <c r="C523" t="s">
        <v>26</v>
      </c>
      <c r="D523" t="s">
        <v>27</v>
      </c>
      <c r="E523" s="2">
        <v>56</v>
      </c>
      <c r="F523" t="s">
        <v>22</v>
      </c>
      <c r="G523" t="s">
        <v>18</v>
      </c>
      <c r="H523" s="2">
        <v>96</v>
      </c>
      <c r="I523" s="3">
        <v>2480</v>
      </c>
      <c r="J523" s="4">
        <v>5.2</v>
      </c>
      <c r="K523" s="2">
        <v>5</v>
      </c>
      <c r="L523" s="2">
        <v>5</v>
      </c>
      <c r="M523" s="3">
        <v>11381</v>
      </c>
    </row>
    <row r="524" spans="1:13">
      <c r="A524" t="s">
        <v>592</v>
      </c>
      <c r="B524" t="s">
        <v>78</v>
      </c>
      <c r="C524" t="s">
        <v>15</v>
      </c>
      <c r="D524" t="s">
        <v>16</v>
      </c>
      <c r="E524" s="2">
        <v>39</v>
      </c>
      <c r="F524" t="s">
        <v>34</v>
      </c>
      <c r="G524" t="s">
        <v>23</v>
      </c>
      <c r="H524" s="2">
        <v>66</v>
      </c>
      <c r="I524" s="3">
        <v>7449</v>
      </c>
      <c r="J524" s="4">
        <v>16.78</v>
      </c>
      <c r="K524" s="2">
        <v>111</v>
      </c>
      <c r="L524" s="2">
        <v>3</v>
      </c>
      <c r="M524" s="3">
        <v>25630</v>
      </c>
    </row>
    <row r="525" spans="1:13">
      <c r="A525" t="s">
        <v>593</v>
      </c>
      <c r="B525" t="s">
        <v>88</v>
      </c>
      <c r="C525" t="s">
        <v>15</v>
      </c>
      <c r="D525" t="s">
        <v>27</v>
      </c>
      <c r="E525" s="2">
        <v>32</v>
      </c>
      <c r="F525" t="s">
        <v>17</v>
      </c>
      <c r="G525" t="s">
        <v>40</v>
      </c>
      <c r="H525" s="2">
        <v>74</v>
      </c>
      <c r="I525" s="3">
        <v>7731</v>
      </c>
      <c r="J525" s="4">
        <v>8.66</v>
      </c>
      <c r="K525" s="2">
        <v>70</v>
      </c>
      <c r="L525" s="2">
        <v>4</v>
      </c>
      <c r="M525" s="3">
        <v>35979</v>
      </c>
    </row>
    <row r="526" spans="1:13">
      <c r="A526" t="s">
        <v>594</v>
      </c>
      <c r="B526" t="s">
        <v>25</v>
      </c>
      <c r="C526" t="s">
        <v>26</v>
      </c>
      <c r="D526" t="s">
        <v>27</v>
      </c>
      <c r="E526" s="2">
        <v>46</v>
      </c>
      <c r="F526" t="s">
        <v>34</v>
      </c>
      <c r="G526" t="s">
        <v>70</v>
      </c>
      <c r="H526" s="2">
        <v>98</v>
      </c>
      <c r="I526" s="3">
        <v>2152</v>
      </c>
      <c r="J526" s="4">
        <v>1.33</v>
      </c>
      <c r="K526" s="2">
        <v>19</v>
      </c>
      <c r="L526" s="2">
        <v>5</v>
      </c>
      <c r="M526" s="3">
        <v>5484</v>
      </c>
    </row>
    <row r="527" spans="1:13">
      <c r="A527" t="s">
        <v>595</v>
      </c>
      <c r="B527" t="s">
        <v>68</v>
      </c>
      <c r="C527" t="s">
        <v>45</v>
      </c>
      <c r="D527" t="s">
        <v>27</v>
      </c>
      <c r="E527" s="2">
        <v>71</v>
      </c>
      <c r="F527" t="s">
        <v>34</v>
      </c>
      <c r="G527" t="s">
        <v>70</v>
      </c>
      <c r="H527" s="2">
        <v>79</v>
      </c>
      <c r="I527" s="3">
        <v>8806</v>
      </c>
      <c r="J527" s="4">
        <v>21</v>
      </c>
      <c r="K527" s="2">
        <v>118</v>
      </c>
      <c r="L527" s="2">
        <v>4</v>
      </c>
      <c r="M527" s="3">
        <v>42944</v>
      </c>
    </row>
    <row r="528" spans="1:13">
      <c r="A528" t="s">
        <v>596</v>
      </c>
      <c r="B528" t="s">
        <v>84</v>
      </c>
      <c r="C528" t="s">
        <v>21</v>
      </c>
      <c r="D528" t="s">
        <v>16</v>
      </c>
      <c r="E528" s="2">
        <v>25</v>
      </c>
      <c r="F528" t="s">
        <v>17</v>
      </c>
      <c r="G528" t="s">
        <v>49</v>
      </c>
      <c r="H528" s="2">
        <v>70</v>
      </c>
      <c r="I528" s="3">
        <v>6936</v>
      </c>
      <c r="J528" s="4">
        <v>14.09</v>
      </c>
      <c r="K528" s="2">
        <v>110</v>
      </c>
      <c r="L528" s="2">
        <v>3</v>
      </c>
      <c r="M528" s="3">
        <v>20693</v>
      </c>
    </row>
    <row r="529" spans="1:13">
      <c r="A529" t="s">
        <v>597</v>
      </c>
      <c r="B529" t="s">
        <v>135</v>
      </c>
      <c r="C529" t="s">
        <v>48</v>
      </c>
      <c r="D529" t="s">
        <v>16</v>
      </c>
      <c r="E529" s="2">
        <v>45</v>
      </c>
      <c r="F529" t="s">
        <v>17</v>
      </c>
      <c r="G529" t="s">
        <v>40</v>
      </c>
      <c r="H529" s="2">
        <v>79</v>
      </c>
      <c r="I529" s="3">
        <v>4640</v>
      </c>
      <c r="J529" s="4">
        <v>15.04</v>
      </c>
      <c r="K529" s="2">
        <v>98</v>
      </c>
      <c r="L529" s="2">
        <v>4</v>
      </c>
      <c r="M529" s="3">
        <v>16676</v>
      </c>
    </row>
    <row r="530" spans="1:13">
      <c r="A530" t="s">
        <v>598</v>
      </c>
      <c r="B530" t="s">
        <v>36</v>
      </c>
      <c r="C530" t="s">
        <v>21</v>
      </c>
      <c r="D530" t="s">
        <v>16</v>
      </c>
      <c r="E530" s="2">
        <v>18</v>
      </c>
      <c r="F530" t="s">
        <v>22</v>
      </c>
      <c r="G530" t="s">
        <v>18</v>
      </c>
      <c r="H530" s="2">
        <v>76</v>
      </c>
      <c r="I530" s="3">
        <v>6544</v>
      </c>
      <c r="J530" s="4">
        <v>15.45</v>
      </c>
      <c r="K530" s="2">
        <v>81</v>
      </c>
      <c r="L530" s="2">
        <v>4</v>
      </c>
      <c r="M530" s="3">
        <v>34268</v>
      </c>
    </row>
    <row r="531" spans="1:13">
      <c r="A531" t="s">
        <v>599</v>
      </c>
      <c r="B531" t="s">
        <v>25</v>
      </c>
      <c r="C531" t="s">
        <v>26</v>
      </c>
      <c r="D531" t="s">
        <v>27</v>
      </c>
      <c r="E531" s="2">
        <v>60</v>
      </c>
      <c r="F531" t="s">
        <v>17</v>
      </c>
      <c r="G531" t="s">
        <v>23</v>
      </c>
      <c r="H531" s="2">
        <v>85</v>
      </c>
      <c r="I531" s="3">
        <v>2452</v>
      </c>
      <c r="J531" s="4">
        <v>6.67</v>
      </c>
      <c r="K531" s="2">
        <v>66</v>
      </c>
      <c r="L531" s="2">
        <v>4</v>
      </c>
      <c r="M531" s="3">
        <v>12388</v>
      </c>
    </row>
    <row r="532" spans="1:13">
      <c r="A532" t="s">
        <v>600</v>
      </c>
      <c r="B532" t="s">
        <v>122</v>
      </c>
      <c r="C532" t="s">
        <v>48</v>
      </c>
      <c r="D532" t="s">
        <v>27</v>
      </c>
      <c r="E532" s="2">
        <v>17</v>
      </c>
      <c r="F532" t="s">
        <v>34</v>
      </c>
      <c r="G532" t="s">
        <v>23</v>
      </c>
      <c r="H532" s="2">
        <v>88</v>
      </c>
      <c r="I532" s="3">
        <v>3626</v>
      </c>
      <c r="J532" s="4">
        <v>12.19</v>
      </c>
      <c r="K532" s="2">
        <v>82</v>
      </c>
      <c r="L532" s="2">
        <v>4</v>
      </c>
      <c r="M532" s="3">
        <v>18522</v>
      </c>
    </row>
    <row r="533" spans="1:13">
      <c r="A533" t="s">
        <v>601</v>
      </c>
      <c r="B533" t="s">
        <v>20</v>
      </c>
      <c r="C533" t="s">
        <v>21</v>
      </c>
      <c r="D533" t="s">
        <v>27</v>
      </c>
      <c r="E533" s="2">
        <v>34</v>
      </c>
      <c r="F533" t="s">
        <v>34</v>
      </c>
      <c r="G533" t="s">
        <v>49</v>
      </c>
      <c r="H533" s="2">
        <v>82</v>
      </c>
      <c r="I533" s="3">
        <v>5416</v>
      </c>
      <c r="J533" s="4">
        <v>12.45</v>
      </c>
      <c r="K533" s="2">
        <v>61</v>
      </c>
      <c r="L533" s="2">
        <v>4</v>
      </c>
      <c r="M533" s="3">
        <v>20558</v>
      </c>
    </row>
    <row r="534" spans="1:13">
      <c r="A534" t="s">
        <v>602</v>
      </c>
      <c r="B534" t="s">
        <v>25</v>
      </c>
      <c r="C534" t="s">
        <v>26</v>
      </c>
      <c r="D534" t="s">
        <v>27</v>
      </c>
      <c r="E534" s="2">
        <v>53</v>
      </c>
      <c r="F534" t="s">
        <v>34</v>
      </c>
      <c r="G534" t="s">
        <v>49</v>
      </c>
      <c r="H534" s="2">
        <v>85</v>
      </c>
      <c r="I534" s="3">
        <v>2330</v>
      </c>
      <c r="J534" s="4">
        <v>6.48</v>
      </c>
      <c r="K534" s="2">
        <v>50</v>
      </c>
      <c r="L534" s="2">
        <v>4</v>
      </c>
      <c r="M534" s="3">
        <v>8591</v>
      </c>
    </row>
    <row r="535" spans="1:13">
      <c r="A535" t="s">
        <v>603</v>
      </c>
      <c r="B535" t="s">
        <v>78</v>
      </c>
      <c r="C535" t="s">
        <v>15</v>
      </c>
      <c r="D535" t="s">
        <v>16</v>
      </c>
      <c r="E535" s="2">
        <v>44</v>
      </c>
      <c r="F535" t="s">
        <v>34</v>
      </c>
      <c r="G535" t="s">
        <v>70</v>
      </c>
      <c r="H535" s="2">
        <v>84</v>
      </c>
      <c r="I535" s="3">
        <v>6591</v>
      </c>
      <c r="J535" s="4">
        <v>14.18</v>
      </c>
      <c r="K535" s="2">
        <v>70</v>
      </c>
      <c r="L535" s="2">
        <v>4</v>
      </c>
      <c r="M535" s="3">
        <v>36673</v>
      </c>
    </row>
    <row r="536" spans="1:13">
      <c r="A536" t="s">
        <v>604</v>
      </c>
      <c r="B536" t="s">
        <v>64</v>
      </c>
      <c r="C536" t="s">
        <v>30</v>
      </c>
      <c r="D536" t="s">
        <v>27</v>
      </c>
      <c r="E536" s="2">
        <v>60</v>
      </c>
      <c r="F536" t="s">
        <v>17</v>
      </c>
      <c r="G536" t="s">
        <v>31</v>
      </c>
      <c r="H536" s="2">
        <v>74</v>
      </c>
      <c r="I536" s="3">
        <v>3785</v>
      </c>
      <c r="J536" s="4">
        <v>20.2</v>
      </c>
      <c r="K536" s="2">
        <v>101</v>
      </c>
      <c r="L536" s="2">
        <v>3</v>
      </c>
      <c r="M536" s="3">
        <v>21981</v>
      </c>
    </row>
    <row r="537" spans="1:13">
      <c r="A537" t="s">
        <v>605</v>
      </c>
      <c r="B537" t="s">
        <v>95</v>
      </c>
      <c r="C537" t="s">
        <v>52</v>
      </c>
      <c r="D537" t="s">
        <v>16</v>
      </c>
      <c r="E537" s="2">
        <v>22</v>
      </c>
      <c r="F537" t="s">
        <v>22</v>
      </c>
      <c r="G537" t="s">
        <v>70</v>
      </c>
      <c r="H537" s="2">
        <v>70</v>
      </c>
      <c r="I537" s="3">
        <v>11553</v>
      </c>
      <c r="J537" s="4">
        <v>14.04</v>
      </c>
      <c r="K537" s="2">
        <v>104</v>
      </c>
      <c r="L537" s="2">
        <v>4</v>
      </c>
      <c r="M537" s="3">
        <v>41500</v>
      </c>
    </row>
    <row r="538" spans="1:13">
      <c r="A538" t="s">
        <v>606</v>
      </c>
      <c r="B538" t="s">
        <v>143</v>
      </c>
      <c r="C538" t="s">
        <v>21</v>
      </c>
      <c r="D538" t="s">
        <v>27</v>
      </c>
      <c r="E538" s="2">
        <v>52</v>
      </c>
      <c r="F538" t="s">
        <v>34</v>
      </c>
      <c r="G538" t="s">
        <v>70</v>
      </c>
      <c r="H538" s="2">
        <v>82</v>
      </c>
      <c r="I538" s="3">
        <v>8050</v>
      </c>
      <c r="J538" s="4">
        <v>9.9700000000000006</v>
      </c>
      <c r="K538" s="2">
        <v>96</v>
      </c>
      <c r="L538" s="2">
        <v>4</v>
      </c>
      <c r="M538" s="3">
        <v>46771</v>
      </c>
    </row>
    <row r="539" spans="1:13">
      <c r="A539" t="s">
        <v>607</v>
      </c>
      <c r="B539" t="s">
        <v>20</v>
      </c>
      <c r="C539" t="s">
        <v>21</v>
      </c>
      <c r="D539" t="s">
        <v>27</v>
      </c>
      <c r="E539" s="2">
        <v>61</v>
      </c>
      <c r="F539" t="s">
        <v>34</v>
      </c>
      <c r="G539" t="s">
        <v>70</v>
      </c>
      <c r="H539" s="2">
        <v>83</v>
      </c>
      <c r="I539" s="3">
        <v>7022</v>
      </c>
      <c r="J539" s="4">
        <v>12.11</v>
      </c>
      <c r="K539" s="2">
        <v>81</v>
      </c>
      <c r="L539" s="2">
        <v>5</v>
      </c>
      <c r="M539" s="3">
        <v>23756</v>
      </c>
    </row>
    <row r="540" spans="1:13">
      <c r="A540" t="s">
        <v>608</v>
      </c>
      <c r="B540" t="s">
        <v>122</v>
      </c>
      <c r="C540" t="s">
        <v>48</v>
      </c>
      <c r="D540" t="s">
        <v>16</v>
      </c>
      <c r="E540" s="2">
        <v>43</v>
      </c>
      <c r="F540" t="s">
        <v>34</v>
      </c>
      <c r="G540" t="s">
        <v>40</v>
      </c>
      <c r="H540" s="2">
        <v>86</v>
      </c>
      <c r="I540" s="3">
        <v>6087</v>
      </c>
      <c r="J540" s="4">
        <v>11.4</v>
      </c>
      <c r="K540" s="2">
        <v>76</v>
      </c>
      <c r="L540" s="2">
        <v>4</v>
      </c>
      <c r="M540" s="3">
        <v>23385</v>
      </c>
    </row>
    <row r="541" spans="1:13">
      <c r="A541" t="s">
        <v>609</v>
      </c>
      <c r="B541" t="s">
        <v>185</v>
      </c>
      <c r="C541" t="s">
        <v>52</v>
      </c>
      <c r="D541" t="s">
        <v>16</v>
      </c>
      <c r="E541" s="2">
        <v>51</v>
      </c>
      <c r="F541" t="s">
        <v>17</v>
      </c>
      <c r="G541" t="s">
        <v>70</v>
      </c>
      <c r="H541" s="2">
        <v>79</v>
      </c>
      <c r="I541" s="3">
        <v>5848</v>
      </c>
      <c r="J541" s="4">
        <v>14.85</v>
      </c>
      <c r="K541" s="2">
        <v>73</v>
      </c>
      <c r="L541" s="2">
        <v>5</v>
      </c>
      <c r="M541" s="3">
        <v>26989</v>
      </c>
    </row>
    <row r="542" spans="1:13">
      <c r="A542" t="s">
        <v>610</v>
      </c>
      <c r="B542" t="s">
        <v>54</v>
      </c>
      <c r="C542" t="s">
        <v>15</v>
      </c>
      <c r="D542" t="s">
        <v>27</v>
      </c>
      <c r="E542" s="2">
        <v>70</v>
      </c>
      <c r="F542" t="s">
        <v>34</v>
      </c>
      <c r="G542" t="s">
        <v>40</v>
      </c>
      <c r="H542" s="2">
        <v>81</v>
      </c>
      <c r="I542" s="3">
        <v>7746</v>
      </c>
      <c r="J542" s="4">
        <v>19.36</v>
      </c>
      <c r="K542" s="2">
        <v>81</v>
      </c>
      <c r="L542" s="2">
        <v>4</v>
      </c>
      <c r="M542" s="3">
        <v>29205</v>
      </c>
    </row>
    <row r="543" spans="1:13">
      <c r="A543" t="s">
        <v>611</v>
      </c>
      <c r="B543" t="s">
        <v>25</v>
      </c>
      <c r="C543" t="s">
        <v>26</v>
      </c>
      <c r="D543" t="s">
        <v>27</v>
      </c>
      <c r="E543" s="2">
        <v>52</v>
      </c>
      <c r="F543" t="s">
        <v>34</v>
      </c>
      <c r="G543" t="s">
        <v>31</v>
      </c>
      <c r="H543" s="2">
        <v>88</v>
      </c>
      <c r="I543" s="3">
        <v>2389</v>
      </c>
      <c r="J543" s="4">
        <v>1.29</v>
      </c>
      <c r="K543" s="2">
        <v>57</v>
      </c>
      <c r="L543" s="2">
        <v>4</v>
      </c>
      <c r="M543" s="3">
        <v>11251</v>
      </c>
    </row>
    <row r="544" spans="1:13">
      <c r="A544" t="s">
        <v>612</v>
      </c>
      <c r="B544" t="s">
        <v>129</v>
      </c>
      <c r="C544" t="s">
        <v>21</v>
      </c>
      <c r="D544" t="s">
        <v>27</v>
      </c>
      <c r="E544" s="2">
        <v>26</v>
      </c>
      <c r="F544" t="s">
        <v>22</v>
      </c>
      <c r="G544" t="s">
        <v>18</v>
      </c>
      <c r="H544" s="2">
        <v>75</v>
      </c>
      <c r="I544" s="3">
        <v>6317</v>
      </c>
      <c r="J544" s="4">
        <v>16.23</v>
      </c>
      <c r="K544" s="2">
        <v>73</v>
      </c>
      <c r="L544" s="2">
        <v>4</v>
      </c>
      <c r="M544" s="3">
        <v>18871</v>
      </c>
    </row>
    <row r="545" spans="1:13">
      <c r="A545" t="s">
        <v>613</v>
      </c>
      <c r="B545" t="s">
        <v>56</v>
      </c>
      <c r="C545" t="s">
        <v>45</v>
      </c>
      <c r="D545" t="s">
        <v>27</v>
      </c>
      <c r="E545" s="2">
        <v>45</v>
      </c>
      <c r="F545" t="s">
        <v>34</v>
      </c>
      <c r="G545" t="s">
        <v>40</v>
      </c>
      <c r="H545" s="2">
        <v>68</v>
      </c>
      <c r="I545" s="3">
        <v>8890</v>
      </c>
      <c r="J545" s="4">
        <v>17.89</v>
      </c>
      <c r="K545" s="2">
        <v>89</v>
      </c>
      <c r="L545" s="2">
        <v>3</v>
      </c>
      <c r="M545" s="3">
        <v>38421</v>
      </c>
    </row>
    <row r="546" spans="1:13">
      <c r="A546" t="s">
        <v>614</v>
      </c>
      <c r="B546" t="s">
        <v>122</v>
      </c>
      <c r="C546" t="s">
        <v>48</v>
      </c>
      <c r="D546" t="s">
        <v>72</v>
      </c>
      <c r="E546" s="2">
        <v>65</v>
      </c>
      <c r="F546" t="s">
        <v>17</v>
      </c>
      <c r="G546" t="s">
        <v>40</v>
      </c>
      <c r="H546" s="2">
        <v>75</v>
      </c>
      <c r="I546" s="3">
        <v>9891</v>
      </c>
      <c r="J546" s="4">
        <v>21.23</v>
      </c>
      <c r="K546" s="2">
        <v>71</v>
      </c>
      <c r="L546" s="2">
        <v>4</v>
      </c>
      <c r="M546" s="3">
        <v>47684</v>
      </c>
    </row>
    <row r="547" spans="1:13">
      <c r="A547" t="s">
        <v>615</v>
      </c>
      <c r="B547" t="s">
        <v>25</v>
      </c>
      <c r="C547" t="s">
        <v>26</v>
      </c>
      <c r="D547" t="s">
        <v>16</v>
      </c>
      <c r="E547" s="2">
        <v>13</v>
      </c>
      <c r="F547" t="s">
        <v>34</v>
      </c>
      <c r="G547" t="s">
        <v>40</v>
      </c>
      <c r="H547" s="2">
        <v>86</v>
      </c>
      <c r="I547" s="3">
        <v>3199</v>
      </c>
      <c r="J547" s="4">
        <v>3.47</v>
      </c>
      <c r="K547" s="2">
        <v>79</v>
      </c>
      <c r="L547" s="2">
        <v>4</v>
      </c>
      <c r="M547" s="3">
        <v>15261</v>
      </c>
    </row>
    <row r="548" spans="1:13">
      <c r="A548" t="s">
        <v>616</v>
      </c>
      <c r="B548" t="s">
        <v>78</v>
      </c>
      <c r="C548" t="s">
        <v>15</v>
      </c>
      <c r="D548" t="s">
        <v>27</v>
      </c>
      <c r="E548" s="2">
        <v>21</v>
      </c>
      <c r="F548" t="s">
        <v>22</v>
      </c>
      <c r="G548" t="s">
        <v>18</v>
      </c>
      <c r="H548" s="2">
        <v>74</v>
      </c>
      <c r="I548" s="3">
        <v>8201</v>
      </c>
      <c r="J548" s="4">
        <v>12.69</v>
      </c>
      <c r="K548" s="2">
        <v>38</v>
      </c>
      <c r="L548" s="2">
        <v>4</v>
      </c>
      <c r="M548" s="3">
        <v>37611</v>
      </c>
    </row>
    <row r="549" spans="1:13">
      <c r="A549" t="s">
        <v>617</v>
      </c>
      <c r="B549" t="s">
        <v>187</v>
      </c>
      <c r="C549" t="s">
        <v>30</v>
      </c>
      <c r="D549" t="s">
        <v>16</v>
      </c>
      <c r="E549" s="2">
        <v>44</v>
      </c>
      <c r="F549" t="s">
        <v>17</v>
      </c>
      <c r="G549" t="s">
        <v>70</v>
      </c>
      <c r="H549" s="2">
        <v>64</v>
      </c>
      <c r="I549" s="3">
        <v>3340</v>
      </c>
      <c r="J549" s="4">
        <v>20.48</v>
      </c>
      <c r="K549" s="2">
        <v>110</v>
      </c>
      <c r="L549" s="2">
        <v>3</v>
      </c>
      <c r="M549" s="3">
        <v>8352</v>
      </c>
    </row>
    <row r="550" spans="1:13">
      <c r="A550" t="s">
        <v>618</v>
      </c>
      <c r="B550" t="s">
        <v>58</v>
      </c>
      <c r="C550" t="s">
        <v>48</v>
      </c>
      <c r="D550" t="s">
        <v>16</v>
      </c>
      <c r="E550" s="2">
        <v>30</v>
      </c>
      <c r="F550" t="s">
        <v>34</v>
      </c>
      <c r="G550" t="s">
        <v>31</v>
      </c>
      <c r="H550" s="2">
        <v>73</v>
      </c>
      <c r="I550" s="3">
        <v>6386</v>
      </c>
      <c r="J550" s="4">
        <v>12.67</v>
      </c>
      <c r="K550" s="2">
        <v>85</v>
      </c>
      <c r="L550" s="2">
        <v>4</v>
      </c>
      <c r="M550" s="3">
        <v>27417</v>
      </c>
    </row>
    <row r="551" spans="1:13">
      <c r="A551" t="s">
        <v>619</v>
      </c>
      <c r="B551" t="s">
        <v>68</v>
      </c>
      <c r="C551" t="s">
        <v>45</v>
      </c>
      <c r="D551" t="s">
        <v>16</v>
      </c>
      <c r="E551" s="2">
        <v>20</v>
      </c>
      <c r="F551" t="s">
        <v>17</v>
      </c>
      <c r="G551" t="s">
        <v>40</v>
      </c>
      <c r="H551" s="2">
        <v>76</v>
      </c>
      <c r="I551" s="3">
        <v>11620</v>
      </c>
      <c r="J551" s="4">
        <v>20.23</v>
      </c>
      <c r="K551" s="2">
        <v>65</v>
      </c>
      <c r="L551" s="2">
        <v>4</v>
      </c>
      <c r="M551" s="3">
        <v>61683</v>
      </c>
    </row>
    <row r="552" spans="1:13">
      <c r="A552" t="s">
        <v>620</v>
      </c>
      <c r="B552" t="s">
        <v>36</v>
      </c>
      <c r="C552" t="s">
        <v>21</v>
      </c>
      <c r="D552" t="s">
        <v>16</v>
      </c>
      <c r="E552" s="2">
        <v>31</v>
      </c>
      <c r="F552" t="s">
        <v>17</v>
      </c>
      <c r="G552" t="s">
        <v>70</v>
      </c>
      <c r="H552" s="2">
        <v>79</v>
      </c>
      <c r="I552" s="3">
        <v>6634</v>
      </c>
      <c r="J552" s="4">
        <v>23.17</v>
      </c>
      <c r="K552" s="2">
        <v>50</v>
      </c>
      <c r="L552" s="2">
        <v>4</v>
      </c>
      <c r="M552" s="3">
        <v>27805</v>
      </c>
    </row>
    <row r="553" spans="1:13">
      <c r="A553" t="s">
        <v>621</v>
      </c>
      <c r="B553" t="s">
        <v>44</v>
      </c>
      <c r="C553" t="s">
        <v>45</v>
      </c>
      <c r="D553" t="s">
        <v>27</v>
      </c>
      <c r="E553" s="2">
        <v>49</v>
      </c>
      <c r="F553" t="s">
        <v>22</v>
      </c>
      <c r="G553" t="s">
        <v>31</v>
      </c>
      <c r="H553" s="2">
        <v>73</v>
      </c>
      <c r="I553" s="3">
        <v>9519</v>
      </c>
      <c r="J553" s="4">
        <v>14.75</v>
      </c>
      <c r="K553" s="2">
        <v>62</v>
      </c>
      <c r="L553" s="2">
        <v>3</v>
      </c>
      <c r="M553" s="3">
        <v>51079</v>
      </c>
    </row>
    <row r="554" spans="1:13">
      <c r="A554" t="s">
        <v>622</v>
      </c>
      <c r="B554" t="s">
        <v>137</v>
      </c>
      <c r="C554" t="s">
        <v>26</v>
      </c>
      <c r="D554" t="s">
        <v>27</v>
      </c>
      <c r="E554" s="2">
        <v>65</v>
      </c>
      <c r="F554" t="s">
        <v>34</v>
      </c>
      <c r="G554" t="s">
        <v>31</v>
      </c>
      <c r="H554" s="2">
        <v>81</v>
      </c>
      <c r="I554" s="3">
        <v>2108</v>
      </c>
      <c r="J554" s="4">
        <v>1.96</v>
      </c>
      <c r="K554" s="2">
        <v>35</v>
      </c>
      <c r="L554" s="2">
        <v>4</v>
      </c>
      <c r="M554" s="3">
        <v>8349</v>
      </c>
    </row>
    <row r="555" spans="1:13">
      <c r="A555" t="s">
        <v>623</v>
      </c>
      <c r="B555" t="s">
        <v>14</v>
      </c>
      <c r="C555" t="s">
        <v>15</v>
      </c>
      <c r="D555" t="s">
        <v>16</v>
      </c>
      <c r="E555" s="2">
        <v>63</v>
      </c>
      <c r="F555" t="s">
        <v>22</v>
      </c>
      <c r="G555" t="s">
        <v>31</v>
      </c>
      <c r="H555" s="2">
        <v>72</v>
      </c>
      <c r="I555" s="3">
        <v>6977</v>
      </c>
      <c r="J555" s="4">
        <v>19.66</v>
      </c>
      <c r="K555" s="2">
        <v>78</v>
      </c>
      <c r="L555" s="2">
        <v>3</v>
      </c>
      <c r="M555" s="3">
        <v>40724</v>
      </c>
    </row>
    <row r="556" spans="1:13">
      <c r="A556" t="s">
        <v>624</v>
      </c>
      <c r="B556" t="s">
        <v>66</v>
      </c>
      <c r="C556" t="s">
        <v>39</v>
      </c>
      <c r="D556" t="s">
        <v>16</v>
      </c>
      <c r="E556" s="2">
        <v>13</v>
      </c>
      <c r="F556" t="s">
        <v>17</v>
      </c>
      <c r="G556" t="s">
        <v>49</v>
      </c>
      <c r="H556" s="2">
        <v>89</v>
      </c>
      <c r="I556" s="3">
        <v>2374</v>
      </c>
      <c r="J556" s="4">
        <v>3.31</v>
      </c>
      <c r="K556" s="2">
        <v>53</v>
      </c>
      <c r="L556" s="2">
        <v>4</v>
      </c>
      <c r="M556" s="3">
        <v>6952</v>
      </c>
    </row>
    <row r="557" spans="1:13">
      <c r="A557" t="s">
        <v>625</v>
      </c>
      <c r="B557" t="s">
        <v>25</v>
      </c>
      <c r="C557" t="s">
        <v>26</v>
      </c>
      <c r="D557" t="s">
        <v>72</v>
      </c>
      <c r="E557" s="2">
        <v>27</v>
      </c>
      <c r="F557" t="s">
        <v>34</v>
      </c>
      <c r="G557" t="s">
        <v>23</v>
      </c>
      <c r="H557" s="2">
        <v>83</v>
      </c>
      <c r="I557" s="3">
        <v>2742</v>
      </c>
      <c r="J557" s="4">
        <v>3.13</v>
      </c>
      <c r="K557" s="2">
        <v>51</v>
      </c>
      <c r="L557" s="2">
        <v>4</v>
      </c>
      <c r="M557" s="3">
        <v>16024</v>
      </c>
    </row>
    <row r="558" spans="1:13">
      <c r="A558" t="s">
        <v>626</v>
      </c>
      <c r="B558" t="s">
        <v>109</v>
      </c>
      <c r="C558" t="s">
        <v>30</v>
      </c>
      <c r="D558" t="s">
        <v>27</v>
      </c>
      <c r="E558" s="2">
        <v>56</v>
      </c>
      <c r="F558" t="s">
        <v>22</v>
      </c>
      <c r="G558" t="s">
        <v>31</v>
      </c>
      <c r="H558" s="2">
        <v>74</v>
      </c>
      <c r="I558" s="3">
        <v>3680</v>
      </c>
      <c r="J558" s="4">
        <v>17.04</v>
      </c>
      <c r="K558" s="2">
        <v>101</v>
      </c>
      <c r="L558" s="2">
        <v>4</v>
      </c>
      <c r="M558" s="3">
        <v>19110</v>
      </c>
    </row>
    <row r="559" spans="1:13">
      <c r="A559" t="s">
        <v>627</v>
      </c>
      <c r="B559" t="s">
        <v>185</v>
      </c>
      <c r="C559" t="s">
        <v>52</v>
      </c>
      <c r="D559" t="s">
        <v>27</v>
      </c>
      <c r="E559" s="2">
        <v>32</v>
      </c>
      <c r="F559" t="s">
        <v>34</v>
      </c>
      <c r="G559" t="s">
        <v>31</v>
      </c>
      <c r="H559" s="2">
        <v>88</v>
      </c>
      <c r="I559" s="3">
        <v>6636</v>
      </c>
      <c r="J559" s="4">
        <v>8.15</v>
      </c>
      <c r="K559" s="2">
        <v>62</v>
      </c>
      <c r="L559" s="2">
        <v>4</v>
      </c>
      <c r="M559" s="3">
        <v>20303</v>
      </c>
    </row>
    <row r="560" spans="1:13">
      <c r="A560" t="s">
        <v>628</v>
      </c>
      <c r="B560" t="s">
        <v>129</v>
      </c>
      <c r="C560" t="s">
        <v>21</v>
      </c>
      <c r="D560" t="s">
        <v>72</v>
      </c>
      <c r="E560" s="2">
        <v>27</v>
      </c>
      <c r="F560" t="s">
        <v>34</v>
      </c>
      <c r="G560" t="s">
        <v>23</v>
      </c>
      <c r="H560" s="2">
        <v>82</v>
      </c>
      <c r="I560" s="3">
        <v>6545</v>
      </c>
      <c r="J560" s="4">
        <v>7.13</v>
      </c>
      <c r="K560" s="2">
        <v>100</v>
      </c>
      <c r="L560" s="2">
        <v>4</v>
      </c>
      <c r="M560" s="3">
        <v>31150</v>
      </c>
    </row>
    <row r="561" spans="1:13">
      <c r="A561" t="s">
        <v>629</v>
      </c>
      <c r="B561" t="s">
        <v>122</v>
      </c>
      <c r="C561" t="s">
        <v>48</v>
      </c>
      <c r="D561" t="s">
        <v>16</v>
      </c>
      <c r="E561" s="2">
        <v>48</v>
      </c>
      <c r="F561" t="s">
        <v>17</v>
      </c>
      <c r="G561" t="s">
        <v>23</v>
      </c>
      <c r="H561" s="2">
        <v>82</v>
      </c>
      <c r="I561" s="3">
        <v>5735</v>
      </c>
      <c r="J561" s="4">
        <v>9.0299999999999994</v>
      </c>
      <c r="K561" s="2">
        <v>51</v>
      </c>
      <c r="L561" s="2">
        <v>4</v>
      </c>
      <c r="M561" s="3">
        <v>19837</v>
      </c>
    </row>
    <row r="562" spans="1:13">
      <c r="A562" t="s">
        <v>630</v>
      </c>
      <c r="B562" t="s">
        <v>129</v>
      </c>
      <c r="C562" t="s">
        <v>21</v>
      </c>
      <c r="D562" t="s">
        <v>27</v>
      </c>
      <c r="E562" s="2">
        <v>37</v>
      </c>
      <c r="F562" t="s">
        <v>34</v>
      </c>
      <c r="G562" t="s">
        <v>18</v>
      </c>
      <c r="H562" s="2">
        <v>77</v>
      </c>
      <c r="I562" s="3">
        <v>5983</v>
      </c>
      <c r="J562" s="4">
        <v>10.26</v>
      </c>
      <c r="K562" s="2">
        <v>87</v>
      </c>
      <c r="L562" s="2">
        <v>4</v>
      </c>
      <c r="M562" s="3">
        <v>35505</v>
      </c>
    </row>
    <row r="563" spans="1:13">
      <c r="A563" t="s">
        <v>631</v>
      </c>
      <c r="B563" t="s">
        <v>56</v>
      </c>
      <c r="C563" t="s">
        <v>45</v>
      </c>
      <c r="D563" t="s">
        <v>27</v>
      </c>
      <c r="E563" s="2">
        <v>71</v>
      </c>
      <c r="F563" t="s">
        <v>34</v>
      </c>
      <c r="G563" t="s">
        <v>31</v>
      </c>
      <c r="H563" s="2">
        <v>77</v>
      </c>
      <c r="I563" s="3">
        <v>11154</v>
      </c>
      <c r="J563" s="4">
        <v>11.1</v>
      </c>
      <c r="K563" s="2">
        <v>83</v>
      </c>
      <c r="L563" s="2">
        <v>4</v>
      </c>
      <c r="M563" s="3">
        <v>64506</v>
      </c>
    </row>
    <row r="564" spans="1:13">
      <c r="A564" t="s">
        <v>632</v>
      </c>
      <c r="B564" t="s">
        <v>56</v>
      </c>
      <c r="C564" t="s">
        <v>45</v>
      </c>
      <c r="D564" t="s">
        <v>27</v>
      </c>
      <c r="E564" s="2">
        <v>68</v>
      </c>
      <c r="F564" t="s">
        <v>17</v>
      </c>
      <c r="G564" t="s">
        <v>31</v>
      </c>
      <c r="H564" s="2">
        <v>80</v>
      </c>
      <c r="I564" s="3">
        <v>8635</v>
      </c>
      <c r="J564" s="4">
        <v>14.89</v>
      </c>
      <c r="K564" s="2">
        <v>104</v>
      </c>
      <c r="L564" s="2">
        <v>3</v>
      </c>
      <c r="M564" s="3">
        <v>32345</v>
      </c>
    </row>
    <row r="565" spans="1:13">
      <c r="A565" t="s">
        <v>633</v>
      </c>
      <c r="B565" t="s">
        <v>14</v>
      </c>
      <c r="C565" t="s">
        <v>15</v>
      </c>
      <c r="D565" t="s">
        <v>16</v>
      </c>
      <c r="E565" s="2">
        <v>50</v>
      </c>
      <c r="F565" t="s">
        <v>22</v>
      </c>
      <c r="G565" t="s">
        <v>23</v>
      </c>
      <c r="H565" s="2">
        <v>75</v>
      </c>
      <c r="I565" s="3">
        <v>6379</v>
      </c>
      <c r="J565" s="4">
        <v>20.73</v>
      </c>
      <c r="K565" s="2">
        <v>63</v>
      </c>
      <c r="L565" s="2">
        <v>4</v>
      </c>
      <c r="M565" s="3">
        <v>21249</v>
      </c>
    </row>
    <row r="566" spans="1:13">
      <c r="A566" t="s">
        <v>634</v>
      </c>
      <c r="B566" t="s">
        <v>143</v>
      </c>
      <c r="C566" t="s">
        <v>21</v>
      </c>
      <c r="D566" t="s">
        <v>16</v>
      </c>
      <c r="E566" s="2">
        <v>64</v>
      </c>
      <c r="F566" t="s">
        <v>22</v>
      </c>
      <c r="G566" t="s">
        <v>18</v>
      </c>
      <c r="H566" s="2">
        <v>84</v>
      </c>
      <c r="I566" s="3">
        <v>8591</v>
      </c>
      <c r="J566" s="4">
        <v>18.309999999999999</v>
      </c>
      <c r="K566" s="2">
        <v>62</v>
      </c>
      <c r="L566" s="2">
        <v>4</v>
      </c>
      <c r="M566" s="3">
        <v>27614</v>
      </c>
    </row>
    <row r="567" spans="1:13">
      <c r="A567" t="s">
        <v>635</v>
      </c>
      <c r="B567" t="s">
        <v>42</v>
      </c>
      <c r="C567" t="s">
        <v>39</v>
      </c>
      <c r="D567" t="s">
        <v>27</v>
      </c>
      <c r="E567" s="2">
        <v>12</v>
      </c>
      <c r="F567" t="s">
        <v>34</v>
      </c>
      <c r="G567" t="s">
        <v>18</v>
      </c>
      <c r="H567" s="2">
        <v>77</v>
      </c>
      <c r="I567" s="3">
        <v>2803</v>
      </c>
      <c r="J567" s="4">
        <v>11.2</v>
      </c>
      <c r="K567" s="2">
        <v>57</v>
      </c>
      <c r="L567" s="2">
        <v>4</v>
      </c>
      <c r="M567" s="3">
        <v>7554</v>
      </c>
    </row>
    <row r="568" spans="1:13">
      <c r="A568" t="s">
        <v>636</v>
      </c>
      <c r="B568" t="s">
        <v>33</v>
      </c>
      <c r="C568" t="s">
        <v>26</v>
      </c>
      <c r="D568" t="s">
        <v>27</v>
      </c>
      <c r="E568" s="2">
        <v>17</v>
      </c>
      <c r="F568" t="s">
        <v>22</v>
      </c>
      <c r="G568" t="s">
        <v>70</v>
      </c>
      <c r="H568" s="2">
        <v>84</v>
      </c>
      <c r="I568" s="3">
        <v>2138</v>
      </c>
      <c r="J568" s="4">
        <v>4.22</v>
      </c>
      <c r="K568" s="2">
        <v>56</v>
      </c>
      <c r="L568" s="2">
        <v>4</v>
      </c>
      <c r="M568" s="3">
        <v>6016</v>
      </c>
    </row>
    <row r="569" spans="1:13">
      <c r="A569" t="s">
        <v>637</v>
      </c>
      <c r="B569" t="s">
        <v>25</v>
      </c>
      <c r="C569" t="s">
        <v>26</v>
      </c>
      <c r="D569" t="s">
        <v>16</v>
      </c>
      <c r="E569" s="2">
        <v>23</v>
      </c>
      <c r="F569" t="s">
        <v>17</v>
      </c>
      <c r="G569" t="s">
        <v>70</v>
      </c>
      <c r="H569" s="2">
        <v>91</v>
      </c>
      <c r="I569" s="3">
        <v>2736</v>
      </c>
      <c r="J569" s="4">
        <v>4.1500000000000004</v>
      </c>
      <c r="K569" s="2">
        <v>44</v>
      </c>
      <c r="L569" s="2">
        <v>4</v>
      </c>
      <c r="M569" s="3">
        <v>12074</v>
      </c>
    </row>
    <row r="570" spans="1:13">
      <c r="A570" t="s">
        <v>638</v>
      </c>
      <c r="B570" t="s">
        <v>103</v>
      </c>
      <c r="C570" t="s">
        <v>26</v>
      </c>
      <c r="D570" t="s">
        <v>27</v>
      </c>
      <c r="E570" s="2">
        <v>47</v>
      </c>
      <c r="F570" t="s">
        <v>17</v>
      </c>
      <c r="G570" t="s">
        <v>18</v>
      </c>
      <c r="H570" s="2">
        <v>79</v>
      </c>
      <c r="I570" s="3">
        <v>1804</v>
      </c>
      <c r="J570" s="4">
        <v>5.63</v>
      </c>
      <c r="K570" s="2">
        <v>64</v>
      </c>
      <c r="L570" s="2">
        <v>3</v>
      </c>
      <c r="M570" s="3">
        <v>9307</v>
      </c>
    </row>
    <row r="571" spans="1:13">
      <c r="A571" t="s">
        <v>639</v>
      </c>
      <c r="B571" t="s">
        <v>58</v>
      </c>
      <c r="C571" t="s">
        <v>48</v>
      </c>
      <c r="D571" t="s">
        <v>16</v>
      </c>
      <c r="E571" s="2">
        <v>52</v>
      </c>
      <c r="F571" t="s">
        <v>22</v>
      </c>
      <c r="G571" t="s">
        <v>18</v>
      </c>
      <c r="H571" s="2">
        <v>76</v>
      </c>
      <c r="I571" s="3">
        <v>6741</v>
      </c>
      <c r="J571" s="4">
        <v>18.04</v>
      </c>
      <c r="K571" s="2">
        <v>72</v>
      </c>
      <c r="L571" s="2">
        <v>3</v>
      </c>
      <c r="M571" s="3">
        <v>22207</v>
      </c>
    </row>
    <row r="572" spans="1:13">
      <c r="A572" t="s">
        <v>640</v>
      </c>
      <c r="B572" t="s">
        <v>25</v>
      </c>
      <c r="C572" t="s">
        <v>39</v>
      </c>
      <c r="D572" t="s">
        <v>27</v>
      </c>
      <c r="E572" s="2">
        <v>3</v>
      </c>
      <c r="F572" t="s">
        <v>17</v>
      </c>
      <c r="G572" t="s">
        <v>40</v>
      </c>
      <c r="H572" s="2">
        <v>85</v>
      </c>
      <c r="I572" s="3">
        <v>1893</v>
      </c>
      <c r="J572" s="4">
        <v>4.4400000000000004</v>
      </c>
      <c r="K572" s="2">
        <v>63</v>
      </c>
      <c r="L572" s="2">
        <v>4</v>
      </c>
      <c r="M572" s="3">
        <v>7972</v>
      </c>
    </row>
    <row r="573" spans="1:13">
      <c r="A573" t="s">
        <v>641</v>
      </c>
      <c r="B573" t="s">
        <v>44</v>
      </c>
      <c r="C573" t="s">
        <v>45</v>
      </c>
      <c r="D573" t="s">
        <v>72</v>
      </c>
      <c r="E573" s="2">
        <v>58</v>
      </c>
      <c r="F573" t="s">
        <v>34</v>
      </c>
      <c r="G573" t="s">
        <v>49</v>
      </c>
      <c r="H573" s="2">
        <v>72</v>
      </c>
      <c r="I573" s="3">
        <v>11724</v>
      </c>
      <c r="J573" s="4">
        <v>18.59</v>
      </c>
      <c r="K573" s="2">
        <v>89</v>
      </c>
      <c r="L573" s="2">
        <v>4</v>
      </c>
      <c r="M573" s="3">
        <v>47106</v>
      </c>
    </row>
    <row r="574" spans="1:13">
      <c r="A574" t="s">
        <v>642</v>
      </c>
      <c r="B574" t="s">
        <v>137</v>
      </c>
      <c r="C574" t="s">
        <v>26</v>
      </c>
      <c r="D574" t="s">
        <v>27</v>
      </c>
      <c r="E574" s="2">
        <v>37</v>
      </c>
      <c r="F574" t="s">
        <v>17</v>
      </c>
      <c r="G574" t="s">
        <v>40</v>
      </c>
      <c r="H574" s="2">
        <v>85</v>
      </c>
      <c r="I574" s="3">
        <v>3196</v>
      </c>
      <c r="J574" s="4">
        <v>7.84</v>
      </c>
      <c r="K574" s="2">
        <v>65</v>
      </c>
      <c r="L574" s="2">
        <v>4</v>
      </c>
      <c r="M574" s="3">
        <v>12409</v>
      </c>
    </row>
    <row r="575" spans="1:13">
      <c r="A575" t="s">
        <v>643</v>
      </c>
      <c r="B575" t="s">
        <v>54</v>
      </c>
      <c r="C575" t="s">
        <v>39</v>
      </c>
      <c r="D575" t="s">
        <v>16</v>
      </c>
      <c r="E575" s="2">
        <v>7</v>
      </c>
      <c r="F575" t="s">
        <v>22</v>
      </c>
      <c r="G575" t="s">
        <v>31</v>
      </c>
      <c r="H575" s="2">
        <v>77</v>
      </c>
      <c r="I575" s="3">
        <v>2667</v>
      </c>
      <c r="J575" s="4">
        <v>15.76</v>
      </c>
      <c r="K575" s="2">
        <v>48</v>
      </c>
      <c r="L575" s="2">
        <v>4</v>
      </c>
      <c r="M575" s="3">
        <v>12592</v>
      </c>
    </row>
    <row r="576" spans="1:13">
      <c r="A576" t="s">
        <v>644</v>
      </c>
      <c r="B576" t="s">
        <v>47</v>
      </c>
      <c r="C576" t="s">
        <v>48</v>
      </c>
      <c r="D576" t="s">
        <v>16</v>
      </c>
      <c r="E576" s="2">
        <v>56</v>
      </c>
      <c r="F576" t="s">
        <v>22</v>
      </c>
      <c r="G576" t="s">
        <v>18</v>
      </c>
      <c r="H576" s="2">
        <v>86</v>
      </c>
      <c r="I576" s="3">
        <v>4301</v>
      </c>
      <c r="J576" s="4">
        <v>12.87</v>
      </c>
      <c r="K576" s="2">
        <v>60</v>
      </c>
      <c r="L576" s="2">
        <v>4</v>
      </c>
      <c r="M576" s="3">
        <v>18017</v>
      </c>
    </row>
    <row r="577" spans="1:13">
      <c r="A577" t="s">
        <v>645</v>
      </c>
      <c r="B577" t="s">
        <v>38</v>
      </c>
      <c r="C577" t="s">
        <v>39</v>
      </c>
      <c r="D577" t="s">
        <v>27</v>
      </c>
      <c r="E577" s="2">
        <v>17</v>
      </c>
      <c r="F577" t="s">
        <v>17</v>
      </c>
      <c r="G577" t="s">
        <v>18</v>
      </c>
      <c r="H577" s="2">
        <v>83</v>
      </c>
      <c r="I577" s="3">
        <v>3035</v>
      </c>
      <c r="J577" s="4">
        <v>11.8</v>
      </c>
      <c r="K577" s="2">
        <v>8</v>
      </c>
      <c r="L577" s="2">
        <v>4</v>
      </c>
      <c r="M577" s="3">
        <v>12332</v>
      </c>
    </row>
    <row r="578" spans="1:13">
      <c r="A578" t="s">
        <v>646</v>
      </c>
      <c r="B578" t="s">
        <v>66</v>
      </c>
      <c r="C578" t="s">
        <v>39</v>
      </c>
      <c r="D578" t="s">
        <v>16</v>
      </c>
      <c r="E578" s="2">
        <v>17</v>
      </c>
      <c r="F578" t="s">
        <v>34</v>
      </c>
      <c r="G578" t="s">
        <v>49</v>
      </c>
      <c r="H578" s="2">
        <v>78</v>
      </c>
      <c r="I578" s="3">
        <v>3576</v>
      </c>
      <c r="J578" s="4">
        <v>9.85</v>
      </c>
      <c r="K578" s="2">
        <v>53</v>
      </c>
      <c r="L578" s="2">
        <v>4</v>
      </c>
      <c r="M578" s="3">
        <v>18053</v>
      </c>
    </row>
    <row r="579" spans="1:13">
      <c r="A579" t="s">
        <v>647</v>
      </c>
      <c r="B579" t="s">
        <v>84</v>
      </c>
      <c r="C579" t="s">
        <v>21</v>
      </c>
      <c r="D579" t="s">
        <v>27</v>
      </c>
      <c r="E579" s="2">
        <v>75</v>
      </c>
      <c r="F579" t="s">
        <v>17</v>
      </c>
      <c r="G579" t="s">
        <v>70</v>
      </c>
      <c r="H579" s="2">
        <v>70</v>
      </c>
      <c r="I579" s="3">
        <v>4081</v>
      </c>
      <c r="J579" s="4">
        <v>18.46</v>
      </c>
      <c r="K579" s="2">
        <v>103</v>
      </c>
      <c r="L579" s="2">
        <v>4</v>
      </c>
      <c r="M579" s="3">
        <v>23020</v>
      </c>
    </row>
    <row r="580" spans="1:13">
      <c r="A580" t="s">
        <v>648</v>
      </c>
      <c r="B580" t="s">
        <v>84</v>
      </c>
      <c r="C580" t="s">
        <v>21</v>
      </c>
      <c r="D580" t="s">
        <v>27</v>
      </c>
      <c r="E580" s="2">
        <v>38</v>
      </c>
      <c r="F580" t="s">
        <v>34</v>
      </c>
      <c r="G580" t="s">
        <v>18</v>
      </c>
      <c r="H580" s="2">
        <v>73</v>
      </c>
      <c r="I580" s="3">
        <v>6992</v>
      </c>
      <c r="J580" s="4">
        <v>19.920000000000002</v>
      </c>
      <c r="K580" s="2">
        <v>74</v>
      </c>
      <c r="L580" s="2">
        <v>3</v>
      </c>
      <c r="M580" s="3">
        <v>38392</v>
      </c>
    </row>
    <row r="581" spans="1:13">
      <c r="A581" t="s">
        <v>649</v>
      </c>
      <c r="B581" t="s">
        <v>129</v>
      </c>
      <c r="C581" t="s">
        <v>21</v>
      </c>
      <c r="D581" t="s">
        <v>16</v>
      </c>
      <c r="E581" s="2">
        <v>62</v>
      </c>
      <c r="F581" t="s">
        <v>22</v>
      </c>
      <c r="G581" t="s">
        <v>23</v>
      </c>
      <c r="H581" s="2">
        <v>76</v>
      </c>
      <c r="I581" s="3">
        <v>6626</v>
      </c>
      <c r="J581" s="4">
        <v>14.42</v>
      </c>
      <c r="K581" s="2">
        <v>82</v>
      </c>
      <c r="L581" s="2">
        <v>4</v>
      </c>
      <c r="M581" s="3">
        <v>26545</v>
      </c>
    </row>
    <row r="582" spans="1:13">
      <c r="A582" t="s">
        <v>650</v>
      </c>
      <c r="B582" t="s">
        <v>38</v>
      </c>
      <c r="C582" t="s">
        <v>39</v>
      </c>
      <c r="D582" t="s">
        <v>16</v>
      </c>
      <c r="E582" s="2">
        <v>55</v>
      </c>
      <c r="F582" t="s">
        <v>17</v>
      </c>
      <c r="G582" t="s">
        <v>70</v>
      </c>
      <c r="H582" s="2">
        <v>82</v>
      </c>
      <c r="I582" s="3">
        <v>4310</v>
      </c>
      <c r="J582" s="4">
        <v>10.28</v>
      </c>
      <c r="K582" s="2">
        <v>43</v>
      </c>
      <c r="L582" s="2">
        <v>4</v>
      </c>
      <c r="M582" s="3">
        <v>11400</v>
      </c>
    </row>
    <row r="583" spans="1:13">
      <c r="A583" t="s">
        <v>651</v>
      </c>
      <c r="B583" t="s">
        <v>168</v>
      </c>
      <c r="C583" t="s">
        <v>45</v>
      </c>
      <c r="D583" t="s">
        <v>16</v>
      </c>
      <c r="E583" s="2">
        <v>57</v>
      </c>
      <c r="F583" t="s">
        <v>34</v>
      </c>
      <c r="G583" t="s">
        <v>31</v>
      </c>
      <c r="H583" s="2">
        <v>81</v>
      </c>
      <c r="I583" s="3">
        <v>9738</v>
      </c>
      <c r="J583" s="4">
        <v>20.52</v>
      </c>
      <c r="K583" s="2">
        <v>57</v>
      </c>
      <c r="L583" s="2">
        <v>4</v>
      </c>
      <c r="M583" s="3">
        <v>48859</v>
      </c>
    </row>
    <row r="584" spans="1:13">
      <c r="A584" t="s">
        <v>652</v>
      </c>
      <c r="B584" t="s">
        <v>168</v>
      </c>
      <c r="C584" t="s">
        <v>45</v>
      </c>
      <c r="D584" t="s">
        <v>27</v>
      </c>
      <c r="E584" s="2">
        <v>45</v>
      </c>
      <c r="F584" t="s">
        <v>22</v>
      </c>
      <c r="G584" t="s">
        <v>23</v>
      </c>
      <c r="H584" s="2">
        <v>74</v>
      </c>
      <c r="I584" s="3">
        <v>7905</v>
      </c>
      <c r="J584" s="4">
        <v>18.45</v>
      </c>
      <c r="K584" s="2">
        <v>110</v>
      </c>
      <c r="L584" s="2">
        <v>3</v>
      </c>
      <c r="M584" s="3">
        <v>35378</v>
      </c>
    </row>
    <row r="585" spans="1:13">
      <c r="A585" t="s">
        <v>653</v>
      </c>
      <c r="B585" t="s">
        <v>62</v>
      </c>
      <c r="C585" t="s">
        <v>52</v>
      </c>
      <c r="D585" t="s">
        <v>27</v>
      </c>
      <c r="E585" s="2">
        <v>21</v>
      </c>
      <c r="F585" t="s">
        <v>17</v>
      </c>
      <c r="G585" t="s">
        <v>49</v>
      </c>
      <c r="H585" s="2">
        <v>81</v>
      </c>
      <c r="I585" s="3">
        <v>10332</v>
      </c>
      <c r="J585" s="4">
        <v>8.02</v>
      </c>
      <c r="K585" s="2">
        <v>86</v>
      </c>
      <c r="L585" s="2">
        <v>4</v>
      </c>
      <c r="M585" s="3">
        <v>47227</v>
      </c>
    </row>
    <row r="586" spans="1:13">
      <c r="A586" t="s">
        <v>654</v>
      </c>
      <c r="B586" t="s">
        <v>135</v>
      </c>
      <c r="C586" t="s">
        <v>48</v>
      </c>
      <c r="D586" t="s">
        <v>16</v>
      </c>
      <c r="E586" s="2">
        <v>56</v>
      </c>
      <c r="F586" t="s">
        <v>22</v>
      </c>
      <c r="G586" t="s">
        <v>31</v>
      </c>
      <c r="H586" s="2">
        <v>95</v>
      </c>
      <c r="I586" s="3">
        <v>7635</v>
      </c>
      <c r="J586" s="4">
        <v>18.559999999999999</v>
      </c>
      <c r="K586" s="2">
        <v>54</v>
      </c>
      <c r="L586" s="2">
        <v>4</v>
      </c>
      <c r="M586" s="3">
        <v>28024</v>
      </c>
    </row>
    <row r="587" spans="1:13">
      <c r="A587" t="s">
        <v>655</v>
      </c>
      <c r="B587" t="s">
        <v>44</v>
      </c>
      <c r="C587" t="s">
        <v>45</v>
      </c>
      <c r="D587" t="s">
        <v>16</v>
      </c>
      <c r="E587" s="2">
        <v>16</v>
      </c>
      <c r="F587" t="s">
        <v>22</v>
      </c>
      <c r="G587" t="s">
        <v>23</v>
      </c>
      <c r="H587" s="2">
        <v>73</v>
      </c>
      <c r="I587" s="3">
        <v>8060</v>
      </c>
      <c r="J587" s="4">
        <v>19.03</v>
      </c>
      <c r="K587" s="2">
        <v>96</v>
      </c>
      <c r="L587" s="2">
        <v>3</v>
      </c>
      <c r="M587" s="3">
        <v>38720</v>
      </c>
    </row>
    <row r="588" spans="1:13">
      <c r="A588" t="s">
        <v>656</v>
      </c>
      <c r="B588" t="s">
        <v>47</v>
      </c>
      <c r="C588" t="s">
        <v>48</v>
      </c>
      <c r="D588" t="s">
        <v>16</v>
      </c>
      <c r="E588" s="2">
        <v>11</v>
      </c>
      <c r="F588" t="s">
        <v>34</v>
      </c>
      <c r="G588" t="s">
        <v>49</v>
      </c>
      <c r="H588" s="2">
        <v>69</v>
      </c>
      <c r="I588" s="3">
        <v>3629</v>
      </c>
      <c r="J588" s="4">
        <v>15</v>
      </c>
      <c r="K588" s="2">
        <v>65</v>
      </c>
      <c r="L588" s="2">
        <v>3</v>
      </c>
      <c r="M588" s="3">
        <v>18435</v>
      </c>
    </row>
    <row r="589" spans="1:13">
      <c r="A589" t="s">
        <v>657</v>
      </c>
      <c r="B589" t="s">
        <v>187</v>
      </c>
      <c r="C589" t="s">
        <v>30</v>
      </c>
      <c r="D589" t="s">
        <v>16</v>
      </c>
      <c r="E589" s="2">
        <v>44</v>
      </c>
      <c r="F589" t="s">
        <v>34</v>
      </c>
      <c r="G589" t="s">
        <v>23</v>
      </c>
      <c r="H589" s="2">
        <v>74</v>
      </c>
      <c r="I589" s="3">
        <v>3917</v>
      </c>
      <c r="J589" s="4">
        <v>17.07</v>
      </c>
      <c r="K589" s="2">
        <v>99</v>
      </c>
      <c r="L589" s="2">
        <v>4</v>
      </c>
      <c r="M589" s="3">
        <v>19946</v>
      </c>
    </row>
    <row r="590" spans="1:13">
      <c r="A590" t="s">
        <v>658</v>
      </c>
      <c r="B590" t="s">
        <v>62</v>
      </c>
      <c r="C590" t="s">
        <v>52</v>
      </c>
      <c r="D590" t="s">
        <v>16</v>
      </c>
      <c r="E590" s="2">
        <v>27</v>
      </c>
      <c r="F590" t="s">
        <v>17</v>
      </c>
      <c r="G590" t="s">
        <v>70</v>
      </c>
      <c r="H590" s="2">
        <v>70</v>
      </c>
      <c r="I590" s="3">
        <v>8028</v>
      </c>
      <c r="J590" s="4">
        <v>15.89</v>
      </c>
      <c r="K590" s="2">
        <v>79</v>
      </c>
      <c r="L590" s="2">
        <v>4</v>
      </c>
      <c r="M590" s="3">
        <v>33655</v>
      </c>
    </row>
    <row r="591" spans="1:13">
      <c r="A591" t="s">
        <v>659</v>
      </c>
      <c r="B591" t="s">
        <v>150</v>
      </c>
      <c r="C591" t="s">
        <v>48</v>
      </c>
      <c r="D591" t="s">
        <v>16</v>
      </c>
      <c r="E591" s="2">
        <v>29</v>
      </c>
      <c r="F591" t="s">
        <v>17</v>
      </c>
      <c r="G591" t="s">
        <v>70</v>
      </c>
      <c r="H591" s="2">
        <v>89</v>
      </c>
      <c r="I591" s="3">
        <v>5141</v>
      </c>
      <c r="J591" s="4">
        <v>9.56</v>
      </c>
      <c r="K591" s="2">
        <v>72</v>
      </c>
      <c r="L591" s="2">
        <v>4</v>
      </c>
      <c r="M591" s="3">
        <v>13967</v>
      </c>
    </row>
    <row r="592" spans="1:13">
      <c r="A592" t="s">
        <v>660</v>
      </c>
      <c r="B592" t="s">
        <v>54</v>
      </c>
      <c r="C592" t="s">
        <v>15</v>
      </c>
      <c r="D592" t="s">
        <v>27</v>
      </c>
      <c r="E592" s="2">
        <v>25</v>
      </c>
      <c r="F592" t="s">
        <v>22</v>
      </c>
      <c r="G592" t="s">
        <v>49</v>
      </c>
      <c r="H592" s="2">
        <v>75</v>
      </c>
      <c r="I592" s="3">
        <v>6889</v>
      </c>
      <c r="J592" s="4">
        <v>13.68</v>
      </c>
      <c r="K592" s="2">
        <v>88</v>
      </c>
      <c r="L592" s="2">
        <v>4</v>
      </c>
      <c r="M592" s="3">
        <v>27390</v>
      </c>
    </row>
    <row r="593" spans="1:13">
      <c r="A593" t="s">
        <v>661</v>
      </c>
      <c r="B593" t="s">
        <v>42</v>
      </c>
      <c r="C593" t="s">
        <v>39</v>
      </c>
      <c r="D593" t="s">
        <v>16</v>
      </c>
      <c r="E593" s="2">
        <v>16</v>
      </c>
      <c r="F593" t="s">
        <v>17</v>
      </c>
      <c r="G593" t="s">
        <v>49</v>
      </c>
      <c r="H593" s="2">
        <v>75</v>
      </c>
      <c r="I593" s="3">
        <v>4010</v>
      </c>
      <c r="J593" s="4">
        <v>15.38</v>
      </c>
      <c r="K593" s="2">
        <v>48</v>
      </c>
      <c r="L593" s="2">
        <v>3</v>
      </c>
      <c r="M593" s="3">
        <v>11521</v>
      </c>
    </row>
    <row r="594" spans="1:13">
      <c r="A594" t="s">
        <v>662</v>
      </c>
      <c r="B594" t="s">
        <v>143</v>
      </c>
      <c r="C594" t="s">
        <v>21</v>
      </c>
      <c r="D594" t="s">
        <v>16</v>
      </c>
      <c r="E594" s="2">
        <v>29</v>
      </c>
      <c r="F594" t="s">
        <v>17</v>
      </c>
      <c r="G594" t="s">
        <v>49</v>
      </c>
      <c r="H594" s="2">
        <v>80</v>
      </c>
      <c r="I594" s="3">
        <v>8578</v>
      </c>
      <c r="J594" s="4">
        <v>18.21</v>
      </c>
      <c r="K594" s="2">
        <v>84</v>
      </c>
      <c r="L594" s="2">
        <v>3</v>
      </c>
      <c r="M594" s="3">
        <v>35124</v>
      </c>
    </row>
    <row r="595" spans="1:13">
      <c r="A595" t="s">
        <v>663</v>
      </c>
      <c r="B595" t="s">
        <v>42</v>
      </c>
      <c r="C595" t="s">
        <v>39</v>
      </c>
      <c r="D595" t="s">
        <v>27</v>
      </c>
      <c r="E595" s="2">
        <v>12</v>
      </c>
      <c r="F595" t="s">
        <v>22</v>
      </c>
      <c r="G595" t="s">
        <v>18</v>
      </c>
      <c r="H595" s="2">
        <v>91</v>
      </c>
      <c r="I595" s="3">
        <v>2421</v>
      </c>
      <c r="J595" s="4">
        <v>3.38</v>
      </c>
      <c r="K595" s="2">
        <v>57</v>
      </c>
      <c r="L595" s="2">
        <v>5</v>
      </c>
      <c r="M595" s="3">
        <v>11224</v>
      </c>
    </row>
    <row r="596" spans="1:13">
      <c r="A596" t="s">
        <v>664</v>
      </c>
      <c r="B596" t="s">
        <v>25</v>
      </c>
      <c r="C596" t="s">
        <v>39</v>
      </c>
      <c r="D596" t="s">
        <v>27</v>
      </c>
      <c r="E596" s="2">
        <v>12</v>
      </c>
      <c r="F596" t="s">
        <v>34</v>
      </c>
      <c r="G596" t="s">
        <v>49</v>
      </c>
      <c r="H596" s="2">
        <v>87</v>
      </c>
      <c r="I596" s="3">
        <v>3559</v>
      </c>
      <c r="J596" s="4">
        <v>6.34</v>
      </c>
      <c r="K596" s="2">
        <v>65</v>
      </c>
      <c r="L596" s="2">
        <v>5</v>
      </c>
      <c r="M596" s="3">
        <v>10137</v>
      </c>
    </row>
    <row r="597" spans="1:13">
      <c r="A597" t="s">
        <v>665</v>
      </c>
      <c r="B597" t="s">
        <v>54</v>
      </c>
      <c r="C597" t="s">
        <v>15</v>
      </c>
      <c r="D597" t="s">
        <v>72</v>
      </c>
      <c r="E597" s="2">
        <v>72</v>
      </c>
      <c r="F597" t="s">
        <v>34</v>
      </c>
      <c r="G597" t="s">
        <v>23</v>
      </c>
      <c r="H597" s="2">
        <v>82</v>
      </c>
      <c r="I597" s="3">
        <v>7329</v>
      </c>
      <c r="J597" s="4">
        <v>13.84</v>
      </c>
      <c r="K597" s="2">
        <v>52</v>
      </c>
      <c r="L597" s="2">
        <v>4</v>
      </c>
      <c r="M597" s="3">
        <v>21557</v>
      </c>
    </row>
    <row r="598" spans="1:13">
      <c r="A598" t="s">
        <v>666</v>
      </c>
      <c r="B598" t="s">
        <v>135</v>
      </c>
      <c r="C598" t="s">
        <v>48</v>
      </c>
      <c r="D598" t="s">
        <v>16</v>
      </c>
      <c r="E598" s="2">
        <v>74</v>
      </c>
      <c r="F598" t="s">
        <v>17</v>
      </c>
      <c r="G598" t="s">
        <v>18</v>
      </c>
      <c r="H598" s="2">
        <v>83</v>
      </c>
      <c r="I598" s="3">
        <v>7154</v>
      </c>
      <c r="J598" s="4">
        <v>11.05</v>
      </c>
      <c r="K598" s="2">
        <v>83</v>
      </c>
      <c r="L598" s="2">
        <v>4</v>
      </c>
      <c r="M598" s="3">
        <v>33496</v>
      </c>
    </row>
    <row r="599" spans="1:13">
      <c r="A599" t="s">
        <v>667</v>
      </c>
      <c r="B599" t="s">
        <v>129</v>
      </c>
      <c r="C599" t="s">
        <v>21</v>
      </c>
      <c r="D599" t="s">
        <v>16</v>
      </c>
      <c r="E599" s="2">
        <v>37</v>
      </c>
      <c r="F599" t="s">
        <v>22</v>
      </c>
      <c r="G599" t="s">
        <v>70</v>
      </c>
      <c r="H599" s="2">
        <v>71</v>
      </c>
      <c r="I599" s="3">
        <v>7492</v>
      </c>
      <c r="J599" s="4">
        <v>19.510000000000002</v>
      </c>
      <c r="K599" s="2">
        <v>74</v>
      </c>
      <c r="L599" s="2">
        <v>3</v>
      </c>
      <c r="M599" s="3">
        <v>38565</v>
      </c>
    </row>
    <row r="600" spans="1:13">
      <c r="A600" t="s">
        <v>668</v>
      </c>
      <c r="B600" t="s">
        <v>68</v>
      </c>
      <c r="C600" t="s">
        <v>45</v>
      </c>
      <c r="D600" t="s">
        <v>16</v>
      </c>
      <c r="E600" s="2">
        <v>14</v>
      </c>
      <c r="F600" t="s">
        <v>34</v>
      </c>
      <c r="G600" t="s">
        <v>31</v>
      </c>
      <c r="H600" s="2">
        <v>73</v>
      </c>
      <c r="I600" s="3">
        <v>8197</v>
      </c>
      <c r="J600" s="4">
        <v>17.45</v>
      </c>
      <c r="K600" s="2">
        <v>92</v>
      </c>
      <c r="L600" s="2">
        <v>3</v>
      </c>
      <c r="M600" s="3">
        <v>24737</v>
      </c>
    </row>
    <row r="601" spans="1:13">
      <c r="A601" t="s">
        <v>669</v>
      </c>
      <c r="B601" t="s">
        <v>103</v>
      </c>
      <c r="C601" t="s">
        <v>26</v>
      </c>
      <c r="D601" t="s">
        <v>27</v>
      </c>
      <c r="E601" s="2">
        <v>39</v>
      </c>
      <c r="F601" t="s">
        <v>22</v>
      </c>
      <c r="G601" t="s">
        <v>23</v>
      </c>
      <c r="H601" s="2">
        <v>83</v>
      </c>
      <c r="I601" s="3">
        <v>2296</v>
      </c>
      <c r="J601" s="4">
        <v>10.89</v>
      </c>
      <c r="K601" s="2">
        <v>37</v>
      </c>
      <c r="L601" s="2">
        <v>4</v>
      </c>
      <c r="M601" s="3">
        <v>6016</v>
      </c>
    </row>
    <row r="602" spans="1:13">
      <c r="A602" t="s">
        <v>670</v>
      </c>
      <c r="B602" t="s">
        <v>137</v>
      </c>
      <c r="C602" t="s">
        <v>26</v>
      </c>
      <c r="D602" t="s">
        <v>16</v>
      </c>
      <c r="E602" s="2">
        <v>71</v>
      </c>
      <c r="F602" t="s">
        <v>22</v>
      </c>
      <c r="G602" t="s">
        <v>40</v>
      </c>
      <c r="H602" s="2">
        <v>93</v>
      </c>
      <c r="I602" s="3">
        <v>2929</v>
      </c>
      <c r="J602" s="4">
        <v>5.32</v>
      </c>
      <c r="K602" s="2">
        <v>40</v>
      </c>
      <c r="L602" s="2">
        <v>4</v>
      </c>
      <c r="M602" s="3">
        <v>8693</v>
      </c>
    </row>
    <row r="603" spans="1:13">
      <c r="A603" t="s">
        <v>671</v>
      </c>
      <c r="B603" t="s">
        <v>168</v>
      </c>
      <c r="C603" t="s">
        <v>45</v>
      </c>
      <c r="D603" t="s">
        <v>27</v>
      </c>
      <c r="E603" s="2">
        <v>48</v>
      </c>
      <c r="F603" t="s">
        <v>17</v>
      </c>
      <c r="G603" t="s">
        <v>31</v>
      </c>
      <c r="H603" s="2">
        <v>69</v>
      </c>
      <c r="I603" s="3">
        <v>10005</v>
      </c>
      <c r="J603" s="4">
        <v>16.3</v>
      </c>
      <c r="K603" s="2">
        <v>103</v>
      </c>
      <c r="L603" s="2">
        <v>3</v>
      </c>
      <c r="M603" s="3">
        <v>49553</v>
      </c>
    </row>
    <row r="604" spans="1:13">
      <c r="A604" t="s">
        <v>672</v>
      </c>
      <c r="B604" t="s">
        <v>88</v>
      </c>
      <c r="C604" t="s">
        <v>15</v>
      </c>
      <c r="D604" t="s">
        <v>16</v>
      </c>
      <c r="E604" s="2">
        <v>56</v>
      </c>
      <c r="F604" t="s">
        <v>22</v>
      </c>
      <c r="G604" t="s">
        <v>40</v>
      </c>
      <c r="H604" s="2">
        <v>70</v>
      </c>
      <c r="I604" s="3">
        <v>6814</v>
      </c>
      <c r="J604" s="4">
        <v>16.29</v>
      </c>
      <c r="K604" s="2">
        <v>73</v>
      </c>
      <c r="L604" s="2">
        <v>3</v>
      </c>
      <c r="M604" s="3">
        <v>24296</v>
      </c>
    </row>
    <row r="605" spans="1:13">
      <c r="A605" t="s">
        <v>673</v>
      </c>
      <c r="B605" t="s">
        <v>78</v>
      </c>
      <c r="C605" t="s">
        <v>15</v>
      </c>
      <c r="D605" t="s">
        <v>27</v>
      </c>
      <c r="E605" s="2">
        <v>69</v>
      </c>
      <c r="F605" t="s">
        <v>34</v>
      </c>
      <c r="G605" t="s">
        <v>18</v>
      </c>
      <c r="H605" s="2">
        <v>75</v>
      </c>
      <c r="I605" s="3">
        <v>8476</v>
      </c>
      <c r="J605" s="4">
        <v>15.25</v>
      </c>
      <c r="K605" s="2">
        <v>75</v>
      </c>
      <c r="L605" s="2">
        <v>3</v>
      </c>
      <c r="M605" s="3">
        <v>43623</v>
      </c>
    </row>
    <row r="606" spans="1:13">
      <c r="A606" t="s">
        <v>674</v>
      </c>
      <c r="B606" t="s">
        <v>56</v>
      </c>
      <c r="C606" t="s">
        <v>45</v>
      </c>
      <c r="D606" t="s">
        <v>27</v>
      </c>
      <c r="E606" s="2">
        <v>76</v>
      </c>
      <c r="F606" t="s">
        <v>34</v>
      </c>
      <c r="G606" t="s">
        <v>40</v>
      </c>
      <c r="H606" s="2">
        <v>78</v>
      </c>
      <c r="I606" s="3">
        <v>11933</v>
      </c>
      <c r="J606" s="4">
        <v>15.51</v>
      </c>
      <c r="K606" s="2">
        <v>64</v>
      </c>
      <c r="L606" s="2">
        <v>3</v>
      </c>
      <c r="M606" s="3">
        <v>36849</v>
      </c>
    </row>
    <row r="607" spans="1:13">
      <c r="A607" t="s">
        <v>675</v>
      </c>
      <c r="B607" t="s">
        <v>84</v>
      </c>
      <c r="C607" t="s">
        <v>21</v>
      </c>
      <c r="D607" t="s">
        <v>16</v>
      </c>
      <c r="E607" s="2">
        <v>21</v>
      </c>
      <c r="F607" t="s">
        <v>34</v>
      </c>
      <c r="G607" t="s">
        <v>31</v>
      </c>
      <c r="H607" s="2">
        <v>90</v>
      </c>
      <c r="I607" s="3">
        <v>6655</v>
      </c>
      <c r="J607" s="4">
        <v>12.46</v>
      </c>
      <c r="K607" s="2">
        <v>56</v>
      </c>
      <c r="L607" s="2">
        <v>5</v>
      </c>
      <c r="M607" s="3">
        <v>26404</v>
      </c>
    </row>
    <row r="608" spans="1:13">
      <c r="A608" t="s">
        <v>676</v>
      </c>
      <c r="B608" t="s">
        <v>109</v>
      </c>
      <c r="C608" t="s">
        <v>30</v>
      </c>
      <c r="D608" t="s">
        <v>27</v>
      </c>
      <c r="E608" s="2">
        <v>30</v>
      </c>
      <c r="F608" t="s">
        <v>34</v>
      </c>
      <c r="G608" t="s">
        <v>23</v>
      </c>
      <c r="H608" s="2">
        <v>73</v>
      </c>
      <c r="I608" s="3">
        <v>3329</v>
      </c>
      <c r="J608" s="4">
        <v>18.010000000000002</v>
      </c>
      <c r="K608" s="2">
        <v>143</v>
      </c>
      <c r="L608" s="2">
        <v>4</v>
      </c>
      <c r="M608" s="3">
        <v>8769</v>
      </c>
    </row>
    <row r="609" spans="1:13">
      <c r="A609" t="s">
        <v>677</v>
      </c>
      <c r="B609" t="s">
        <v>54</v>
      </c>
      <c r="C609" t="s">
        <v>15</v>
      </c>
      <c r="D609" t="s">
        <v>27</v>
      </c>
      <c r="E609" s="2">
        <v>48</v>
      </c>
      <c r="F609" t="s">
        <v>17</v>
      </c>
      <c r="G609" t="s">
        <v>70</v>
      </c>
      <c r="H609" s="2">
        <v>83</v>
      </c>
      <c r="I609" s="3">
        <v>7093</v>
      </c>
      <c r="J609" s="4">
        <v>5.15</v>
      </c>
      <c r="K609" s="2">
        <v>84</v>
      </c>
      <c r="L609" s="2">
        <v>4</v>
      </c>
      <c r="M609" s="3">
        <v>32182</v>
      </c>
    </row>
    <row r="610" spans="1:13">
      <c r="A610" t="s">
        <v>678</v>
      </c>
      <c r="B610" t="s">
        <v>60</v>
      </c>
      <c r="C610" t="s">
        <v>52</v>
      </c>
      <c r="D610" t="s">
        <v>16</v>
      </c>
      <c r="E610" s="2">
        <v>52</v>
      </c>
      <c r="F610" t="s">
        <v>34</v>
      </c>
      <c r="G610" t="s">
        <v>18</v>
      </c>
      <c r="H610" s="2">
        <v>84</v>
      </c>
      <c r="I610" s="3">
        <v>5569</v>
      </c>
      <c r="J610" s="4">
        <v>3.48</v>
      </c>
      <c r="K610" s="2">
        <v>86</v>
      </c>
      <c r="L610" s="2">
        <v>4</v>
      </c>
      <c r="M610" s="3">
        <v>27511</v>
      </c>
    </row>
    <row r="611" spans="1:13">
      <c r="A611" t="s">
        <v>679</v>
      </c>
      <c r="B611" t="s">
        <v>58</v>
      </c>
      <c r="C611" t="s">
        <v>48</v>
      </c>
      <c r="D611" t="s">
        <v>16</v>
      </c>
      <c r="E611" s="2">
        <v>29</v>
      </c>
      <c r="F611" t="s">
        <v>34</v>
      </c>
      <c r="G611" t="s">
        <v>23</v>
      </c>
      <c r="H611" s="2">
        <v>76</v>
      </c>
      <c r="I611" s="3">
        <v>3361</v>
      </c>
      <c r="J611" s="4">
        <v>17.28</v>
      </c>
      <c r="K611" s="2">
        <v>74</v>
      </c>
      <c r="L611" s="2">
        <v>4</v>
      </c>
      <c r="M611" s="3">
        <v>18124</v>
      </c>
    </row>
    <row r="612" spans="1:13">
      <c r="A612" t="s">
        <v>680</v>
      </c>
      <c r="B612" t="s">
        <v>66</v>
      </c>
      <c r="C612" t="s">
        <v>39</v>
      </c>
      <c r="D612" t="s">
        <v>27</v>
      </c>
      <c r="E612" s="2">
        <v>16</v>
      </c>
      <c r="F612" t="s">
        <v>22</v>
      </c>
      <c r="G612" t="s">
        <v>40</v>
      </c>
      <c r="H612" s="2">
        <v>81</v>
      </c>
      <c r="I612" s="3">
        <v>3007</v>
      </c>
      <c r="J612" s="4">
        <v>9.92</v>
      </c>
      <c r="K612" s="2">
        <v>61</v>
      </c>
      <c r="L612" s="2">
        <v>3</v>
      </c>
      <c r="M612" s="3">
        <v>16546</v>
      </c>
    </row>
    <row r="613" spans="1:13">
      <c r="A613" t="s">
        <v>681</v>
      </c>
      <c r="B613" t="s">
        <v>185</v>
      </c>
      <c r="C613" t="s">
        <v>52</v>
      </c>
      <c r="D613" t="s">
        <v>16</v>
      </c>
      <c r="E613" s="2">
        <v>25</v>
      </c>
      <c r="F613" t="s">
        <v>22</v>
      </c>
      <c r="G613" t="s">
        <v>23</v>
      </c>
      <c r="H613" s="2">
        <v>80</v>
      </c>
      <c r="I613" s="3">
        <v>7371</v>
      </c>
      <c r="J613" s="4">
        <v>11.12</v>
      </c>
      <c r="K613" s="2">
        <v>67</v>
      </c>
      <c r="L613" s="2">
        <v>5</v>
      </c>
      <c r="M613" s="3">
        <v>24296</v>
      </c>
    </row>
    <row r="614" spans="1:13">
      <c r="A614" t="s">
        <v>682</v>
      </c>
      <c r="B614" t="s">
        <v>97</v>
      </c>
      <c r="C614" t="s">
        <v>30</v>
      </c>
      <c r="D614" t="s">
        <v>27</v>
      </c>
      <c r="E614" s="2">
        <v>35</v>
      </c>
      <c r="F614" t="s">
        <v>17</v>
      </c>
      <c r="G614" t="s">
        <v>49</v>
      </c>
      <c r="H614" s="2">
        <v>74</v>
      </c>
      <c r="I614" s="3">
        <v>3377</v>
      </c>
      <c r="J614" s="4">
        <v>19.97</v>
      </c>
      <c r="K614" s="2">
        <v>90</v>
      </c>
      <c r="L614" s="2">
        <v>4</v>
      </c>
      <c r="M614" s="3">
        <v>10560</v>
      </c>
    </row>
    <row r="615" spans="1:13">
      <c r="A615" t="s">
        <v>683</v>
      </c>
      <c r="B615" t="s">
        <v>95</v>
      </c>
      <c r="C615" t="s">
        <v>52</v>
      </c>
      <c r="D615" t="s">
        <v>16</v>
      </c>
      <c r="E615" s="2">
        <v>43</v>
      </c>
      <c r="F615" t="s">
        <v>17</v>
      </c>
      <c r="G615" t="s">
        <v>23</v>
      </c>
      <c r="H615" s="2">
        <v>73</v>
      </c>
      <c r="I615" s="3">
        <v>6444</v>
      </c>
      <c r="J615" s="4">
        <v>17.93</v>
      </c>
      <c r="K615" s="2">
        <v>99</v>
      </c>
      <c r="L615" s="2">
        <v>3</v>
      </c>
      <c r="M615" s="3">
        <v>29775</v>
      </c>
    </row>
    <row r="616" spans="1:13">
      <c r="A616" t="s">
        <v>684</v>
      </c>
      <c r="B616" t="s">
        <v>38</v>
      </c>
      <c r="C616" t="s">
        <v>39</v>
      </c>
      <c r="D616" t="s">
        <v>72</v>
      </c>
      <c r="E616" s="2">
        <v>18</v>
      </c>
      <c r="F616" t="s">
        <v>34</v>
      </c>
      <c r="G616" t="s">
        <v>31</v>
      </c>
      <c r="H616" s="2">
        <v>90</v>
      </c>
      <c r="I616" s="3">
        <v>3237</v>
      </c>
      <c r="J616" s="4">
        <v>9.0500000000000007</v>
      </c>
      <c r="K616" s="2">
        <v>58</v>
      </c>
      <c r="L616" s="2">
        <v>4</v>
      </c>
      <c r="M616" s="3">
        <v>13496</v>
      </c>
    </row>
    <row r="617" spans="1:13">
      <c r="A617" t="s">
        <v>685</v>
      </c>
      <c r="B617" t="s">
        <v>36</v>
      </c>
      <c r="C617" t="s">
        <v>21</v>
      </c>
      <c r="D617" t="s">
        <v>27</v>
      </c>
      <c r="E617" s="2">
        <v>62</v>
      </c>
      <c r="F617" t="s">
        <v>34</v>
      </c>
      <c r="G617" t="s">
        <v>23</v>
      </c>
      <c r="H617" s="2">
        <v>79</v>
      </c>
      <c r="I617" s="3">
        <v>6101</v>
      </c>
      <c r="J617" s="4">
        <v>17.940000000000001</v>
      </c>
      <c r="K617" s="2">
        <v>84</v>
      </c>
      <c r="L617" s="2">
        <v>4</v>
      </c>
      <c r="M617" s="3">
        <v>35795</v>
      </c>
    </row>
    <row r="618" spans="1:13">
      <c r="A618" t="s">
        <v>686</v>
      </c>
      <c r="B618" t="s">
        <v>14</v>
      </c>
      <c r="C618" t="s">
        <v>15</v>
      </c>
      <c r="D618" t="s">
        <v>27</v>
      </c>
      <c r="E618" s="2">
        <v>1</v>
      </c>
      <c r="F618" t="s">
        <v>34</v>
      </c>
      <c r="G618" t="s">
        <v>18</v>
      </c>
      <c r="H618" s="2">
        <v>72</v>
      </c>
      <c r="I618" s="3">
        <v>7341</v>
      </c>
      <c r="J618" s="4">
        <v>11.64</v>
      </c>
      <c r="K618" s="2">
        <v>96</v>
      </c>
      <c r="L618" s="2">
        <v>3</v>
      </c>
      <c r="M618" s="3">
        <v>28757</v>
      </c>
    </row>
    <row r="619" spans="1:13">
      <c r="A619" t="s">
        <v>687</v>
      </c>
      <c r="B619" t="s">
        <v>33</v>
      </c>
      <c r="C619" t="s">
        <v>26</v>
      </c>
      <c r="D619" t="s">
        <v>16</v>
      </c>
      <c r="E619" s="2">
        <v>29</v>
      </c>
      <c r="F619" t="s">
        <v>22</v>
      </c>
      <c r="G619" t="s">
        <v>18</v>
      </c>
      <c r="H619" s="2">
        <v>80</v>
      </c>
      <c r="I619" s="3">
        <v>2397</v>
      </c>
      <c r="J619" s="4">
        <v>0.31</v>
      </c>
      <c r="K619" s="2">
        <v>47</v>
      </c>
      <c r="L619" s="2">
        <v>4</v>
      </c>
      <c r="M619" s="3">
        <v>8647</v>
      </c>
    </row>
    <row r="620" spans="1:13">
      <c r="A620" t="s">
        <v>688</v>
      </c>
      <c r="B620" t="s">
        <v>78</v>
      </c>
      <c r="C620" t="s">
        <v>15</v>
      </c>
      <c r="D620" t="s">
        <v>16</v>
      </c>
      <c r="E620" s="2">
        <v>39</v>
      </c>
      <c r="F620" t="s">
        <v>22</v>
      </c>
      <c r="G620" t="s">
        <v>31</v>
      </c>
      <c r="H620" s="2">
        <v>82</v>
      </c>
      <c r="I620" s="3">
        <v>8116</v>
      </c>
      <c r="J620" s="4">
        <v>8.56</v>
      </c>
      <c r="K620" s="2">
        <v>74</v>
      </c>
      <c r="L620" s="2">
        <v>4</v>
      </c>
      <c r="M620" s="3">
        <v>20693</v>
      </c>
    </row>
    <row r="621" spans="1:13">
      <c r="A621" t="s">
        <v>689</v>
      </c>
      <c r="B621" t="s">
        <v>36</v>
      </c>
      <c r="C621" t="s">
        <v>21</v>
      </c>
      <c r="D621" t="s">
        <v>27</v>
      </c>
      <c r="E621" s="2">
        <v>38</v>
      </c>
      <c r="F621" t="s">
        <v>17</v>
      </c>
      <c r="G621" t="s">
        <v>31</v>
      </c>
      <c r="H621" s="2">
        <v>89</v>
      </c>
      <c r="I621" s="3">
        <v>7919</v>
      </c>
      <c r="J621" s="4">
        <v>18.61</v>
      </c>
      <c r="K621" s="2">
        <v>57</v>
      </c>
      <c r="L621" s="2">
        <v>5</v>
      </c>
      <c r="M621" s="3">
        <v>31040</v>
      </c>
    </row>
    <row r="622" spans="1:13">
      <c r="A622" t="s">
        <v>690</v>
      </c>
      <c r="B622" t="s">
        <v>36</v>
      </c>
      <c r="C622" t="s">
        <v>21</v>
      </c>
      <c r="D622" t="s">
        <v>16</v>
      </c>
      <c r="E622" s="2">
        <v>44</v>
      </c>
      <c r="F622" t="s">
        <v>34</v>
      </c>
      <c r="G622" t="s">
        <v>18</v>
      </c>
      <c r="H622" s="2">
        <v>82</v>
      </c>
      <c r="I622" s="3">
        <v>4714</v>
      </c>
      <c r="J622" s="4">
        <v>17.079999999999998</v>
      </c>
      <c r="K622" s="2">
        <v>113</v>
      </c>
      <c r="L622" s="2">
        <v>4</v>
      </c>
      <c r="M622" s="3">
        <v>20284</v>
      </c>
    </row>
    <row r="623" spans="1:13">
      <c r="A623" t="s">
        <v>691</v>
      </c>
      <c r="B623" t="s">
        <v>14</v>
      </c>
      <c r="C623" t="s">
        <v>15</v>
      </c>
      <c r="D623" t="s">
        <v>27</v>
      </c>
      <c r="E623" s="2">
        <v>70</v>
      </c>
      <c r="F623" t="s">
        <v>17</v>
      </c>
      <c r="G623" t="s">
        <v>49</v>
      </c>
      <c r="H623" s="2">
        <v>76</v>
      </c>
      <c r="I623" s="3">
        <v>6445</v>
      </c>
      <c r="J623" s="4">
        <v>11.48</v>
      </c>
      <c r="K623" s="2">
        <v>72</v>
      </c>
      <c r="L623" s="2">
        <v>3</v>
      </c>
      <c r="M623" s="3">
        <v>33747</v>
      </c>
    </row>
    <row r="624" spans="1:13">
      <c r="A624" t="s">
        <v>692</v>
      </c>
      <c r="B624" t="s">
        <v>25</v>
      </c>
      <c r="C624" t="s">
        <v>26</v>
      </c>
      <c r="D624" t="s">
        <v>72</v>
      </c>
      <c r="E624" s="2">
        <v>74</v>
      </c>
      <c r="F624" t="s">
        <v>34</v>
      </c>
      <c r="G624" t="s">
        <v>18</v>
      </c>
      <c r="H624" s="2">
        <v>82</v>
      </c>
      <c r="I624" s="3">
        <v>1579</v>
      </c>
      <c r="J624" s="4">
        <v>8.57</v>
      </c>
      <c r="K624" s="2">
        <v>43</v>
      </c>
      <c r="L624" s="2">
        <v>4</v>
      </c>
      <c r="M624" s="3">
        <v>5187</v>
      </c>
    </row>
    <row r="625" spans="1:13">
      <c r="A625" t="s">
        <v>693</v>
      </c>
      <c r="B625" t="s">
        <v>62</v>
      </c>
      <c r="C625" t="s">
        <v>52</v>
      </c>
      <c r="D625" t="s">
        <v>16</v>
      </c>
      <c r="E625" s="2">
        <v>10</v>
      </c>
      <c r="F625" t="s">
        <v>17</v>
      </c>
      <c r="G625" t="s">
        <v>49</v>
      </c>
      <c r="H625" s="2">
        <v>77</v>
      </c>
      <c r="I625" s="3">
        <v>3352</v>
      </c>
      <c r="J625" s="4">
        <v>16.37</v>
      </c>
      <c r="K625" s="2">
        <v>80</v>
      </c>
      <c r="L625" s="2">
        <v>4</v>
      </c>
      <c r="M625" s="3">
        <v>18509</v>
      </c>
    </row>
    <row r="626" spans="1:13">
      <c r="A626" t="s">
        <v>694</v>
      </c>
      <c r="B626" t="s">
        <v>58</v>
      </c>
      <c r="C626" t="s">
        <v>48</v>
      </c>
      <c r="D626" t="s">
        <v>16</v>
      </c>
      <c r="E626" s="2">
        <v>49</v>
      </c>
      <c r="F626" t="s">
        <v>22</v>
      </c>
      <c r="G626" t="s">
        <v>40</v>
      </c>
      <c r="H626" s="2">
        <v>76</v>
      </c>
      <c r="I626" s="3">
        <v>6280</v>
      </c>
      <c r="J626" s="4">
        <v>16.14</v>
      </c>
      <c r="K626" s="2">
        <v>53</v>
      </c>
      <c r="L626" s="2">
        <v>4</v>
      </c>
      <c r="M626" s="3">
        <v>17732</v>
      </c>
    </row>
    <row r="627" spans="1:13">
      <c r="A627" t="s">
        <v>695</v>
      </c>
      <c r="B627" t="s">
        <v>95</v>
      </c>
      <c r="C627" t="s">
        <v>52</v>
      </c>
      <c r="D627" t="s">
        <v>16</v>
      </c>
      <c r="E627" s="2">
        <v>1</v>
      </c>
      <c r="F627" t="s">
        <v>17</v>
      </c>
      <c r="G627" t="s">
        <v>31</v>
      </c>
      <c r="H627" s="2">
        <v>76</v>
      </c>
      <c r="I627" s="3">
        <v>7390</v>
      </c>
      <c r="J627" s="4">
        <v>16.190000000000001</v>
      </c>
      <c r="K627" s="2">
        <v>61</v>
      </c>
      <c r="L627" s="2">
        <v>3</v>
      </c>
      <c r="M627" s="3">
        <v>41638</v>
      </c>
    </row>
    <row r="628" spans="1:13">
      <c r="A628" t="s">
        <v>696</v>
      </c>
      <c r="B628" t="s">
        <v>25</v>
      </c>
      <c r="C628" t="s">
        <v>26</v>
      </c>
      <c r="D628" t="s">
        <v>16</v>
      </c>
      <c r="E628" s="2">
        <v>43</v>
      </c>
      <c r="F628" t="s">
        <v>17</v>
      </c>
      <c r="G628" t="s">
        <v>70</v>
      </c>
      <c r="H628" s="2">
        <v>83</v>
      </c>
      <c r="I628" s="3">
        <v>2645</v>
      </c>
      <c r="J628" s="4">
        <v>0</v>
      </c>
      <c r="K628" s="2">
        <v>54</v>
      </c>
      <c r="L628" s="2">
        <v>5</v>
      </c>
      <c r="M628" s="3">
        <v>13430</v>
      </c>
    </row>
    <row r="629" spans="1:13">
      <c r="A629" t="s">
        <v>697</v>
      </c>
      <c r="B629" t="s">
        <v>25</v>
      </c>
      <c r="C629" t="s">
        <v>26</v>
      </c>
      <c r="D629" t="s">
        <v>27</v>
      </c>
      <c r="E629" s="2">
        <v>13</v>
      </c>
      <c r="F629" t="s">
        <v>22</v>
      </c>
      <c r="G629" t="s">
        <v>49</v>
      </c>
      <c r="H629" s="2">
        <v>87</v>
      </c>
      <c r="I629" s="3">
        <v>2451</v>
      </c>
      <c r="J629" s="4">
        <v>0</v>
      </c>
      <c r="K629" s="2">
        <v>20</v>
      </c>
      <c r="L629" s="2">
        <v>4</v>
      </c>
      <c r="M629" s="3">
        <v>8782</v>
      </c>
    </row>
    <row r="630" spans="1:13">
      <c r="A630" t="s">
        <v>698</v>
      </c>
      <c r="B630" t="s">
        <v>78</v>
      </c>
      <c r="C630" t="s">
        <v>15</v>
      </c>
      <c r="D630" t="s">
        <v>16</v>
      </c>
      <c r="E630" s="2">
        <v>43</v>
      </c>
      <c r="F630" t="s">
        <v>17</v>
      </c>
      <c r="G630" t="s">
        <v>40</v>
      </c>
      <c r="H630" s="2">
        <v>84</v>
      </c>
      <c r="I630" s="3">
        <v>9930</v>
      </c>
      <c r="J630" s="4">
        <v>9.9499999999999993</v>
      </c>
      <c r="K630" s="2">
        <v>92</v>
      </c>
      <c r="L630" s="2">
        <v>5</v>
      </c>
      <c r="M630" s="3">
        <v>45932</v>
      </c>
    </row>
    <row r="631" spans="1:13">
      <c r="A631" t="s">
        <v>699</v>
      </c>
      <c r="B631" t="s">
        <v>66</v>
      </c>
      <c r="C631" t="s">
        <v>39</v>
      </c>
      <c r="D631" t="s">
        <v>27</v>
      </c>
      <c r="E631" s="2">
        <v>16</v>
      </c>
      <c r="F631" t="s">
        <v>22</v>
      </c>
      <c r="G631" t="s">
        <v>70</v>
      </c>
      <c r="H631" s="2">
        <v>82</v>
      </c>
      <c r="I631" s="3">
        <v>3087</v>
      </c>
      <c r="J631" s="4">
        <v>5.37</v>
      </c>
      <c r="K631" s="2">
        <v>47</v>
      </c>
      <c r="L631" s="2">
        <v>4</v>
      </c>
      <c r="M631" s="3">
        <v>16810</v>
      </c>
    </row>
    <row r="632" spans="1:13">
      <c r="A632" t="s">
        <v>700</v>
      </c>
      <c r="B632" t="s">
        <v>42</v>
      </c>
      <c r="C632" t="s">
        <v>39</v>
      </c>
      <c r="D632" t="s">
        <v>16</v>
      </c>
      <c r="E632" s="2">
        <v>15</v>
      </c>
      <c r="F632" t="s">
        <v>34</v>
      </c>
      <c r="G632" t="s">
        <v>23</v>
      </c>
      <c r="H632" s="2">
        <v>82</v>
      </c>
      <c r="I632" s="3">
        <v>3723</v>
      </c>
      <c r="J632" s="4">
        <v>1.89</v>
      </c>
      <c r="K632" s="2">
        <v>55</v>
      </c>
      <c r="L632" s="2">
        <v>4</v>
      </c>
      <c r="M632" s="3">
        <v>13082</v>
      </c>
    </row>
    <row r="633" spans="1:13">
      <c r="A633" t="s">
        <v>701</v>
      </c>
      <c r="B633" t="s">
        <v>29</v>
      </c>
      <c r="C633" t="s">
        <v>30</v>
      </c>
      <c r="D633" t="s">
        <v>27</v>
      </c>
      <c r="E633" s="2">
        <v>30</v>
      </c>
      <c r="F633" t="s">
        <v>34</v>
      </c>
      <c r="G633" t="s">
        <v>18</v>
      </c>
      <c r="H633" s="2">
        <v>73</v>
      </c>
      <c r="I633" s="3">
        <v>4654</v>
      </c>
      <c r="J633" s="4">
        <v>15.13</v>
      </c>
      <c r="K633" s="2">
        <v>96</v>
      </c>
      <c r="L633" s="2">
        <v>3</v>
      </c>
      <c r="M633" s="3">
        <v>18002</v>
      </c>
    </row>
    <row r="634" spans="1:13">
      <c r="A634" t="s">
        <v>702</v>
      </c>
      <c r="B634" t="s">
        <v>109</v>
      </c>
      <c r="C634" t="s">
        <v>30</v>
      </c>
      <c r="D634" t="s">
        <v>16</v>
      </c>
      <c r="E634" s="2">
        <v>32</v>
      </c>
      <c r="F634" t="s">
        <v>34</v>
      </c>
      <c r="G634" t="s">
        <v>49</v>
      </c>
      <c r="H634" s="2">
        <v>72</v>
      </c>
      <c r="I634" s="3">
        <v>3362</v>
      </c>
      <c r="J634" s="4">
        <v>16.14</v>
      </c>
      <c r="K634" s="2">
        <v>124</v>
      </c>
      <c r="L634" s="2">
        <v>3</v>
      </c>
      <c r="M634" s="3">
        <v>17556</v>
      </c>
    </row>
    <row r="635" spans="1:13">
      <c r="A635" t="s">
        <v>703</v>
      </c>
      <c r="B635" t="s">
        <v>47</v>
      </c>
      <c r="C635" t="s">
        <v>48</v>
      </c>
      <c r="D635" t="s">
        <v>16</v>
      </c>
      <c r="E635" s="2">
        <v>47</v>
      </c>
      <c r="F635" t="s">
        <v>34</v>
      </c>
      <c r="G635" t="s">
        <v>31</v>
      </c>
      <c r="H635" s="2">
        <v>79</v>
      </c>
      <c r="I635" s="3">
        <v>7673</v>
      </c>
      <c r="J635" s="4">
        <v>7.82</v>
      </c>
      <c r="K635" s="2">
        <v>77</v>
      </c>
      <c r="L635" s="2">
        <v>4</v>
      </c>
      <c r="M635" s="3">
        <v>38023</v>
      </c>
    </row>
    <row r="636" spans="1:13">
      <c r="A636" t="s">
        <v>704</v>
      </c>
      <c r="B636" t="s">
        <v>25</v>
      </c>
      <c r="C636" t="s">
        <v>26</v>
      </c>
      <c r="D636" t="s">
        <v>16</v>
      </c>
      <c r="E636" s="2">
        <v>44</v>
      </c>
      <c r="F636" t="s">
        <v>22</v>
      </c>
      <c r="G636" t="s">
        <v>49</v>
      </c>
      <c r="H636" s="2">
        <v>86</v>
      </c>
      <c r="I636" s="3">
        <v>3110</v>
      </c>
      <c r="J636" s="4">
        <v>0.69</v>
      </c>
      <c r="K636" s="2">
        <v>42</v>
      </c>
      <c r="L636" s="2">
        <v>5</v>
      </c>
      <c r="M636" s="3">
        <v>16609</v>
      </c>
    </row>
    <row r="637" spans="1:13">
      <c r="A637" t="s">
        <v>705</v>
      </c>
      <c r="B637" t="s">
        <v>129</v>
      </c>
      <c r="C637" t="s">
        <v>21</v>
      </c>
      <c r="D637" t="s">
        <v>27</v>
      </c>
      <c r="E637" s="2">
        <v>35</v>
      </c>
      <c r="F637" t="s">
        <v>17</v>
      </c>
      <c r="G637" t="s">
        <v>49</v>
      </c>
      <c r="H637" s="2">
        <v>84</v>
      </c>
      <c r="I637" s="3">
        <v>7711</v>
      </c>
      <c r="J637" s="4">
        <v>19.39</v>
      </c>
      <c r="K637" s="2">
        <v>54</v>
      </c>
      <c r="L637" s="2">
        <v>5</v>
      </c>
      <c r="M637" s="3">
        <v>43974</v>
      </c>
    </row>
    <row r="638" spans="1:13">
      <c r="A638" t="s">
        <v>706</v>
      </c>
      <c r="B638" t="s">
        <v>60</v>
      </c>
      <c r="C638" t="s">
        <v>52</v>
      </c>
      <c r="D638" t="s">
        <v>16</v>
      </c>
      <c r="E638" s="2">
        <v>54</v>
      </c>
      <c r="F638" t="s">
        <v>34</v>
      </c>
      <c r="G638" t="s">
        <v>49</v>
      </c>
      <c r="H638" s="2">
        <v>68</v>
      </c>
      <c r="I638" s="3">
        <v>5342</v>
      </c>
      <c r="J638" s="4">
        <v>16.010000000000002</v>
      </c>
      <c r="K638" s="2">
        <v>67</v>
      </c>
      <c r="L638" s="2">
        <v>3</v>
      </c>
      <c r="M638" s="3">
        <v>24186</v>
      </c>
    </row>
    <row r="639" spans="1:13">
      <c r="A639" t="s">
        <v>707</v>
      </c>
      <c r="B639" t="s">
        <v>80</v>
      </c>
      <c r="C639" t="s">
        <v>15</v>
      </c>
      <c r="D639" t="s">
        <v>16</v>
      </c>
      <c r="E639" s="2">
        <v>48</v>
      </c>
      <c r="F639" t="s">
        <v>22</v>
      </c>
      <c r="G639" t="s">
        <v>18</v>
      </c>
      <c r="H639" s="2">
        <v>60</v>
      </c>
      <c r="I639" s="3">
        <v>7453</v>
      </c>
      <c r="J639" s="4">
        <v>25.11</v>
      </c>
      <c r="K639" s="2">
        <v>104</v>
      </c>
      <c r="L639" s="2">
        <v>3</v>
      </c>
      <c r="M639" s="3">
        <v>23373</v>
      </c>
    </row>
    <row r="640" spans="1:13">
      <c r="A640" t="s">
        <v>708</v>
      </c>
      <c r="B640" t="s">
        <v>97</v>
      </c>
      <c r="C640" t="s">
        <v>30</v>
      </c>
      <c r="D640" t="s">
        <v>27</v>
      </c>
      <c r="E640" s="2">
        <v>4</v>
      </c>
      <c r="F640" t="s">
        <v>34</v>
      </c>
      <c r="G640" t="s">
        <v>23</v>
      </c>
      <c r="H640" s="2">
        <v>78</v>
      </c>
      <c r="I640" s="3">
        <v>3325</v>
      </c>
      <c r="J640" s="4">
        <v>11.31</v>
      </c>
      <c r="K640" s="2">
        <v>110</v>
      </c>
      <c r="L640" s="2">
        <v>4</v>
      </c>
      <c r="M640" s="3">
        <v>9548</v>
      </c>
    </row>
    <row r="641" spans="1:13">
      <c r="A641" t="s">
        <v>709</v>
      </c>
      <c r="B641" t="s">
        <v>44</v>
      </c>
      <c r="C641" t="s">
        <v>45</v>
      </c>
      <c r="D641" t="s">
        <v>16</v>
      </c>
      <c r="E641" s="2">
        <v>57</v>
      </c>
      <c r="F641" t="s">
        <v>34</v>
      </c>
      <c r="G641" t="s">
        <v>31</v>
      </c>
      <c r="H641" s="2">
        <v>78</v>
      </c>
      <c r="I641" s="3">
        <v>8261</v>
      </c>
      <c r="J641" s="4">
        <v>18.14</v>
      </c>
      <c r="K641" s="2">
        <v>106</v>
      </c>
      <c r="L641" s="2">
        <v>4</v>
      </c>
      <c r="M641" s="3">
        <v>37345</v>
      </c>
    </row>
    <row r="642" spans="1:13">
      <c r="A642" t="s">
        <v>710</v>
      </c>
      <c r="B642" t="s">
        <v>20</v>
      </c>
      <c r="C642" t="s">
        <v>21</v>
      </c>
      <c r="D642" t="s">
        <v>27</v>
      </c>
      <c r="E642" s="2">
        <v>33</v>
      </c>
      <c r="F642" t="s">
        <v>17</v>
      </c>
      <c r="G642" t="s">
        <v>31</v>
      </c>
      <c r="H642" s="2">
        <v>68</v>
      </c>
      <c r="I642" s="3">
        <v>5816</v>
      </c>
      <c r="J642" s="4">
        <v>15.13</v>
      </c>
      <c r="K642" s="2">
        <v>131</v>
      </c>
      <c r="L642" s="2">
        <v>3</v>
      </c>
      <c r="M642" s="3">
        <v>23395</v>
      </c>
    </row>
    <row r="643" spans="1:13">
      <c r="A643" t="s">
        <v>711</v>
      </c>
      <c r="B643" t="s">
        <v>97</v>
      </c>
      <c r="C643" t="s">
        <v>30</v>
      </c>
      <c r="D643" t="s">
        <v>16</v>
      </c>
      <c r="E643" s="2">
        <v>52</v>
      </c>
      <c r="F643" t="s">
        <v>34</v>
      </c>
      <c r="G643" t="s">
        <v>49</v>
      </c>
      <c r="H643" s="2">
        <v>76</v>
      </c>
      <c r="I643" s="3">
        <v>3782</v>
      </c>
      <c r="J643" s="4">
        <v>14.91</v>
      </c>
      <c r="K643" s="2">
        <v>73</v>
      </c>
      <c r="L643" s="2">
        <v>4</v>
      </c>
      <c r="M643" s="3">
        <v>10835</v>
      </c>
    </row>
    <row r="644" spans="1:13">
      <c r="A644" t="s">
        <v>712</v>
      </c>
      <c r="B644" t="s">
        <v>135</v>
      </c>
      <c r="C644" t="s">
        <v>48</v>
      </c>
      <c r="D644" t="s">
        <v>27</v>
      </c>
      <c r="E644" s="2">
        <v>1</v>
      </c>
      <c r="F644" t="s">
        <v>22</v>
      </c>
      <c r="G644" t="s">
        <v>40</v>
      </c>
      <c r="H644" s="2">
        <v>77</v>
      </c>
      <c r="I644" s="3">
        <v>6354</v>
      </c>
      <c r="J644" s="4">
        <v>8.89</v>
      </c>
      <c r="K644" s="2">
        <v>115</v>
      </c>
      <c r="L644" s="2">
        <v>4</v>
      </c>
      <c r="M644" s="3">
        <v>29807</v>
      </c>
    </row>
    <row r="645" spans="1:13">
      <c r="A645" t="s">
        <v>713</v>
      </c>
      <c r="B645" t="s">
        <v>14</v>
      </c>
      <c r="C645" t="s">
        <v>15</v>
      </c>
      <c r="D645" t="s">
        <v>27</v>
      </c>
      <c r="E645" s="2">
        <v>36</v>
      </c>
      <c r="F645" t="s">
        <v>34</v>
      </c>
      <c r="G645" t="s">
        <v>40</v>
      </c>
      <c r="H645" s="2">
        <v>84</v>
      </c>
      <c r="I645" s="3">
        <v>7806</v>
      </c>
      <c r="J645" s="4">
        <v>15.4</v>
      </c>
      <c r="K645" s="2">
        <v>72</v>
      </c>
      <c r="L645" s="2">
        <v>4</v>
      </c>
      <c r="M645" s="3">
        <v>38922</v>
      </c>
    </row>
    <row r="646" spans="1:13">
      <c r="A646" t="s">
        <v>714</v>
      </c>
      <c r="B646" t="s">
        <v>80</v>
      </c>
      <c r="C646" t="s">
        <v>15</v>
      </c>
      <c r="D646" t="s">
        <v>16</v>
      </c>
      <c r="E646" s="2">
        <v>51</v>
      </c>
      <c r="F646" t="s">
        <v>22</v>
      </c>
      <c r="G646" t="s">
        <v>31</v>
      </c>
      <c r="H646" s="2">
        <v>76</v>
      </c>
      <c r="I646" s="3">
        <v>8175</v>
      </c>
      <c r="J646" s="4">
        <v>10.57</v>
      </c>
      <c r="K646" s="2">
        <v>74</v>
      </c>
      <c r="L646" s="2">
        <v>3</v>
      </c>
      <c r="M646" s="3">
        <v>47066</v>
      </c>
    </row>
    <row r="647" spans="1:13">
      <c r="A647" t="s">
        <v>715</v>
      </c>
      <c r="B647" t="s">
        <v>88</v>
      </c>
      <c r="C647" t="s">
        <v>15</v>
      </c>
      <c r="D647" t="s">
        <v>27</v>
      </c>
      <c r="E647" s="2">
        <v>60</v>
      </c>
      <c r="F647" t="s">
        <v>34</v>
      </c>
      <c r="G647" t="s">
        <v>23</v>
      </c>
      <c r="H647" s="2">
        <v>74</v>
      </c>
      <c r="I647" s="3">
        <v>8862</v>
      </c>
      <c r="J647" s="4">
        <v>21.28</v>
      </c>
      <c r="K647" s="2">
        <v>95</v>
      </c>
      <c r="L647" s="2">
        <v>3</v>
      </c>
      <c r="M647" s="3">
        <v>52628</v>
      </c>
    </row>
    <row r="648" spans="1:13">
      <c r="A648" t="s">
        <v>716</v>
      </c>
      <c r="B648" t="s">
        <v>44</v>
      </c>
      <c r="C648" t="s">
        <v>45</v>
      </c>
      <c r="D648" t="s">
        <v>27</v>
      </c>
      <c r="E648" s="2">
        <v>42</v>
      </c>
      <c r="F648" t="s">
        <v>17</v>
      </c>
      <c r="G648" t="s">
        <v>40</v>
      </c>
      <c r="H648" s="2">
        <v>76</v>
      </c>
      <c r="I648" s="3">
        <v>8792</v>
      </c>
      <c r="J648" s="4">
        <v>15.46</v>
      </c>
      <c r="K648" s="2">
        <v>111</v>
      </c>
      <c r="L648" s="2">
        <v>4</v>
      </c>
      <c r="M648" s="3">
        <v>36114</v>
      </c>
    </row>
    <row r="649" spans="1:13">
      <c r="A649" t="s">
        <v>717</v>
      </c>
      <c r="B649" t="s">
        <v>78</v>
      </c>
      <c r="C649" t="s">
        <v>15</v>
      </c>
      <c r="D649" t="s">
        <v>16</v>
      </c>
      <c r="E649" s="2">
        <v>42</v>
      </c>
      <c r="F649" t="s">
        <v>17</v>
      </c>
      <c r="G649" t="s">
        <v>18</v>
      </c>
      <c r="H649" s="2">
        <v>71</v>
      </c>
      <c r="I649" s="3">
        <v>8087</v>
      </c>
      <c r="J649" s="4">
        <v>15.78</v>
      </c>
      <c r="K649" s="2">
        <v>72</v>
      </c>
      <c r="L649" s="2">
        <v>4</v>
      </c>
      <c r="M649" s="3">
        <v>35086</v>
      </c>
    </row>
    <row r="650" spans="1:13">
      <c r="A650" t="s">
        <v>718</v>
      </c>
      <c r="B650" t="s">
        <v>109</v>
      </c>
      <c r="C650" t="s">
        <v>30</v>
      </c>
      <c r="D650" t="s">
        <v>16</v>
      </c>
      <c r="E650" s="2">
        <v>37</v>
      </c>
      <c r="F650" t="s">
        <v>17</v>
      </c>
      <c r="G650" t="s">
        <v>18</v>
      </c>
      <c r="H650" s="2">
        <v>86</v>
      </c>
      <c r="I650" s="3">
        <v>4458</v>
      </c>
      <c r="J650" s="4">
        <v>13.66</v>
      </c>
      <c r="K650" s="2">
        <v>65</v>
      </c>
      <c r="L650" s="2">
        <v>5</v>
      </c>
      <c r="M650" s="3">
        <v>15328</v>
      </c>
    </row>
    <row r="651" spans="1:13">
      <c r="A651" t="s">
        <v>719</v>
      </c>
      <c r="B651" t="s">
        <v>187</v>
      </c>
      <c r="C651" t="s">
        <v>30</v>
      </c>
      <c r="D651" t="s">
        <v>27</v>
      </c>
      <c r="E651" s="2">
        <v>29</v>
      </c>
      <c r="F651" t="s">
        <v>17</v>
      </c>
      <c r="G651" t="s">
        <v>18</v>
      </c>
      <c r="H651" s="2">
        <v>78</v>
      </c>
      <c r="I651" s="3">
        <v>3274</v>
      </c>
      <c r="J651" s="4">
        <v>18.440000000000001</v>
      </c>
      <c r="K651" s="2">
        <v>102</v>
      </c>
      <c r="L651" s="2">
        <v>4</v>
      </c>
      <c r="M651" s="3">
        <v>18393</v>
      </c>
    </row>
    <row r="652" spans="1:13">
      <c r="A652" t="s">
        <v>720</v>
      </c>
      <c r="B652" t="s">
        <v>29</v>
      </c>
      <c r="C652" t="s">
        <v>30</v>
      </c>
      <c r="D652" t="s">
        <v>16</v>
      </c>
      <c r="E652" s="2">
        <v>9</v>
      </c>
      <c r="F652" t="s">
        <v>22</v>
      </c>
      <c r="G652" t="s">
        <v>31</v>
      </c>
      <c r="H652" s="2">
        <v>76</v>
      </c>
      <c r="I652" s="3">
        <v>3658</v>
      </c>
      <c r="J652" s="4">
        <v>15.75</v>
      </c>
      <c r="K652" s="2">
        <v>65</v>
      </c>
      <c r="L652" s="2">
        <v>4</v>
      </c>
      <c r="M652" s="3">
        <v>14538</v>
      </c>
    </row>
    <row r="653" spans="1:13">
      <c r="A653" t="s">
        <v>721</v>
      </c>
      <c r="B653" t="s">
        <v>33</v>
      </c>
      <c r="C653" t="s">
        <v>26</v>
      </c>
      <c r="D653" t="s">
        <v>27</v>
      </c>
      <c r="E653" s="2">
        <v>51</v>
      </c>
      <c r="F653" t="s">
        <v>34</v>
      </c>
      <c r="G653" t="s">
        <v>31</v>
      </c>
      <c r="H653" s="2">
        <v>92</v>
      </c>
      <c r="I653" s="3">
        <v>2393</v>
      </c>
      <c r="J653" s="4">
        <v>9.7200000000000006</v>
      </c>
      <c r="K653" s="2">
        <v>13</v>
      </c>
      <c r="L653" s="2">
        <v>4</v>
      </c>
      <c r="M653" s="3">
        <v>6747</v>
      </c>
    </row>
    <row r="654" spans="1:13">
      <c r="A654" t="s">
        <v>722</v>
      </c>
      <c r="B654" t="s">
        <v>25</v>
      </c>
      <c r="C654" t="s">
        <v>39</v>
      </c>
      <c r="D654" t="s">
        <v>16</v>
      </c>
      <c r="E654" s="2">
        <v>10</v>
      </c>
      <c r="F654" t="s">
        <v>22</v>
      </c>
      <c r="G654" t="s">
        <v>40</v>
      </c>
      <c r="H654" s="2">
        <v>87</v>
      </c>
      <c r="I654" s="3">
        <v>2703</v>
      </c>
      <c r="J654" s="4">
        <v>6.01</v>
      </c>
      <c r="K654" s="2">
        <v>89</v>
      </c>
      <c r="L654" s="2">
        <v>4</v>
      </c>
      <c r="M654" s="3">
        <v>6923</v>
      </c>
    </row>
    <row r="655" spans="1:13">
      <c r="A655" t="s">
        <v>723</v>
      </c>
      <c r="B655" t="s">
        <v>78</v>
      </c>
      <c r="C655" t="s">
        <v>15</v>
      </c>
      <c r="D655" t="s">
        <v>16</v>
      </c>
      <c r="E655" s="2">
        <v>46</v>
      </c>
      <c r="F655" t="s">
        <v>17</v>
      </c>
      <c r="G655" t="s">
        <v>18</v>
      </c>
      <c r="H655" s="2">
        <v>81</v>
      </c>
      <c r="I655" s="3">
        <v>6246</v>
      </c>
      <c r="J655" s="4">
        <v>19.97</v>
      </c>
      <c r="K655" s="2">
        <v>73</v>
      </c>
      <c r="L655" s="2">
        <v>3</v>
      </c>
      <c r="M655" s="3">
        <v>21609</v>
      </c>
    </row>
    <row r="656" spans="1:13">
      <c r="A656" t="s">
        <v>724</v>
      </c>
      <c r="B656" t="s">
        <v>95</v>
      </c>
      <c r="C656" t="s">
        <v>52</v>
      </c>
      <c r="D656" t="s">
        <v>72</v>
      </c>
      <c r="E656" s="2">
        <v>68</v>
      </c>
      <c r="F656" t="s">
        <v>34</v>
      </c>
      <c r="G656" t="s">
        <v>23</v>
      </c>
      <c r="H656" s="2">
        <v>68</v>
      </c>
      <c r="I656" s="3">
        <v>9348</v>
      </c>
      <c r="J656" s="4">
        <v>18.649999999999999</v>
      </c>
      <c r="K656" s="2">
        <v>116</v>
      </c>
      <c r="L656" s="2">
        <v>3</v>
      </c>
      <c r="M656" s="3">
        <v>27496</v>
      </c>
    </row>
    <row r="657" spans="1:13">
      <c r="A657" t="s">
        <v>725</v>
      </c>
      <c r="B657" t="s">
        <v>56</v>
      </c>
      <c r="C657" t="s">
        <v>45</v>
      </c>
      <c r="D657" t="s">
        <v>16</v>
      </c>
      <c r="E657" s="2">
        <v>52</v>
      </c>
      <c r="F657" t="s">
        <v>34</v>
      </c>
      <c r="G657" t="s">
        <v>40</v>
      </c>
      <c r="H657" s="2">
        <v>85</v>
      </c>
      <c r="I657" s="3">
        <v>6936</v>
      </c>
      <c r="J657" s="4">
        <v>18.86</v>
      </c>
      <c r="K657" s="2">
        <v>78</v>
      </c>
      <c r="L657" s="2">
        <v>5</v>
      </c>
      <c r="M657" s="3">
        <v>36310</v>
      </c>
    </row>
    <row r="658" spans="1:13">
      <c r="A658" t="s">
        <v>726</v>
      </c>
      <c r="B658" t="s">
        <v>78</v>
      </c>
      <c r="C658" t="s">
        <v>15</v>
      </c>
      <c r="D658" t="s">
        <v>27</v>
      </c>
      <c r="E658" s="2">
        <v>61</v>
      </c>
      <c r="F658" t="s">
        <v>34</v>
      </c>
      <c r="G658" t="s">
        <v>18</v>
      </c>
      <c r="H658" s="2">
        <v>67</v>
      </c>
      <c r="I658" s="3">
        <v>6354</v>
      </c>
      <c r="J658" s="4">
        <v>19.03</v>
      </c>
      <c r="K658" s="2">
        <v>95</v>
      </c>
      <c r="L658" s="2">
        <v>4</v>
      </c>
      <c r="M658" s="3">
        <v>37189</v>
      </c>
    </row>
    <row r="659" spans="1:13">
      <c r="A659" t="s">
        <v>727</v>
      </c>
      <c r="B659" t="s">
        <v>47</v>
      </c>
      <c r="C659" t="s">
        <v>48</v>
      </c>
      <c r="D659" t="s">
        <v>16</v>
      </c>
      <c r="E659" s="2">
        <v>46</v>
      </c>
      <c r="F659" t="s">
        <v>22</v>
      </c>
      <c r="G659" t="s">
        <v>49</v>
      </c>
      <c r="H659" s="2">
        <v>80</v>
      </c>
      <c r="I659" s="3">
        <v>6624</v>
      </c>
      <c r="J659" s="4">
        <v>8.73</v>
      </c>
      <c r="K659" s="2">
        <v>65</v>
      </c>
      <c r="L659" s="2">
        <v>4</v>
      </c>
      <c r="M659" s="3">
        <v>28021</v>
      </c>
    </row>
    <row r="660" spans="1:13">
      <c r="A660" t="s">
        <v>728</v>
      </c>
      <c r="B660" t="s">
        <v>185</v>
      </c>
      <c r="C660" t="s">
        <v>52</v>
      </c>
      <c r="D660" t="s">
        <v>27</v>
      </c>
      <c r="E660" s="2">
        <v>53</v>
      </c>
      <c r="F660" t="s">
        <v>34</v>
      </c>
      <c r="G660" t="s">
        <v>18</v>
      </c>
      <c r="H660" s="2">
        <v>81</v>
      </c>
      <c r="I660" s="3">
        <v>9409</v>
      </c>
      <c r="J660" s="4">
        <v>14.01</v>
      </c>
      <c r="K660" s="2">
        <v>68</v>
      </c>
      <c r="L660" s="2">
        <v>4</v>
      </c>
      <c r="M660" s="3">
        <v>31191</v>
      </c>
    </row>
    <row r="661" spans="1:13">
      <c r="A661" t="s">
        <v>729</v>
      </c>
      <c r="B661" t="s">
        <v>60</v>
      </c>
      <c r="C661" t="s">
        <v>52</v>
      </c>
      <c r="D661" t="s">
        <v>27</v>
      </c>
      <c r="E661" s="2">
        <v>54</v>
      </c>
      <c r="F661" t="s">
        <v>34</v>
      </c>
      <c r="G661" t="s">
        <v>23</v>
      </c>
      <c r="H661" s="2">
        <v>77</v>
      </c>
      <c r="I661" s="3">
        <v>10346</v>
      </c>
      <c r="J661" s="4">
        <v>16.16</v>
      </c>
      <c r="K661" s="2">
        <v>62</v>
      </c>
      <c r="L661" s="2">
        <v>3</v>
      </c>
      <c r="M661" s="3">
        <v>40547</v>
      </c>
    </row>
    <row r="662" spans="1:13">
      <c r="A662" t="s">
        <v>730</v>
      </c>
      <c r="B662" t="s">
        <v>95</v>
      </c>
      <c r="C662" t="s">
        <v>52</v>
      </c>
      <c r="D662" t="s">
        <v>27</v>
      </c>
      <c r="E662" s="2">
        <v>25</v>
      </c>
      <c r="F662" t="s">
        <v>22</v>
      </c>
      <c r="G662" t="s">
        <v>23</v>
      </c>
      <c r="H662" s="2">
        <v>80</v>
      </c>
      <c r="I662" s="3">
        <v>5466</v>
      </c>
      <c r="J662" s="4">
        <v>15.65</v>
      </c>
      <c r="K662" s="2">
        <v>52</v>
      </c>
      <c r="L662" s="2">
        <v>4</v>
      </c>
      <c r="M662" s="3">
        <v>30802</v>
      </c>
    </row>
    <row r="663" spans="1:13">
      <c r="A663" t="s">
        <v>731</v>
      </c>
      <c r="B663" t="s">
        <v>38</v>
      </c>
      <c r="C663" t="s">
        <v>39</v>
      </c>
      <c r="D663" t="s">
        <v>16</v>
      </c>
      <c r="E663" s="2">
        <v>7</v>
      </c>
      <c r="F663" t="s">
        <v>34</v>
      </c>
      <c r="G663" t="s">
        <v>31</v>
      </c>
      <c r="H663" s="2">
        <v>85</v>
      </c>
      <c r="I663" s="3">
        <v>2970</v>
      </c>
      <c r="J663" s="4">
        <v>9.9600000000000009</v>
      </c>
      <c r="K663" s="2">
        <v>45</v>
      </c>
      <c r="L663" s="2">
        <v>4</v>
      </c>
      <c r="M663" s="3">
        <v>10559</v>
      </c>
    </row>
    <row r="664" spans="1:13">
      <c r="A664" t="s">
        <v>732</v>
      </c>
      <c r="B664" t="s">
        <v>58</v>
      </c>
      <c r="C664" t="s">
        <v>48</v>
      </c>
      <c r="D664" t="s">
        <v>27</v>
      </c>
      <c r="E664" s="2">
        <v>33</v>
      </c>
      <c r="F664" t="s">
        <v>17</v>
      </c>
      <c r="G664" t="s">
        <v>70</v>
      </c>
      <c r="H664" s="2">
        <v>82</v>
      </c>
      <c r="I664" s="3">
        <v>5786</v>
      </c>
      <c r="J664" s="4">
        <v>8.35</v>
      </c>
      <c r="K664" s="2">
        <v>56</v>
      </c>
      <c r="L664" s="2">
        <v>4</v>
      </c>
      <c r="M664" s="3">
        <v>17104</v>
      </c>
    </row>
    <row r="665" spans="1:13">
      <c r="A665" t="s">
        <v>733</v>
      </c>
      <c r="B665" t="s">
        <v>74</v>
      </c>
      <c r="C665" t="s">
        <v>45</v>
      </c>
      <c r="D665" t="s">
        <v>72</v>
      </c>
      <c r="E665" s="2">
        <v>22</v>
      </c>
      <c r="F665" t="s">
        <v>17</v>
      </c>
      <c r="G665" t="s">
        <v>31</v>
      </c>
      <c r="H665" s="2">
        <v>86</v>
      </c>
      <c r="I665" s="3">
        <v>11423</v>
      </c>
      <c r="J665" s="4">
        <v>11.96</v>
      </c>
      <c r="K665" s="2">
        <v>105</v>
      </c>
      <c r="L665" s="2">
        <v>4</v>
      </c>
      <c r="M665" s="3">
        <v>55851</v>
      </c>
    </row>
    <row r="666" spans="1:13">
      <c r="A666" t="s">
        <v>734</v>
      </c>
      <c r="B666" t="s">
        <v>58</v>
      </c>
      <c r="C666" t="s">
        <v>48</v>
      </c>
      <c r="D666" t="s">
        <v>27</v>
      </c>
      <c r="E666" s="2">
        <v>17</v>
      </c>
      <c r="F666" t="s">
        <v>17</v>
      </c>
      <c r="G666" t="s">
        <v>49</v>
      </c>
      <c r="H666" s="2">
        <v>80</v>
      </c>
      <c r="I666" s="3">
        <v>5936</v>
      </c>
      <c r="J666" s="4">
        <v>9.8000000000000007</v>
      </c>
      <c r="K666" s="2">
        <v>90</v>
      </c>
      <c r="L666" s="2">
        <v>4</v>
      </c>
      <c r="M666" s="3">
        <v>32133</v>
      </c>
    </row>
    <row r="667" spans="1:13">
      <c r="A667" t="s">
        <v>735</v>
      </c>
      <c r="B667" t="s">
        <v>25</v>
      </c>
      <c r="C667" t="s">
        <v>26</v>
      </c>
      <c r="D667" t="s">
        <v>27</v>
      </c>
      <c r="E667" s="2">
        <v>66</v>
      </c>
      <c r="F667" t="s">
        <v>22</v>
      </c>
      <c r="G667" t="s">
        <v>23</v>
      </c>
      <c r="H667" s="2">
        <v>82</v>
      </c>
      <c r="I667" s="3">
        <v>1954</v>
      </c>
      <c r="J667" s="4">
        <v>8.18</v>
      </c>
      <c r="K667" s="2">
        <v>68</v>
      </c>
      <c r="L667" s="2">
        <v>4</v>
      </c>
      <c r="M667" s="3">
        <v>10224</v>
      </c>
    </row>
    <row r="668" spans="1:13">
      <c r="A668" t="s">
        <v>736</v>
      </c>
      <c r="B668" t="s">
        <v>78</v>
      </c>
      <c r="C668" t="s">
        <v>15</v>
      </c>
      <c r="D668" t="s">
        <v>27</v>
      </c>
      <c r="E668" s="2">
        <v>40</v>
      </c>
      <c r="F668" t="s">
        <v>34</v>
      </c>
      <c r="G668" t="s">
        <v>23</v>
      </c>
      <c r="H668" s="2">
        <v>62</v>
      </c>
      <c r="I668" s="3">
        <v>5543</v>
      </c>
      <c r="J668" s="4">
        <v>23.78</v>
      </c>
      <c r="K668" s="2">
        <v>100</v>
      </c>
      <c r="L668" s="2">
        <v>3</v>
      </c>
      <c r="M668" s="3">
        <v>28643</v>
      </c>
    </row>
    <row r="669" spans="1:13">
      <c r="A669" t="s">
        <v>737</v>
      </c>
      <c r="B669" t="s">
        <v>187</v>
      </c>
      <c r="C669" t="s">
        <v>30</v>
      </c>
      <c r="D669" t="s">
        <v>16</v>
      </c>
      <c r="E669" s="2">
        <v>47</v>
      </c>
      <c r="F669" t="s">
        <v>17</v>
      </c>
      <c r="G669" t="s">
        <v>18</v>
      </c>
      <c r="H669" s="2">
        <v>70</v>
      </c>
      <c r="I669" s="3">
        <v>2879</v>
      </c>
      <c r="J669" s="4">
        <v>21.41</v>
      </c>
      <c r="K669" s="2">
        <v>107</v>
      </c>
      <c r="L669" s="2">
        <v>3</v>
      </c>
      <c r="M669" s="3">
        <v>16389</v>
      </c>
    </row>
    <row r="670" spans="1:13">
      <c r="A670" t="s">
        <v>738</v>
      </c>
      <c r="B670" t="s">
        <v>150</v>
      </c>
      <c r="C670" t="s">
        <v>48</v>
      </c>
      <c r="D670" t="s">
        <v>16</v>
      </c>
      <c r="E670" s="2">
        <v>72</v>
      </c>
      <c r="F670" t="s">
        <v>34</v>
      </c>
      <c r="G670" t="s">
        <v>31</v>
      </c>
      <c r="H670" s="2">
        <v>79</v>
      </c>
      <c r="I670" s="3">
        <v>7047</v>
      </c>
      <c r="J670" s="4">
        <v>8.14</v>
      </c>
      <c r="K670" s="2">
        <v>91</v>
      </c>
      <c r="L670" s="2">
        <v>4</v>
      </c>
      <c r="M670" s="3">
        <v>33076</v>
      </c>
    </row>
    <row r="671" spans="1:13">
      <c r="A671" t="s">
        <v>739</v>
      </c>
      <c r="B671" t="s">
        <v>25</v>
      </c>
      <c r="C671" t="s">
        <v>39</v>
      </c>
      <c r="D671" t="s">
        <v>27</v>
      </c>
      <c r="E671" s="2">
        <v>9</v>
      </c>
      <c r="F671" t="s">
        <v>17</v>
      </c>
      <c r="G671" t="s">
        <v>23</v>
      </c>
      <c r="H671" s="2">
        <v>95</v>
      </c>
      <c r="I671" s="3">
        <v>3419</v>
      </c>
      <c r="J671" s="4">
        <v>3.13</v>
      </c>
      <c r="K671" s="2">
        <v>53</v>
      </c>
      <c r="L671" s="2">
        <v>4</v>
      </c>
      <c r="M671" s="3">
        <v>9833</v>
      </c>
    </row>
    <row r="672" spans="1:13">
      <c r="A672" t="s">
        <v>740</v>
      </c>
      <c r="B672" t="s">
        <v>60</v>
      </c>
      <c r="C672" t="s">
        <v>52</v>
      </c>
      <c r="D672" t="s">
        <v>16</v>
      </c>
      <c r="E672" s="2">
        <v>60</v>
      </c>
      <c r="F672" t="s">
        <v>22</v>
      </c>
      <c r="G672" t="s">
        <v>23</v>
      </c>
      <c r="H672" s="2">
        <v>89</v>
      </c>
      <c r="I672" s="3">
        <v>9363</v>
      </c>
      <c r="J672" s="4">
        <v>9.08</v>
      </c>
      <c r="K672" s="2">
        <v>68</v>
      </c>
      <c r="L672" s="2">
        <v>4</v>
      </c>
      <c r="M672" s="3">
        <v>27855</v>
      </c>
    </row>
    <row r="673" spans="1:13">
      <c r="A673" t="s">
        <v>741</v>
      </c>
      <c r="B673" t="s">
        <v>20</v>
      </c>
      <c r="C673" t="s">
        <v>21</v>
      </c>
      <c r="D673" t="s">
        <v>27</v>
      </c>
      <c r="E673" s="2">
        <v>34</v>
      </c>
      <c r="F673" t="s">
        <v>34</v>
      </c>
      <c r="G673" t="s">
        <v>40</v>
      </c>
      <c r="H673" s="2">
        <v>77</v>
      </c>
      <c r="I673" s="3">
        <v>6129</v>
      </c>
      <c r="J673" s="4">
        <v>13</v>
      </c>
      <c r="K673" s="2">
        <v>73</v>
      </c>
      <c r="L673" s="2">
        <v>4</v>
      </c>
      <c r="M673" s="3">
        <v>17218</v>
      </c>
    </row>
    <row r="674" spans="1:13">
      <c r="A674" t="s">
        <v>742</v>
      </c>
      <c r="B674" t="s">
        <v>25</v>
      </c>
      <c r="C674" t="s">
        <v>26</v>
      </c>
      <c r="D674" t="s">
        <v>16</v>
      </c>
      <c r="E674" s="2">
        <v>21</v>
      </c>
      <c r="F674" t="s">
        <v>17</v>
      </c>
      <c r="G674" t="s">
        <v>70</v>
      </c>
      <c r="H674" s="2">
        <v>82</v>
      </c>
      <c r="I674" s="3">
        <v>2216</v>
      </c>
      <c r="J674" s="4">
        <v>8.33</v>
      </c>
      <c r="K674" s="2">
        <v>81</v>
      </c>
      <c r="L674" s="2">
        <v>4</v>
      </c>
      <c r="M674" s="3">
        <v>12743</v>
      </c>
    </row>
    <row r="675" spans="1:13">
      <c r="A675" t="s">
        <v>743</v>
      </c>
      <c r="B675" t="s">
        <v>122</v>
      </c>
      <c r="C675" t="s">
        <v>48</v>
      </c>
      <c r="D675" t="s">
        <v>27</v>
      </c>
      <c r="E675" s="2">
        <v>69</v>
      </c>
      <c r="F675" t="s">
        <v>17</v>
      </c>
      <c r="G675" t="s">
        <v>23</v>
      </c>
      <c r="H675" s="2">
        <v>77</v>
      </c>
      <c r="I675" s="3">
        <v>8131</v>
      </c>
      <c r="J675" s="4">
        <v>10.16</v>
      </c>
      <c r="K675" s="2">
        <v>74</v>
      </c>
      <c r="L675" s="2">
        <v>4</v>
      </c>
      <c r="M675" s="3">
        <v>30607</v>
      </c>
    </row>
    <row r="676" spans="1:13">
      <c r="A676" t="s">
        <v>744</v>
      </c>
      <c r="B676" t="s">
        <v>129</v>
      </c>
      <c r="C676" t="s">
        <v>21</v>
      </c>
      <c r="D676" t="s">
        <v>16</v>
      </c>
      <c r="E676" s="2">
        <v>32</v>
      </c>
      <c r="F676" t="s">
        <v>22</v>
      </c>
      <c r="G676" t="s">
        <v>49</v>
      </c>
      <c r="H676" s="2">
        <v>80</v>
      </c>
      <c r="I676" s="3">
        <v>7209</v>
      </c>
      <c r="J676" s="4">
        <v>6.31</v>
      </c>
      <c r="K676" s="2">
        <v>93</v>
      </c>
      <c r="L676" s="2">
        <v>4</v>
      </c>
      <c r="M676" s="3">
        <v>38612</v>
      </c>
    </row>
    <row r="677" spans="1:13">
      <c r="A677" t="s">
        <v>745</v>
      </c>
      <c r="B677" t="s">
        <v>97</v>
      </c>
      <c r="C677" t="s">
        <v>30</v>
      </c>
      <c r="D677" t="s">
        <v>16</v>
      </c>
      <c r="E677" s="2">
        <v>72</v>
      </c>
      <c r="F677" t="s">
        <v>34</v>
      </c>
      <c r="G677" t="s">
        <v>18</v>
      </c>
      <c r="H677" s="2">
        <v>81</v>
      </c>
      <c r="I677" s="3">
        <v>4148</v>
      </c>
      <c r="J677" s="4">
        <v>18.91</v>
      </c>
      <c r="K677" s="2">
        <v>103</v>
      </c>
      <c r="L677" s="2">
        <v>3</v>
      </c>
      <c r="M677" s="3">
        <v>19516</v>
      </c>
    </row>
    <row r="678" spans="1:13">
      <c r="A678" t="s">
        <v>746</v>
      </c>
      <c r="B678" t="s">
        <v>54</v>
      </c>
      <c r="C678" t="s">
        <v>15</v>
      </c>
      <c r="D678" t="s">
        <v>72</v>
      </c>
      <c r="E678" s="2">
        <v>23</v>
      </c>
      <c r="F678" t="s">
        <v>34</v>
      </c>
      <c r="G678" t="s">
        <v>49</v>
      </c>
      <c r="H678" s="2">
        <v>80</v>
      </c>
      <c r="I678" s="3">
        <v>6516</v>
      </c>
      <c r="J678" s="4">
        <v>17.96</v>
      </c>
      <c r="K678" s="2">
        <v>79</v>
      </c>
      <c r="L678" s="2">
        <v>4</v>
      </c>
      <c r="M678" s="3">
        <v>23588</v>
      </c>
    </row>
    <row r="679" spans="1:13">
      <c r="A679" t="s">
        <v>747</v>
      </c>
      <c r="B679" t="s">
        <v>64</v>
      </c>
      <c r="C679" t="s">
        <v>30</v>
      </c>
      <c r="D679" t="s">
        <v>27</v>
      </c>
      <c r="E679" s="2">
        <v>19</v>
      </c>
      <c r="F679" t="s">
        <v>17</v>
      </c>
      <c r="G679" t="s">
        <v>23</v>
      </c>
      <c r="H679" s="2">
        <v>67</v>
      </c>
      <c r="I679" s="3">
        <v>3314</v>
      </c>
      <c r="J679" s="4">
        <v>22.15</v>
      </c>
      <c r="K679" s="2">
        <v>110</v>
      </c>
      <c r="L679" s="2">
        <v>4</v>
      </c>
      <c r="M679" s="3">
        <v>8384</v>
      </c>
    </row>
    <row r="680" spans="1:13">
      <c r="A680" t="s">
        <v>748</v>
      </c>
      <c r="B680" t="s">
        <v>103</v>
      </c>
      <c r="C680" t="s">
        <v>26</v>
      </c>
      <c r="D680" t="s">
        <v>16</v>
      </c>
      <c r="E680" s="2">
        <v>46</v>
      </c>
      <c r="F680" t="s">
        <v>22</v>
      </c>
      <c r="G680" t="s">
        <v>18</v>
      </c>
      <c r="H680" s="2">
        <v>90</v>
      </c>
      <c r="I680" s="3">
        <v>3073</v>
      </c>
      <c r="J680" s="4">
        <v>0</v>
      </c>
      <c r="K680" s="2">
        <v>38</v>
      </c>
      <c r="L680" s="2">
        <v>4</v>
      </c>
      <c r="M680" s="3">
        <v>15405</v>
      </c>
    </row>
    <row r="681" spans="1:13">
      <c r="A681" t="s">
        <v>749</v>
      </c>
      <c r="B681" t="s">
        <v>88</v>
      </c>
      <c r="C681" t="s">
        <v>15</v>
      </c>
      <c r="D681" t="s">
        <v>27</v>
      </c>
      <c r="E681" s="2">
        <v>78</v>
      </c>
      <c r="F681" t="s">
        <v>17</v>
      </c>
      <c r="G681" t="s">
        <v>23</v>
      </c>
      <c r="H681" s="2">
        <v>72</v>
      </c>
      <c r="I681" s="3">
        <v>7940</v>
      </c>
      <c r="J681" s="4">
        <v>13.71</v>
      </c>
      <c r="K681" s="2">
        <v>76</v>
      </c>
      <c r="L681" s="2">
        <v>4</v>
      </c>
      <c r="M681" s="3">
        <v>26428</v>
      </c>
    </row>
    <row r="682" spans="1:13">
      <c r="A682" t="s">
        <v>750</v>
      </c>
      <c r="B682" t="s">
        <v>109</v>
      </c>
      <c r="C682" t="s">
        <v>30</v>
      </c>
      <c r="D682" t="s">
        <v>16</v>
      </c>
      <c r="E682" s="2">
        <v>66</v>
      </c>
      <c r="F682" t="s">
        <v>17</v>
      </c>
      <c r="G682" t="s">
        <v>18</v>
      </c>
      <c r="H682" s="2">
        <v>74</v>
      </c>
      <c r="I682" s="3">
        <v>2418</v>
      </c>
      <c r="J682" s="4">
        <v>15.84</v>
      </c>
      <c r="K682" s="2">
        <v>118</v>
      </c>
      <c r="L682" s="2">
        <v>4</v>
      </c>
      <c r="M682" s="3">
        <v>9837</v>
      </c>
    </row>
    <row r="683" spans="1:13">
      <c r="A683" t="s">
        <v>751</v>
      </c>
      <c r="B683" t="s">
        <v>185</v>
      </c>
      <c r="C683" t="s">
        <v>52</v>
      </c>
      <c r="D683" t="s">
        <v>27</v>
      </c>
      <c r="E683" s="2">
        <v>16</v>
      </c>
      <c r="F683" t="s">
        <v>22</v>
      </c>
      <c r="G683" t="s">
        <v>31</v>
      </c>
      <c r="H683" s="2">
        <v>76</v>
      </c>
      <c r="I683" s="3">
        <v>5656</v>
      </c>
      <c r="J683" s="4">
        <v>19.260000000000002</v>
      </c>
      <c r="K683" s="2">
        <v>78</v>
      </c>
      <c r="L683" s="2">
        <v>4</v>
      </c>
      <c r="M683" s="3">
        <v>23758</v>
      </c>
    </row>
    <row r="684" spans="1:13">
      <c r="A684" t="s">
        <v>752</v>
      </c>
      <c r="B684" t="s">
        <v>78</v>
      </c>
      <c r="C684" t="s">
        <v>15</v>
      </c>
      <c r="D684" t="s">
        <v>16</v>
      </c>
      <c r="E684" s="2">
        <v>61</v>
      </c>
      <c r="F684" t="s">
        <v>17</v>
      </c>
      <c r="G684" t="s">
        <v>23</v>
      </c>
      <c r="H684" s="2">
        <v>77</v>
      </c>
      <c r="I684" s="3">
        <v>6684</v>
      </c>
      <c r="J684" s="4">
        <v>21.56</v>
      </c>
      <c r="K684" s="2">
        <v>87</v>
      </c>
      <c r="L684" s="2">
        <v>4</v>
      </c>
      <c r="M684" s="3">
        <v>28228</v>
      </c>
    </row>
    <row r="685" spans="1:13">
      <c r="A685" t="s">
        <v>753</v>
      </c>
      <c r="B685" t="s">
        <v>54</v>
      </c>
      <c r="C685" t="s">
        <v>15</v>
      </c>
      <c r="D685" t="s">
        <v>16</v>
      </c>
      <c r="E685" s="2">
        <v>41</v>
      </c>
      <c r="F685" t="s">
        <v>34</v>
      </c>
      <c r="G685" t="s">
        <v>18</v>
      </c>
      <c r="H685" s="2">
        <v>82</v>
      </c>
      <c r="I685" s="3">
        <v>7394</v>
      </c>
      <c r="J685" s="4">
        <v>15.31</v>
      </c>
      <c r="K685" s="2">
        <v>57</v>
      </c>
      <c r="L685" s="2">
        <v>4</v>
      </c>
      <c r="M685" s="3">
        <v>32279</v>
      </c>
    </row>
    <row r="686" spans="1:13">
      <c r="A686" t="s">
        <v>754</v>
      </c>
      <c r="B686" t="s">
        <v>80</v>
      </c>
      <c r="C686" t="s">
        <v>15</v>
      </c>
      <c r="D686" t="s">
        <v>27</v>
      </c>
      <c r="E686" s="2">
        <v>59</v>
      </c>
      <c r="F686" t="s">
        <v>34</v>
      </c>
      <c r="G686" t="s">
        <v>23</v>
      </c>
      <c r="H686" s="2">
        <v>74</v>
      </c>
      <c r="I686" s="3">
        <v>6558</v>
      </c>
      <c r="J686" s="4">
        <v>12.24</v>
      </c>
      <c r="K686" s="2">
        <v>128</v>
      </c>
      <c r="L686" s="2">
        <v>3</v>
      </c>
      <c r="M686" s="3">
        <v>26652</v>
      </c>
    </row>
    <row r="687" spans="1:13">
      <c r="A687" t="s">
        <v>755</v>
      </c>
      <c r="B687" t="s">
        <v>84</v>
      </c>
      <c r="C687" t="s">
        <v>21</v>
      </c>
      <c r="D687" t="s">
        <v>27</v>
      </c>
      <c r="E687" s="2">
        <v>31</v>
      </c>
      <c r="F687" t="s">
        <v>22</v>
      </c>
      <c r="G687" t="s">
        <v>70</v>
      </c>
      <c r="H687" s="2">
        <v>78</v>
      </c>
      <c r="I687" s="3">
        <v>6079</v>
      </c>
      <c r="J687" s="4">
        <v>10.37</v>
      </c>
      <c r="K687" s="2">
        <v>103</v>
      </c>
      <c r="L687" s="2">
        <v>4</v>
      </c>
      <c r="M687" s="3">
        <v>24110</v>
      </c>
    </row>
    <row r="688" spans="1:13">
      <c r="A688" t="s">
        <v>756</v>
      </c>
      <c r="B688" t="s">
        <v>74</v>
      </c>
      <c r="C688" t="s">
        <v>45</v>
      </c>
      <c r="D688" t="s">
        <v>27</v>
      </c>
      <c r="E688" s="2">
        <v>27</v>
      </c>
      <c r="F688" t="s">
        <v>34</v>
      </c>
      <c r="G688" t="s">
        <v>18</v>
      </c>
      <c r="H688" s="2">
        <v>80</v>
      </c>
      <c r="I688" s="3">
        <v>10174</v>
      </c>
      <c r="J688" s="4">
        <v>10.47</v>
      </c>
      <c r="K688" s="2">
        <v>95</v>
      </c>
      <c r="L688" s="2">
        <v>4</v>
      </c>
      <c r="M688" s="3">
        <v>34175</v>
      </c>
    </row>
    <row r="689" spans="1:13">
      <c r="A689" t="s">
        <v>757</v>
      </c>
      <c r="B689" t="s">
        <v>66</v>
      </c>
      <c r="C689" t="s">
        <v>39</v>
      </c>
      <c r="D689" t="s">
        <v>16</v>
      </c>
      <c r="E689" s="2">
        <v>63</v>
      </c>
      <c r="F689" t="s">
        <v>34</v>
      </c>
      <c r="G689" t="s">
        <v>40</v>
      </c>
      <c r="H689" s="2">
        <v>73</v>
      </c>
      <c r="I689" s="3">
        <v>3619</v>
      </c>
      <c r="J689" s="4">
        <v>14.26</v>
      </c>
      <c r="K689" s="2">
        <v>74</v>
      </c>
      <c r="L689" s="2">
        <v>3</v>
      </c>
      <c r="M689" s="3">
        <v>21562</v>
      </c>
    </row>
    <row r="690" spans="1:13">
      <c r="A690" t="s">
        <v>758</v>
      </c>
      <c r="B690" t="s">
        <v>68</v>
      </c>
      <c r="C690" t="s">
        <v>45</v>
      </c>
      <c r="D690" t="s">
        <v>27</v>
      </c>
      <c r="E690" s="2">
        <v>74</v>
      </c>
      <c r="F690" t="s">
        <v>22</v>
      </c>
      <c r="G690" t="s">
        <v>49</v>
      </c>
      <c r="H690" s="2">
        <v>71</v>
      </c>
      <c r="I690" s="3">
        <v>7133</v>
      </c>
      <c r="J690" s="4">
        <v>19.66</v>
      </c>
      <c r="K690" s="2">
        <v>81</v>
      </c>
      <c r="L690" s="2">
        <v>3</v>
      </c>
      <c r="M690" s="3">
        <v>28096</v>
      </c>
    </row>
    <row r="691" spans="1:13">
      <c r="A691" t="s">
        <v>759</v>
      </c>
      <c r="B691" t="s">
        <v>62</v>
      </c>
      <c r="C691" t="s">
        <v>52</v>
      </c>
      <c r="D691" t="s">
        <v>16</v>
      </c>
      <c r="E691" s="2">
        <v>19</v>
      </c>
      <c r="F691" t="s">
        <v>22</v>
      </c>
      <c r="G691" t="s">
        <v>70</v>
      </c>
      <c r="H691" s="2">
        <v>83</v>
      </c>
      <c r="I691" s="3">
        <v>7529</v>
      </c>
      <c r="J691" s="4">
        <v>15.08</v>
      </c>
      <c r="K691" s="2">
        <v>55</v>
      </c>
      <c r="L691" s="2">
        <v>4</v>
      </c>
      <c r="M691" s="3">
        <v>35062</v>
      </c>
    </row>
    <row r="692" spans="1:13">
      <c r="A692" t="s">
        <v>760</v>
      </c>
      <c r="B692" t="s">
        <v>109</v>
      </c>
      <c r="C692" t="s">
        <v>30</v>
      </c>
      <c r="D692" t="s">
        <v>27</v>
      </c>
      <c r="E692" s="2">
        <v>47</v>
      </c>
      <c r="F692" t="s">
        <v>17</v>
      </c>
      <c r="G692" t="s">
        <v>70</v>
      </c>
      <c r="H692" s="2">
        <v>80</v>
      </c>
      <c r="I692" s="3">
        <v>2804</v>
      </c>
      <c r="J692" s="4">
        <v>12.22</v>
      </c>
      <c r="K692" s="2">
        <v>100</v>
      </c>
      <c r="L692" s="2">
        <v>4</v>
      </c>
      <c r="M692" s="3">
        <v>10939</v>
      </c>
    </row>
    <row r="693" spans="1:13">
      <c r="A693" t="s">
        <v>761</v>
      </c>
      <c r="B693" t="s">
        <v>95</v>
      </c>
      <c r="C693" t="s">
        <v>52</v>
      </c>
      <c r="D693" t="s">
        <v>27</v>
      </c>
      <c r="E693" s="2">
        <v>42</v>
      </c>
      <c r="F693" t="s">
        <v>22</v>
      </c>
      <c r="G693" t="s">
        <v>23</v>
      </c>
      <c r="H693" s="2">
        <v>76</v>
      </c>
      <c r="I693" s="3">
        <v>7852</v>
      </c>
      <c r="J693" s="4">
        <v>20.23</v>
      </c>
      <c r="K693" s="2">
        <v>91</v>
      </c>
      <c r="L693" s="2">
        <v>4</v>
      </c>
      <c r="M693" s="3">
        <v>25151</v>
      </c>
    </row>
    <row r="694" spans="1:13">
      <c r="A694" t="s">
        <v>762</v>
      </c>
      <c r="B694" t="s">
        <v>25</v>
      </c>
      <c r="C694" t="s">
        <v>26</v>
      </c>
      <c r="D694" t="s">
        <v>27</v>
      </c>
      <c r="E694" s="2">
        <v>53</v>
      </c>
      <c r="F694" t="s">
        <v>34</v>
      </c>
      <c r="G694" t="s">
        <v>40</v>
      </c>
      <c r="H694" s="2">
        <v>98</v>
      </c>
      <c r="I694" s="3">
        <v>2540</v>
      </c>
      <c r="J694" s="4">
        <v>4.8499999999999996</v>
      </c>
      <c r="K694" s="2">
        <v>52</v>
      </c>
      <c r="L694" s="2">
        <v>5</v>
      </c>
      <c r="M694" s="3">
        <v>12085</v>
      </c>
    </row>
    <row r="695" spans="1:13">
      <c r="A695" t="s">
        <v>763</v>
      </c>
      <c r="B695" t="s">
        <v>54</v>
      </c>
      <c r="C695" t="s">
        <v>39</v>
      </c>
      <c r="D695" t="s">
        <v>27</v>
      </c>
      <c r="E695" s="2">
        <v>8</v>
      </c>
      <c r="F695" t="s">
        <v>17</v>
      </c>
      <c r="G695" t="s">
        <v>40</v>
      </c>
      <c r="H695" s="2">
        <v>73</v>
      </c>
      <c r="I695" s="3">
        <v>3119</v>
      </c>
      <c r="J695" s="4">
        <v>10.07</v>
      </c>
      <c r="K695" s="2">
        <v>54</v>
      </c>
      <c r="L695" s="2">
        <v>4</v>
      </c>
      <c r="M695" s="3">
        <v>13244</v>
      </c>
    </row>
    <row r="696" spans="1:13">
      <c r="A696" t="s">
        <v>764</v>
      </c>
      <c r="B696" t="s">
        <v>51</v>
      </c>
      <c r="C696" t="s">
        <v>52</v>
      </c>
      <c r="D696" t="s">
        <v>16</v>
      </c>
      <c r="E696" s="2">
        <v>49</v>
      </c>
      <c r="F696" t="s">
        <v>34</v>
      </c>
      <c r="G696" t="s">
        <v>23</v>
      </c>
      <c r="H696" s="2">
        <v>73</v>
      </c>
      <c r="I696" s="3">
        <v>10548</v>
      </c>
      <c r="J696" s="4">
        <v>14.08</v>
      </c>
      <c r="K696" s="2">
        <v>70</v>
      </c>
      <c r="L696" s="2">
        <v>4</v>
      </c>
      <c r="M696" s="3">
        <v>50302</v>
      </c>
    </row>
    <row r="697" spans="1:13">
      <c r="A697" t="s">
        <v>765</v>
      </c>
      <c r="B697" t="s">
        <v>44</v>
      </c>
      <c r="C697" t="s">
        <v>45</v>
      </c>
      <c r="D697" t="s">
        <v>27</v>
      </c>
      <c r="E697" s="2">
        <v>47</v>
      </c>
      <c r="F697" t="s">
        <v>22</v>
      </c>
      <c r="G697" t="s">
        <v>18</v>
      </c>
      <c r="H697" s="2">
        <v>74</v>
      </c>
      <c r="I697" s="3">
        <v>7048</v>
      </c>
      <c r="J697" s="4">
        <v>18.43</v>
      </c>
      <c r="K697" s="2">
        <v>92</v>
      </c>
      <c r="L697" s="2">
        <v>4</v>
      </c>
      <c r="M697" s="3">
        <v>19418</v>
      </c>
    </row>
    <row r="698" spans="1:13">
      <c r="A698" t="s">
        <v>766</v>
      </c>
      <c r="B698" t="s">
        <v>20</v>
      </c>
      <c r="C698" t="s">
        <v>21</v>
      </c>
      <c r="D698" t="s">
        <v>27</v>
      </c>
      <c r="E698" s="2">
        <v>17</v>
      </c>
      <c r="F698" t="s">
        <v>17</v>
      </c>
      <c r="G698" t="s">
        <v>40</v>
      </c>
      <c r="H698" s="2">
        <v>74</v>
      </c>
      <c r="I698" s="3">
        <v>7174</v>
      </c>
      <c r="J698" s="4">
        <v>16.98</v>
      </c>
      <c r="K698" s="2">
        <v>104</v>
      </c>
      <c r="L698" s="2">
        <v>4</v>
      </c>
      <c r="M698" s="3">
        <v>29358</v>
      </c>
    </row>
    <row r="699" spans="1:13">
      <c r="A699" t="s">
        <v>767</v>
      </c>
      <c r="B699" t="s">
        <v>97</v>
      </c>
      <c r="C699" t="s">
        <v>30</v>
      </c>
      <c r="D699" t="s">
        <v>16</v>
      </c>
      <c r="E699" s="2">
        <v>33</v>
      </c>
      <c r="F699" t="s">
        <v>34</v>
      </c>
      <c r="G699" t="s">
        <v>40</v>
      </c>
      <c r="H699" s="2">
        <v>66</v>
      </c>
      <c r="I699" s="3">
        <v>4899</v>
      </c>
      <c r="J699" s="4">
        <v>26.11</v>
      </c>
      <c r="K699" s="2">
        <v>117</v>
      </c>
      <c r="L699" s="2">
        <v>3</v>
      </c>
      <c r="M699" s="3">
        <v>26878</v>
      </c>
    </row>
    <row r="700" spans="1:13">
      <c r="A700" t="s">
        <v>768</v>
      </c>
      <c r="B700" t="s">
        <v>143</v>
      </c>
      <c r="C700" t="s">
        <v>21</v>
      </c>
      <c r="D700" t="s">
        <v>27</v>
      </c>
      <c r="E700" s="2">
        <v>40</v>
      </c>
      <c r="F700" t="s">
        <v>34</v>
      </c>
      <c r="G700" t="s">
        <v>31</v>
      </c>
      <c r="H700" s="2">
        <v>69</v>
      </c>
      <c r="I700" s="3">
        <v>5804</v>
      </c>
      <c r="J700" s="4">
        <v>16.18</v>
      </c>
      <c r="K700" s="2">
        <v>81</v>
      </c>
      <c r="L700" s="2">
        <v>4</v>
      </c>
      <c r="M700" s="3">
        <v>30535</v>
      </c>
    </row>
    <row r="701" spans="1:13">
      <c r="A701" t="s">
        <v>769</v>
      </c>
      <c r="B701" t="s">
        <v>42</v>
      </c>
      <c r="C701" t="s">
        <v>39</v>
      </c>
      <c r="D701" t="s">
        <v>27</v>
      </c>
      <c r="E701" s="2">
        <v>4</v>
      </c>
      <c r="F701" t="s">
        <v>22</v>
      </c>
      <c r="G701" t="s">
        <v>40</v>
      </c>
      <c r="H701" s="2">
        <v>90</v>
      </c>
      <c r="I701" s="3">
        <v>3468</v>
      </c>
      <c r="J701" s="4">
        <v>4.13</v>
      </c>
      <c r="K701" s="2">
        <v>34</v>
      </c>
      <c r="L701" s="2">
        <v>5</v>
      </c>
      <c r="M701" s="3">
        <v>10212</v>
      </c>
    </row>
    <row r="702" spans="1:13">
      <c r="A702" t="s">
        <v>770</v>
      </c>
      <c r="B702" t="s">
        <v>84</v>
      </c>
      <c r="C702" t="s">
        <v>21</v>
      </c>
      <c r="D702" t="s">
        <v>16</v>
      </c>
      <c r="E702" s="2">
        <v>21</v>
      </c>
      <c r="F702" t="s">
        <v>34</v>
      </c>
      <c r="G702" t="s">
        <v>49</v>
      </c>
      <c r="H702" s="2">
        <v>75</v>
      </c>
      <c r="I702" s="3">
        <v>7838</v>
      </c>
      <c r="J702" s="4">
        <v>18.190000000000001</v>
      </c>
      <c r="K702" s="2">
        <v>84</v>
      </c>
      <c r="L702" s="2">
        <v>3</v>
      </c>
      <c r="M702" s="3">
        <v>41942</v>
      </c>
    </row>
    <row r="703" spans="1:13">
      <c r="A703" t="s">
        <v>771</v>
      </c>
      <c r="B703" t="s">
        <v>135</v>
      </c>
      <c r="C703" t="s">
        <v>48</v>
      </c>
      <c r="D703" t="s">
        <v>16</v>
      </c>
      <c r="E703" s="2">
        <v>45</v>
      </c>
      <c r="F703" t="s">
        <v>17</v>
      </c>
      <c r="G703" t="s">
        <v>23</v>
      </c>
      <c r="H703" s="2">
        <v>82</v>
      </c>
      <c r="I703" s="3">
        <v>6060</v>
      </c>
      <c r="J703" s="4">
        <v>14.54</v>
      </c>
      <c r="K703" s="2">
        <v>89</v>
      </c>
      <c r="L703" s="2">
        <v>4</v>
      </c>
      <c r="M703" s="3">
        <v>25606</v>
      </c>
    </row>
    <row r="704" spans="1:13">
      <c r="A704" t="s">
        <v>772</v>
      </c>
      <c r="B704" t="s">
        <v>95</v>
      </c>
      <c r="C704" t="s">
        <v>52</v>
      </c>
      <c r="D704" t="s">
        <v>27</v>
      </c>
      <c r="E704" s="2">
        <v>23</v>
      </c>
      <c r="F704" t="s">
        <v>22</v>
      </c>
      <c r="G704" t="s">
        <v>70</v>
      </c>
      <c r="H704" s="2">
        <v>77</v>
      </c>
      <c r="I704" s="3">
        <v>8446</v>
      </c>
      <c r="J704" s="4">
        <v>15.17</v>
      </c>
      <c r="K704" s="2">
        <v>16</v>
      </c>
      <c r="L704" s="2">
        <v>3</v>
      </c>
      <c r="M704" s="3">
        <v>35656</v>
      </c>
    </row>
    <row r="705" spans="1:13">
      <c r="A705" t="s">
        <v>773</v>
      </c>
      <c r="B705" t="s">
        <v>64</v>
      </c>
      <c r="C705" t="s">
        <v>30</v>
      </c>
      <c r="D705" t="s">
        <v>16</v>
      </c>
      <c r="E705" s="2">
        <v>14</v>
      </c>
      <c r="F705" t="s">
        <v>17</v>
      </c>
      <c r="G705" t="s">
        <v>18</v>
      </c>
      <c r="H705" s="2">
        <v>65</v>
      </c>
      <c r="I705" s="3">
        <v>3453</v>
      </c>
      <c r="J705" s="4">
        <v>23.82</v>
      </c>
      <c r="K705" s="2">
        <v>118</v>
      </c>
      <c r="L705" s="2">
        <v>3</v>
      </c>
      <c r="M705" s="3">
        <v>11519</v>
      </c>
    </row>
    <row r="706" spans="1:13">
      <c r="A706" t="s">
        <v>774</v>
      </c>
      <c r="B706" t="s">
        <v>66</v>
      </c>
      <c r="C706" t="s">
        <v>39</v>
      </c>
      <c r="D706" t="s">
        <v>16</v>
      </c>
      <c r="E706" s="2">
        <v>18</v>
      </c>
      <c r="F706" t="s">
        <v>34</v>
      </c>
      <c r="G706" t="s">
        <v>23</v>
      </c>
      <c r="H706" s="2">
        <v>88</v>
      </c>
      <c r="I706" s="3">
        <v>2909</v>
      </c>
      <c r="J706" s="4">
        <v>2.94</v>
      </c>
      <c r="K706" s="2">
        <v>65</v>
      </c>
      <c r="L706" s="2">
        <v>4</v>
      </c>
      <c r="M706" s="3">
        <v>12889</v>
      </c>
    </row>
    <row r="707" spans="1:13">
      <c r="A707" t="s">
        <v>775</v>
      </c>
      <c r="B707" t="s">
        <v>97</v>
      </c>
      <c r="C707" t="s">
        <v>30</v>
      </c>
      <c r="D707" t="s">
        <v>16</v>
      </c>
      <c r="E707" s="2">
        <v>29</v>
      </c>
      <c r="F707" t="s">
        <v>17</v>
      </c>
      <c r="G707" t="s">
        <v>23</v>
      </c>
      <c r="H707" s="2">
        <v>72</v>
      </c>
      <c r="I707" s="3">
        <v>3430</v>
      </c>
      <c r="J707" s="4">
        <v>19.510000000000002</v>
      </c>
      <c r="K707" s="2">
        <v>69</v>
      </c>
      <c r="L707" s="2">
        <v>3</v>
      </c>
      <c r="M707" s="3">
        <v>14070</v>
      </c>
    </row>
    <row r="708" spans="1:13">
      <c r="A708" t="s">
        <v>776</v>
      </c>
      <c r="B708" t="s">
        <v>38</v>
      </c>
      <c r="C708" t="s">
        <v>39</v>
      </c>
      <c r="D708" t="s">
        <v>27</v>
      </c>
      <c r="E708" s="2">
        <v>18</v>
      </c>
      <c r="F708" t="s">
        <v>22</v>
      </c>
      <c r="G708" t="s">
        <v>70</v>
      </c>
      <c r="H708" s="2">
        <v>86</v>
      </c>
      <c r="I708" s="3">
        <v>3856</v>
      </c>
      <c r="J708" s="4">
        <v>6.32</v>
      </c>
      <c r="K708" s="2">
        <v>73</v>
      </c>
      <c r="L708" s="2">
        <v>4</v>
      </c>
      <c r="M708" s="3">
        <v>12406</v>
      </c>
    </row>
    <row r="709" spans="1:13">
      <c r="A709" t="s">
        <v>777</v>
      </c>
      <c r="B709" t="s">
        <v>80</v>
      </c>
      <c r="C709" t="s">
        <v>15</v>
      </c>
      <c r="D709" t="s">
        <v>27</v>
      </c>
      <c r="E709" s="2">
        <v>37</v>
      </c>
      <c r="F709" t="s">
        <v>17</v>
      </c>
      <c r="G709" t="s">
        <v>18</v>
      </c>
      <c r="H709" s="2">
        <v>69</v>
      </c>
      <c r="I709" s="3">
        <v>6521</v>
      </c>
      <c r="J709" s="4">
        <v>19.47</v>
      </c>
      <c r="K709" s="2">
        <v>93</v>
      </c>
      <c r="L709" s="2">
        <v>4</v>
      </c>
      <c r="M709" s="3">
        <v>36978</v>
      </c>
    </row>
    <row r="710" spans="1:13">
      <c r="A710" t="s">
        <v>778</v>
      </c>
      <c r="B710" t="s">
        <v>103</v>
      </c>
      <c r="C710" t="s">
        <v>26</v>
      </c>
      <c r="D710" t="s">
        <v>16</v>
      </c>
      <c r="E710" s="2">
        <v>41</v>
      </c>
      <c r="F710" t="s">
        <v>17</v>
      </c>
      <c r="G710" t="s">
        <v>31</v>
      </c>
      <c r="H710" s="2">
        <v>87</v>
      </c>
      <c r="I710" s="3">
        <v>2077</v>
      </c>
      <c r="J710" s="4">
        <v>4.9400000000000004</v>
      </c>
      <c r="K710" s="2">
        <v>41</v>
      </c>
      <c r="L710" s="2">
        <v>4</v>
      </c>
      <c r="M710" s="3">
        <v>11904</v>
      </c>
    </row>
    <row r="711" spans="1:13">
      <c r="A711" t="s">
        <v>779</v>
      </c>
      <c r="B711" t="s">
        <v>66</v>
      </c>
      <c r="C711" t="s">
        <v>39</v>
      </c>
      <c r="D711" t="s">
        <v>16</v>
      </c>
      <c r="E711" s="2">
        <v>7</v>
      </c>
      <c r="F711" t="s">
        <v>17</v>
      </c>
      <c r="G711" t="s">
        <v>70</v>
      </c>
      <c r="H711" s="2">
        <v>78</v>
      </c>
      <c r="I711" s="3">
        <v>3603</v>
      </c>
      <c r="J711" s="4">
        <v>13.13</v>
      </c>
      <c r="K711" s="2">
        <v>66</v>
      </c>
      <c r="L711" s="2">
        <v>4</v>
      </c>
      <c r="M711" s="3">
        <v>10440</v>
      </c>
    </row>
    <row r="712" spans="1:13">
      <c r="A712" t="s">
        <v>780</v>
      </c>
      <c r="B712" t="s">
        <v>150</v>
      </c>
      <c r="C712" t="s">
        <v>48</v>
      </c>
      <c r="D712" t="s">
        <v>27</v>
      </c>
      <c r="E712" s="2">
        <v>56</v>
      </c>
      <c r="F712" t="s">
        <v>22</v>
      </c>
      <c r="G712" t="s">
        <v>23</v>
      </c>
      <c r="H712" s="2">
        <v>76</v>
      </c>
      <c r="I712" s="3">
        <v>3706</v>
      </c>
      <c r="J712" s="4">
        <v>12.37</v>
      </c>
      <c r="K712" s="2">
        <v>87</v>
      </c>
      <c r="L712" s="2">
        <v>3</v>
      </c>
      <c r="M712" s="3">
        <v>14141</v>
      </c>
    </row>
    <row r="713" spans="1:13">
      <c r="A713" t="s">
        <v>781</v>
      </c>
      <c r="B713" t="s">
        <v>137</v>
      </c>
      <c r="C713" t="s">
        <v>26</v>
      </c>
      <c r="D713" t="s">
        <v>27</v>
      </c>
      <c r="E713" s="2">
        <v>49</v>
      </c>
      <c r="F713" t="s">
        <v>22</v>
      </c>
      <c r="G713" t="s">
        <v>40</v>
      </c>
      <c r="H713" s="2">
        <v>86</v>
      </c>
      <c r="I713" s="3">
        <v>2400</v>
      </c>
      <c r="J713" s="4">
        <v>1.47</v>
      </c>
      <c r="K713" s="2">
        <v>77</v>
      </c>
      <c r="L713" s="2">
        <v>5</v>
      </c>
      <c r="M713" s="3">
        <v>12735</v>
      </c>
    </row>
    <row r="714" spans="1:13">
      <c r="A714" t="s">
        <v>782</v>
      </c>
      <c r="B714" t="s">
        <v>95</v>
      </c>
      <c r="C714" t="s">
        <v>52</v>
      </c>
      <c r="D714" t="s">
        <v>27</v>
      </c>
      <c r="E714" s="2">
        <v>1</v>
      </c>
      <c r="F714" t="s">
        <v>34</v>
      </c>
      <c r="G714" t="s">
        <v>18</v>
      </c>
      <c r="H714" s="2">
        <v>65</v>
      </c>
      <c r="I714" s="3">
        <v>7101</v>
      </c>
      <c r="J714" s="4">
        <v>15.92</v>
      </c>
      <c r="K714" s="2">
        <v>69</v>
      </c>
      <c r="L714" s="2">
        <v>4</v>
      </c>
      <c r="M714" s="3">
        <v>33288</v>
      </c>
    </row>
    <row r="715" spans="1:13">
      <c r="A715" t="s">
        <v>783</v>
      </c>
      <c r="B715" t="s">
        <v>38</v>
      </c>
      <c r="C715" t="s">
        <v>39</v>
      </c>
      <c r="D715" t="s">
        <v>27</v>
      </c>
      <c r="E715" s="2">
        <v>18</v>
      </c>
      <c r="F715" t="s">
        <v>34</v>
      </c>
      <c r="G715" t="s">
        <v>18</v>
      </c>
      <c r="H715" s="2">
        <v>79</v>
      </c>
      <c r="I715" s="3">
        <v>2618</v>
      </c>
      <c r="J715" s="4">
        <v>8.23</v>
      </c>
      <c r="K715" s="2">
        <v>72</v>
      </c>
      <c r="L715" s="2">
        <v>4</v>
      </c>
      <c r="M715" s="3">
        <v>14205</v>
      </c>
    </row>
    <row r="716" spans="1:13">
      <c r="A716" t="s">
        <v>784</v>
      </c>
      <c r="B716" t="s">
        <v>80</v>
      </c>
      <c r="C716" t="s">
        <v>15</v>
      </c>
      <c r="D716" t="s">
        <v>27</v>
      </c>
      <c r="E716" s="2">
        <v>35</v>
      </c>
      <c r="F716" t="s">
        <v>34</v>
      </c>
      <c r="G716" t="s">
        <v>18</v>
      </c>
      <c r="H716" s="2">
        <v>81</v>
      </c>
      <c r="I716" s="3">
        <v>6038</v>
      </c>
      <c r="J716" s="4">
        <v>10.6</v>
      </c>
      <c r="K716" s="2">
        <v>68</v>
      </c>
      <c r="L716" s="2">
        <v>3</v>
      </c>
      <c r="M716" s="3">
        <v>23704</v>
      </c>
    </row>
    <row r="717" spans="1:13">
      <c r="A717" t="s">
        <v>785</v>
      </c>
      <c r="B717" t="s">
        <v>51</v>
      </c>
      <c r="C717" t="s">
        <v>52</v>
      </c>
      <c r="D717" t="s">
        <v>27</v>
      </c>
      <c r="E717" s="2">
        <v>34</v>
      </c>
      <c r="F717" t="s">
        <v>17</v>
      </c>
      <c r="G717" t="s">
        <v>31</v>
      </c>
      <c r="H717" s="2">
        <v>88</v>
      </c>
      <c r="I717" s="3">
        <v>8071</v>
      </c>
      <c r="J717" s="4">
        <v>19.03</v>
      </c>
      <c r="K717" s="2">
        <v>83</v>
      </c>
      <c r="L717" s="2">
        <v>5</v>
      </c>
      <c r="M717" s="3">
        <v>25002</v>
      </c>
    </row>
    <row r="718" spans="1:13">
      <c r="A718" t="s">
        <v>786</v>
      </c>
      <c r="B718" t="s">
        <v>109</v>
      </c>
      <c r="C718" t="s">
        <v>30</v>
      </c>
      <c r="D718" t="s">
        <v>27</v>
      </c>
      <c r="E718" s="2">
        <v>32</v>
      </c>
      <c r="F718" t="s">
        <v>22</v>
      </c>
      <c r="G718" t="s">
        <v>70</v>
      </c>
      <c r="H718" s="2">
        <v>71</v>
      </c>
      <c r="I718" s="3">
        <v>2561</v>
      </c>
      <c r="J718" s="4">
        <v>19.73</v>
      </c>
      <c r="K718" s="2">
        <v>89</v>
      </c>
      <c r="L718" s="2">
        <v>4</v>
      </c>
      <c r="M718" s="3">
        <v>7618</v>
      </c>
    </row>
    <row r="719" spans="1:13">
      <c r="A719" t="s">
        <v>787</v>
      </c>
      <c r="B719" t="s">
        <v>36</v>
      </c>
      <c r="C719" t="s">
        <v>21</v>
      </c>
      <c r="D719" t="s">
        <v>16</v>
      </c>
      <c r="E719" s="2">
        <v>53</v>
      </c>
      <c r="F719" t="s">
        <v>34</v>
      </c>
      <c r="G719" t="s">
        <v>40</v>
      </c>
      <c r="H719" s="2">
        <v>78</v>
      </c>
      <c r="I719" s="3">
        <v>8067</v>
      </c>
      <c r="J719" s="4">
        <v>17.440000000000001</v>
      </c>
      <c r="K719" s="2">
        <v>74</v>
      </c>
      <c r="L719" s="2">
        <v>4</v>
      </c>
      <c r="M719" s="3">
        <v>24567</v>
      </c>
    </row>
    <row r="720" spans="1:13">
      <c r="A720" t="s">
        <v>788</v>
      </c>
      <c r="B720" t="s">
        <v>25</v>
      </c>
      <c r="C720" t="s">
        <v>26</v>
      </c>
      <c r="D720" t="s">
        <v>16</v>
      </c>
      <c r="E720" s="2">
        <v>57</v>
      </c>
      <c r="F720" t="s">
        <v>22</v>
      </c>
      <c r="G720" t="s">
        <v>31</v>
      </c>
      <c r="H720" s="2">
        <v>86</v>
      </c>
      <c r="I720" s="3">
        <v>2114</v>
      </c>
      <c r="J720" s="4">
        <v>11.44</v>
      </c>
      <c r="K720" s="2">
        <v>35</v>
      </c>
      <c r="L720" s="2">
        <v>5</v>
      </c>
      <c r="M720" s="3">
        <v>5954</v>
      </c>
    </row>
    <row r="721" spans="1:13">
      <c r="A721" t="s">
        <v>789</v>
      </c>
      <c r="B721" t="s">
        <v>60</v>
      </c>
      <c r="C721" t="s">
        <v>52</v>
      </c>
      <c r="D721" t="s">
        <v>27</v>
      </c>
      <c r="E721" s="2">
        <v>24</v>
      </c>
      <c r="F721" t="s">
        <v>17</v>
      </c>
      <c r="G721" t="s">
        <v>40</v>
      </c>
      <c r="H721" s="2">
        <v>82</v>
      </c>
      <c r="I721" s="3">
        <v>7991</v>
      </c>
      <c r="J721" s="4">
        <v>11.37</v>
      </c>
      <c r="K721" s="2">
        <v>46</v>
      </c>
      <c r="L721" s="2">
        <v>4</v>
      </c>
      <c r="M721" s="3">
        <v>29786</v>
      </c>
    </row>
    <row r="722" spans="1:13">
      <c r="A722" t="s">
        <v>790</v>
      </c>
      <c r="B722" t="s">
        <v>64</v>
      </c>
      <c r="C722" t="s">
        <v>30</v>
      </c>
      <c r="D722" t="s">
        <v>27</v>
      </c>
      <c r="E722" s="2">
        <v>58</v>
      </c>
      <c r="F722" t="s">
        <v>17</v>
      </c>
      <c r="G722" t="s">
        <v>23</v>
      </c>
      <c r="H722" s="2">
        <v>68</v>
      </c>
      <c r="I722" s="3">
        <v>3225</v>
      </c>
      <c r="J722" s="4">
        <v>13.93</v>
      </c>
      <c r="K722" s="2">
        <v>122</v>
      </c>
      <c r="L722" s="2">
        <v>3</v>
      </c>
      <c r="M722" s="3">
        <v>17075</v>
      </c>
    </row>
    <row r="723" spans="1:13">
      <c r="A723" t="s">
        <v>791</v>
      </c>
      <c r="B723" t="s">
        <v>66</v>
      </c>
      <c r="C723" t="s">
        <v>39</v>
      </c>
      <c r="D723" t="s">
        <v>16</v>
      </c>
      <c r="E723" s="2">
        <v>13</v>
      </c>
      <c r="F723" t="s">
        <v>17</v>
      </c>
      <c r="G723" t="s">
        <v>31</v>
      </c>
      <c r="H723" s="2">
        <v>78</v>
      </c>
      <c r="I723" s="3">
        <v>2512</v>
      </c>
      <c r="J723" s="4">
        <v>6.9</v>
      </c>
      <c r="K723" s="2">
        <v>72</v>
      </c>
      <c r="L723" s="2">
        <v>4</v>
      </c>
      <c r="M723" s="3">
        <v>14948</v>
      </c>
    </row>
    <row r="724" spans="1:13">
      <c r="A724" t="s">
        <v>792</v>
      </c>
      <c r="B724" t="s">
        <v>78</v>
      </c>
      <c r="C724" t="s">
        <v>15</v>
      </c>
      <c r="D724" t="s">
        <v>16</v>
      </c>
      <c r="E724" s="2">
        <v>34</v>
      </c>
      <c r="F724" t="s">
        <v>17</v>
      </c>
      <c r="G724" t="s">
        <v>40</v>
      </c>
      <c r="H724" s="2">
        <v>66</v>
      </c>
      <c r="I724" s="3">
        <v>8157</v>
      </c>
      <c r="J724" s="4">
        <v>16.63</v>
      </c>
      <c r="K724" s="2">
        <v>111</v>
      </c>
      <c r="L724" s="2">
        <v>3</v>
      </c>
      <c r="M724" s="3">
        <v>31204</v>
      </c>
    </row>
    <row r="725" spans="1:13">
      <c r="A725" t="s">
        <v>793</v>
      </c>
      <c r="B725" t="s">
        <v>74</v>
      </c>
      <c r="C725" t="s">
        <v>45</v>
      </c>
      <c r="D725" t="s">
        <v>27</v>
      </c>
      <c r="E725" s="2">
        <v>53</v>
      </c>
      <c r="F725" t="s">
        <v>22</v>
      </c>
      <c r="G725" t="s">
        <v>18</v>
      </c>
      <c r="H725" s="2">
        <v>72</v>
      </c>
      <c r="I725" s="3">
        <v>10602</v>
      </c>
      <c r="J725" s="4">
        <v>18.46</v>
      </c>
      <c r="K725" s="2">
        <v>115</v>
      </c>
      <c r="L725" s="2">
        <v>3</v>
      </c>
      <c r="M725" s="3">
        <v>53983</v>
      </c>
    </row>
    <row r="726" spans="1:13">
      <c r="A726" t="s">
        <v>794</v>
      </c>
      <c r="B726" t="s">
        <v>33</v>
      </c>
      <c r="C726" t="s">
        <v>26</v>
      </c>
      <c r="D726" t="s">
        <v>27</v>
      </c>
      <c r="E726" s="2">
        <v>56</v>
      </c>
      <c r="F726" t="s">
        <v>34</v>
      </c>
      <c r="G726" t="s">
        <v>18</v>
      </c>
      <c r="H726" s="2">
        <v>82</v>
      </c>
      <c r="I726" s="3">
        <v>2723</v>
      </c>
      <c r="J726" s="4">
        <v>3</v>
      </c>
      <c r="K726" s="2">
        <v>73</v>
      </c>
      <c r="L726" s="2">
        <v>4</v>
      </c>
      <c r="M726" s="3">
        <v>11227</v>
      </c>
    </row>
    <row r="727" spans="1:13">
      <c r="A727" t="s">
        <v>795</v>
      </c>
      <c r="B727" t="s">
        <v>185</v>
      </c>
      <c r="C727" t="s">
        <v>52</v>
      </c>
      <c r="D727" t="s">
        <v>16</v>
      </c>
      <c r="E727" s="2">
        <v>34</v>
      </c>
      <c r="F727" t="s">
        <v>22</v>
      </c>
      <c r="G727" t="s">
        <v>31</v>
      </c>
      <c r="H727" s="2">
        <v>92</v>
      </c>
      <c r="I727" s="3">
        <v>7918</v>
      </c>
      <c r="J727" s="4">
        <v>13.01</v>
      </c>
      <c r="K727" s="2">
        <v>59</v>
      </c>
      <c r="L727" s="2">
        <v>5</v>
      </c>
      <c r="M727" s="3">
        <v>38182</v>
      </c>
    </row>
    <row r="728" spans="1:13">
      <c r="A728" t="s">
        <v>796</v>
      </c>
      <c r="B728" t="s">
        <v>150</v>
      </c>
      <c r="C728" t="s">
        <v>48</v>
      </c>
      <c r="D728" t="s">
        <v>27</v>
      </c>
      <c r="E728" s="2">
        <v>35</v>
      </c>
      <c r="F728" t="s">
        <v>17</v>
      </c>
      <c r="G728" t="s">
        <v>23</v>
      </c>
      <c r="H728" s="2">
        <v>81</v>
      </c>
      <c r="I728" s="3">
        <v>6003</v>
      </c>
      <c r="J728" s="4">
        <v>16.920000000000002</v>
      </c>
      <c r="K728" s="2">
        <v>85</v>
      </c>
      <c r="L728" s="2">
        <v>3</v>
      </c>
      <c r="M728" s="3">
        <v>22361</v>
      </c>
    </row>
    <row r="729" spans="1:13">
      <c r="A729" t="s">
        <v>797</v>
      </c>
      <c r="B729" t="s">
        <v>137</v>
      </c>
      <c r="C729" t="s">
        <v>26</v>
      </c>
      <c r="D729" t="s">
        <v>16</v>
      </c>
      <c r="E729" s="2">
        <v>89</v>
      </c>
      <c r="F729" t="s">
        <v>34</v>
      </c>
      <c r="G729" t="s">
        <v>18</v>
      </c>
      <c r="H729" s="2">
        <v>88</v>
      </c>
      <c r="I729" s="3">
        <v>1870</v>
      </c>
      <c r="J729" s="4">
        <v>8.15</v>
      </c>
      <c r="K729" s="2">
        <v>68</v>
      </c>
      <c r="L729" s="2">
        <v>4</v>
      </c>
      <c r="M729" s="3">
        <v>5950</v>
      </c>
    </row>
    <row r="730" spans="1:13">
      <c r="A730" t="s">
        <v>798</v>
      </c>
      <c r="B730" t="s">
        <v>64</v>
      </c>
      <c r="C730" t="s">
        <v>30</v>
      </c>
      <c r="D730" t="s">
        <v>27</v>
      </c>
      <c r="E730" s="2">
        <v>49</v>
      </c>
      <c r="F730" t="s">
        <v>17</v>
      </c>
      <c r="G730" t="s">
        <v>40</v>
      </c>
      <c r="H730" s="2">
        <v>69</v>
      </c>
      <c r="I730" s="3">
        <v>4052</v>
      </c>
      <c r="J730" s="4">
        <v>21.88</v>
      </c>
      <c r="K730" s="2">
        <v>135</v>
      </c>
      <c r="L730" s="2">
        <v>3</v>
      </c>
      <c r="M730" s="3">
        <v>22436</v>
      </c>
    </row>
    <row r="731" spans="1:13">
      <c r="A731" t="s">
        <v>799</v>
      </c>
      <c r="B731" t="s">
        <v>68</v>
      </c>
      <c r="C731" t="s">
        <v>45</v>
      </c>
      <c r="D731" t="s">
        <v>27</v>
      </c>
      <c r="E731" s="2">
        <v>54</v>
      </c>
      <c r="F731" t="s">
        <v>17</v>
      </c>
      <c r="G731" t="s">
        <v>18</v>
      </c>
      <c r="H731" s="2">
        <v>78</v>
      </c>
      <c r="I731" s="3">
        <v>6958</v>
      </c>
      <c r="J731" s="4">
        <v>16.39</v>
      </c>
      <c r="K731" s="2">
        <v>93</v>
      </c>
      <c r="L731" s="2">
        <v>4</v>
      </c>
      <c r="M731" s="3">
        <v>25181</v>
      </c>
    </row>
    <row r="732" spans="1:13">
      <c r="A732" t="s">
        <v>800</v>
      </c>
      <c r="B732" t="s">
        <v>58</v>
      </c>
      <c r="C732" t="s">
        <v>48</v>
      </c>
      <c r="D732" t="s">
        <v>27</v>
      </c>
      <c r="E732" s="2">
        <v>31</v>
      </c>
      <c r="F732" t="s">
        <v>17</v>
      </c>
      <c r="G732" t="s">
        <v>40</v>
      </c>
      <c r="H732" s="2">
        <v>77</v>
      </c>
      <c r="I732" s="3">
        <v>4872</v>
      </c>
      <c r="J732" s="4">
        <v>16.48</v>
      </c>
      <c r="K732" s="2">
        <v>70</v>
      </c>
      <c r="L732" s="2">
        <v>4</v>
      </c>
      <c r="M732" s="3">
        <v>20454</v>
      </c>
    </row>
    <row r="733" spans="1:13">
      <c r="A733" t="s">
        <v>801</v>
      </c>
      <c r="B733" t="s">
        <v>103</v>
      </c>
      <c r="C733" t="s">
        <v>26</v>
      </c>
      <c r="D733" t="s">
        <v>16</v>
      </c>
      <c r="E733" s="2">
        <v>33</v>
      </c>
      <c r="F733" t="s">
        <v>22</v>
      </c>
      <c r="G733" t="s">
        <v>40</v>
      </c>
      <c r="H733" s="2">
        <v>88</v>
      </c>
      <c r="I733" s="3">
        <v>1463</v>
      </c>
      <c r="J733" s="4">
        <v>1.19</v>
      </c>
      <c r="K733" s="2">
        <v>71</v>
      </c>
      <c r="L733" s="2">
        <v>4</v>
      </c>
      <c r="M733" s="3">
        <v>7798</v>
      </c>
    </row>
    <row r="734" spans="1:13">
      <c r="A734" t="s">
        <v>802</v>
      </c>
      <c r="B734" t="s">
        <v>78</v>
      </c>
      <c r="C734" t="s">
        <v>15</v>
      </c>
      <c r="D734" t="s">
        <v>27</v>
      </c>
      <c r="E734" s="2">
        <v>52</v>
      </c>
      <c r="F734" t="s">
        <v>34</v>
      </c>
      <c r="G734" t="s">
        <v>70</v>
      </c>
      <c r="H734" s="2">
        <v>82</v>
      </c>
      <c r="I734" s="3">
        <v>5322</v>
      </c>
      <c r="J734" s="4">
        <v>19.55</v>
      </c>
      <c r="K734" s="2">
        <v>40</v>
      </c>
      <c r="L734" s="2">
        <v>4</v>
      </c>
      <c r="M734" s="3">
        <v>26782</v>
      </c>
    </row>
    <row r="735" spans="1:13">
      <c r="A735" t="s">
        <v>803</v>
      </c>
      <c r="B735" t="s">
        <v>66</v>
      </c>
      <c r="C735" t="s">
        <v>39</v>
      </c>
      <c r="D735" t="s">
        <v>27</v>
      </c>
      <c r="E735" s="2">
        <v>14</v>
      </c>
      <c r="F735" t="s">
        <v>34</v>
      </c>
      <c r="G735" t="s">
        <v>70</v>
      </c>
      <c r="H735" s="2">
        <v>97</v>
      </c>
      <c r="I735" s="3">
        <v>3050</v>
      </c>
      <c r="J735" s="4">
        <v>6.66</v>
      </c>
      <c r="K735" s="2">
        <v>79</v>
      </c>
      <c r="L735" s="2">
        <v>5</v>
      </c>
      <c r="M735" s="3">
        <v>11461</v>
      </c>
    </row>
    <row r="736" spans="1:13">
      <c r="A736" t="s">
        <v>804</v>
      </c>
      <c r="B736" t="s">
        <v>56</v>
      </c>
      <c r="C736" t="s">
        <v>45</v>
      </c>
      <c r="D736" t="s">
        <v>27</v>
      </c>
      <c r="E736" s="2">
        <v>42</v>
      </c>
      <c r="F736" t="s">
        <v>34</v>
      </c>
      <c r="G736" t="s">
        <v>49</v>
      </c>
      <c r="H736" s="2">
        <v>77</v>
      </c>
      <c r="I736" s="3">
        <v>7816</v>
      </c>
      <c r="J736" s="4">
        <v>16.8</v>
      </c>
      <c r="K736" s="2">
        <v>106</v>
      </c>
      <c r="L736" s="2">
        <v>5</v>
      </c>
      <c r="M736" s="3">
        <v>26190</v>
      </c>
    </row>
    <row r="737" spans="1:13">
      <c r="A737" t="s">
        <v>805</v>
      </c>
      <c r="B737" t="s">
        <v>97</v>
      </c>
      <c r="C737" t="s">
        <v>30</v>
      </c>
      <c r="D737" t="s">
        <v>16</v>
      </c>
      <c r="E737" s="2">
        <v>30</v>
      </c>
      <c r="F737" t="s">
        <v>22</v>
      </c>
      <c r="G737" t="s">
        <v>23</v>
      </c>
      <c r="H737" s="2">
        <v>69</v>
      </c>
      <c r="I737" s="3">
        <v>3379</v>
      </c>
      <c r="J737" s="4">
        <v>12.56</v>
      </c>
      <c r="K737" s="2">
        <v>120</v>
      </c>
      <c r="L737" s="2">
        <v>3</v>
      </c>
      <c r="M737" s="3">
        <v>16078</v>
      </c>
    </row>
    <row r="738" spans="1:13">
      <c r="A738" t="s">
        <v>806</v>
      </c>
      <c r="B738" t="s">
        <v>80</v>
      </c>
      <c r="C738" t="s">
        <v>15</v>
      </c>
      <c r="D738" t="s">
        <v>16</v>
      </c>
      <c r="E738" s="2">
        <v>65</v>
      </c>
      <c r="F738" t="s">
        <v>34</v>
      </c>
      <c r="G738" t="s">
        <v>49</v>
      </c>
      <c r="H738" s="2">
        <v>84</v>
      </c>
      <c r="I738" s="3">
        <v>5972</v>
      </c>
      <c r="J738" s="4">
        <v>15.43</v>
      </c>
      <c r="K738" s="2">
        <v>94</v>
      </c>
      <c r="L738" s="2">
        <v>4</v>
      </c>
      <c r="M738" s="3">
        <v>15083</v>
      </c>
    </row>
    <row r="739" spans="1:13">
      <c r="A739" t="s">
        <v>807</v>
      </c>
      <c r="B739" t="s">
        <v>95</v>
      </c>
      <c r="C739" t="s">
        <v>52</v>
      </c>
      <c r="D739" t="s">
        <v>27</v>
      </c>
      <c r="E739" s="2">
        <v>33</v>
      </c>
      <c r="F739" t="s">
        <v>34</v>
      </c>
      <c r="G739" t="s">
        <v>49</v>
      </c>
      <c r="H739" s="2">
        <v>78</v>
      </c>
      <c r="I739" s="3">
        <v>9259</v>
      </c>
      <c r="J739" s="4">
        <v>14.52</v>
      </c>
      <c r="K739" s="2">
        <v>80</v>
      </c>
      <c r="L739" s="2">
        <v>4</v>
      </c>
      <c r="M739" s="3">
        <v>37996</v>
      </c>
    </row>
    <row r="740" spans="1:13">
      <c r="A740" t="s">
        <v>808</v>
      </c>
      <c r="B740" t="s">
        <v>137</v>
      </c>
      <c r="C740" t="s">
        <v>26</v>
      </c>
      <c r="D740" t="s">
        <v>16</v>
      </c>
      <c r="E740" s="2">
        <v>48</v>
      </c>
      <c r="F740" t="s">
        <v>34</v>
      </c>
      <c r="G740" t="s">
        <v>49</v>
      </c>
      <c r="H740" s="2">
        <v>87</v>
      </c>
      <c r="I740" s="3">
        <v>2471</v>
      </c>
      <c r="J740" s="4">
        <v>2.06</v>
      </c>
      <c r="K740" s="2">
        <v>52</v>
      </c>
      <c r="L740" s="2">
        <v>4</v>
      </c>
      <c r="M740" s="3">
        <v>10116</v>
      </c>
    </row>
    <row r="741" spans="1:13">
      <c r="A741" t="s">
        <v>809</v>
      </c>
      <c r="B741" t="s">
        <v>185</v>
      </c>
      <c r="C741" t="s">
        <v>52</v>
      </c>
      <c r="D741" t="s">
        <v>27</v>
      </c>
      <c r="E741" s="2">
        <v>8</v>
      </c>
      <c r="F741" t="s">
        <v>34</v>
      </c>
      <c r="G741" t="s">
        <v>31</v>
      </c>
      <c r="H741" s="2">
        <v>80</v>
      </c>
      <c r="I741" s="3">
        <v>8022</v>
      </c>
      <c r="J741" s="4">
        <v>8.9499999999999993</v>
      </c>
      <c r="K741" s="2">
        <v>100</v>
      </c>
      <c r="L741" s="2">
        <v>4</v>
      </c>
      <c r="M741" s="3">
        <v>29555</v>
      </c>
    </row>
    <row r="742" spans="1:13">
      <c r="A742" t="s">
        <v>810</v>
      </c>
      <c r="B742" t="s">
        <v>29</v>
      </c>
      <c r="C742" t="s">
        <v>30</v>
      </c>
      <c r="D742" t="s">
        <v>16</v>
      </c>
      <c r="E742" s="2">
        <v>59</v>
      </c>
      <c r="F742" t="s">
        <v>22</v>
      </c>
      <c r="G742" t="s">
        <v>49</v>
      </c>
      <c r="H742" s="2">
        <v>77</v>
      </c>
      <c r="I742" s="3">
        <v>4001</v>
      </c>
      <c r="J742" s="4">
        <v>27.58</v>
      </c>
      <c r="K742" s="2">
        <v>120</v>
      </c>
      <c r="L742" s="2">
        <v>4</v>
      </c>
      <c r="M742" s="3">
        <v>17805</v>
      </c>
    </row>
    <row r="743" spans="1:13">
      <c r="A743" t="s">
        <v>811</v>
      </c>
      <c r="B743" t="s">
        <v>20</v>
      </c>
      <c r="C743" t="s">
        <v>21</v>
      </c>
      <c r="D743" t="s">
        <v>16</v>
      </c>
      <c r="E743" s="2">
        <v>27</v>
      </c>
      <c r="F743" t="s">
        <v>34</v>
      </c>
      <c r="G743" t="s">
        <v>18</v>
      </c>
      <c r="H743" s="2">
        <v>81</v>
      </c>
      <c r="I743" s="3">
        <v>5405</v>
      </c>
      <c r="J743" s="4">
        <v>15.53</v>
      </c>
      <c r="K743" s="2">
        <v>109</v>
      </c>
      <c r="L743" s="2">
        <v>4</v>
      </c>
      <c r="M743" s="3">
        <v>26629</v>
      </c>
    </row>
    <row r="744" spans="1:13">
      <c r="A744" t="s">
        <v>812</v>
      </c>
      <c r="B744" t="s">
        <v>143</v>
      </c>
      <c r="C744" t="s">
        <v>21</v>
      </c>
      <c r="D744" t="s">
        <v>16</v>
      </c>
      <c r="E744" s="2">
        <v>3</v>
      </c>
      <c r="F744" t="s">
        <v>17</v>
      </c>
      <c r="G744" t="s">
        <v>23</v>
      </c>
      <c r="H744" s="2">
        <v>80</v>
      </c>
      <c r="I744" s="3">
        <v>7958</v>
      </c>
      <c r="J744" s="4">
        <v>14.25</v>
      </c>
      <c r="K744" s="2">
        <v>89</v>
      </c>
      <c r="L744" s="2">
        <v>4</v>
      </c>
      <c r="M744" s="3">
        <v>25563</v>
      </c>
    </row>
    <row r="745" spans="1:13">
      <c r="A745" t="s">
        <v>813</v>
      </c>
      <c r="B745" t="s">
        <v>25</v>
      </c>
      <c r="C745" t="s">
        <v>26</v>
      </c>
      <c r="D745" t="s">
        <v>72</v>
      </c>
      <c r="E745" s="2">
        <v>38</v>
      </c>
      <c r="F745" t="s">
        <v>34</v>
      </c>
      <c r="G745" t="s">
        <v>18</v>
      </c>
      <c r="H745" s="2">
        <v>92</v>
      </c>
      <c r="I745" s="3">
        <v>2564</v>
      </c>
      <c r="J745" s="4">
        <v>0</v>
      </c>
      <c r="K745" s="2">
        <v>59</v>
      </c>
      <c r="L745" s="2">
        <v>4</v>
      </c>
      <c r="M745" s="3">
        <v>9964</v>
      </c>
    </row>
    <row r="746" spans="1:13">
      <c r="A746" t="s">
        <v>814</v>
      </c>
      <c r="B746" t="s">
        <v>84</v>
      </c>
      <c r="C746" t="s">
        <v>21</v>
      </c>
      <c r="D746" t="s">
        <v>27</v>
      </c>
      <c r="E746" s="2">
        <v>38</v>
      </c>
      <c r="F746" t="s">
        <v>22</v>
      </c>
      <c r="G746" t="s">
        <v>23</v>
      </c>
      <c r="H746" s="2">
        <v>80</v>
      </c>
      <c r="I746" s="3">
        <v>7466</v>
      </c>
      <c r="J746" s="4">
        <v>14.18</v>
      </c>
      <c r="K746" s="2">
        <v>63</v>
      </c>
      <c r="L746" s="2">
        <v>5</v>
      </c>
      <c r="M746" s="3">
        <v>44492</v>
      </c>
    </row>
    <row r="747" spans="1:13">
      <c r="A747" t="s">
        <v>815</v>
      </c>
      <c r="B747" t="s">
        <v>88</v>
      </c>
      <c r="C747" t="s">
        <v>15</v>
      </c>
      <c r="D747" t="s">
        <v>16</v>
      </c>
      <c r="E747" s="2">
        <v>31</v>
      </c>
      <c r="F747" t="s">
        <v>22</v>
      </c>
      <c r="G747" t="s">
        <v>40</v>
      </c>
      <c r="H747" s="2">
        <v>76</v>
      </c>
      <c r="I747" s="3">
        <v>6387</v>
      </c>
      <c r="J747" s="4">
        <v>9.5</v>
      </c>
      <c r="K747" s="2">
        <v>83</v>
      </c>
      <c r="L747" s="2">
        <v>4</v>
      </c>
      <c r="M747" s="3">
        <v>29174</v>
      </c>
    </row>
    <row r="748" spans="1:13">
      <c r="A748" t="s">
        <v>816</v>
      </c>
      <c r="B748" t="s">
        <v>47</v>
      </c>
      <c r="C748" t="s">
        <v>48</v>
      </c>
      <c r="D748" t="s">
        <v>27</v>
      </c>
      <c r="E748" s="2">
        <v>49</v>
      </c>
      <c r="F748" t="s">
        <v>17</v>
      </c>
      <c r="G748" t="s">
        <v>31</v>
      </c>
      <c r="H748" s="2">
        <v>79</v>
      </c>
      <c r="I748" s="3">
        <v>6049</v>
      </c>
      <c r="J748" s="4">
        <v>16.149999999999999</v>
      </c>
      <c r="K748" s="2">
        <v>77</v>
      </c>
      <c r="L748" s="2">
        <v>5</v>
      </c>
      <c r="M748" s="3">
        <v>26824</v>
      </c>
    </row>
    <row r="749" spans="1:13">
      <c r="A749" t="s">
        <v>817</v>
      </c>
      <c r="B749" t="s">
        <v>25</v>
      </c>
      <c r="C749" t="s">
        <v>26</v>
      </c>
      <c r="D749" t="s">
        <v>27</v>
      </c>
      <c r="E749" s="2">
        <v>10</v>
      </c>
      <c r="F749" t="s">
        <v>17</v>
      </c>
      <c r="G749" t="s">
        <v>49</v>
      </c>
      <c r="H749" s="2">
        <v>90</v>
      </c>
      <c r="I749" s="3">
        <v>2543</v>
      </c>
      <c r="J749" s="4">
        <v>3.3</v>
      </c>
      <c r="K749" s="2">
        <v>49</v>
      </c>
      <c r="L749" s="2">
        <v>5</v>
      </c>
      <c r="M749" s="3">
        <v>10667</v>
      </c>
    </row>
    <row r="750" spans="1:13">
      <c r="A750" t="s">
        <v>818</v>
      </c>
      <c r="B750" t="s">
        <v>14</v>
      </c>
      <c r="C750" t="s">
        <v>15</v>
      </c>
      <c r="D750" t="s">
        <v>16</v>
      </c>
      <c r="E750" s="2">
        <v>46</v>
      </c>
      <c r="F750" t="s">
        <v>17</v>
      </c>
      <c r="G750" t="s">
        <v>40</v>
      </c>
      <c r="H750" s="2">
        <v>73</v>
      </c>
      <c r="I750" s="3">
        <v>4450</v>
      </c>
      <c r="J750" s="4">
        <v>13.18</v>
      </c>
      <c r="K750" s="2">
        <v>70</v>
      </c>
      <c r="L750" s="2">
        <v>4</v>
      </c>
      <c r="M750" s="3">
        <v>11764</v>
      </c>
    </row>
    <row r="751" spans="1:13">
      <c r="A751" t="s">
        <v>819</v>
      </c>
      <c r="B751" t="s">
        <v>54</v>
      </c>
      <c r="C751" t="s">
        <v>39</v>
      </c>
      <c r="D751" t="s">
        <v>27</v>
      </c>
      <c r="E751" s="2">
        <v>19</v>
      </c>
      <c r="F751" t="s">
        <v>22</v>
      </c>
      <c r="G751" t="s">
        <v>70</v>
      </c>
      <c r="H751" s="2">
        <v>89</v>
      </c>
      <c r="I751" s="3">
        <v>3187</v>
      </c>
      <c r="J751" s="4">
        <v>8.52</v>
      </c>
      <c r="K751" s="2">
        <v>43</v>
      </c>
      <c r="L751" s="2">
        <v>4</v>
      </c>
      <c r="M751" s="3">
        <v>8585</v>
      </c>
    </row>
    <row r="752" spans="1:13">
      <c r="A752" t="s">
        <v>820</v>
      </c>
      <c r="B752" t="s">
        <v>74</v>
      </c>
      <c r="C752" t="s">
        <v>45</v>
      </c>
      <c r="D752" t="s">
        <v>27</v>
      </c>
      <c r="E752" s="2">
        <v>29</v>
      </c>
      <c r="F752" t="s">
        <v>34</v>
      </c>
      <c r="G752" t="s">
        <v>18</v>
      </c>
      <c r="H752" s="2">
        <v>75</v>
      </c>
      <c r="I752" s="3">
        <v>10851</v>
      </c>
      <c r="J752" s="4">
        <v>19.010000000000002</v>
      </c>
      <c r="K752" s="2">
        <v>96</v>
      </c>
      <c r="L752" s="2">
        <v>4</v>
      </c>
      <c r="M752" s="3">
        <v>54242</v>
      </c>
    </row>
    <row r="753" spans="1:13">
      <c r="A753" t="s">
        <v>821</v>
      </c>
      <c r="B753" t="s">
        <v>25</v>
      </c>
      <c r="C753" t="s">
        <v>26</v>
      </c>
      <c r="D753" t="s">
        <v>27</v>
      </c>
      <c r="E753" s="2">
        <v>45</v>
      </c>
      <c r="F753" t="s">
        <v>34</v>
      </c>
      <c r="G753" t="s">
        <v>31</v>
      </c>
      <c r="H753" s="2">
        <v>88</v>
      </c>
      <c r="I753" s="3">
        <v>2537</v>
      </c>
      <c r="J753" s="4">
        <v>0.9</v>
      </c>
      <c r="K753" s="2">
        <v>61</v>
      </c>
      <c r="L753" s="2">
        <v>4</v>
      </c>
      <c r="M753" s="3">
        <v>10626</v>
      </c>
    </row>
    <row r="754" spans="1:13">
      <c r="A754" t="s">
        <v>822</v>
      </c>
      <c r="B754" t="s">
        <v>51</v>
      </c>
      <c r="C754" t="s">
        <v>52</v>
      </c>
      <c r="D754" t="s">
        <v>16</v>
      </c>
      <c r="E754" s="2">
        <v>44</v>
      </c>
      <c r="F754" t="s">
        <v>34</v>
      </c>
      <c r="G754" t="s">
        <v>40</v>
      </c>
      <c r="H754" s="2">
        <v>89</v>
      </c>
      <c r="I754" s="3">
        <v>7785</v>
      </c>
      <c r="J754" s="4">
        <v>16.079999999999998</v>
      </c>
      <c r="K754" s="2">
        <v>51</v>
      </c>
      <c r="L754" s="2">
        <v>4</v>
      </c>
      <c r="M754" s="3">
        <v>35914</v>
      </c>
    </row>
    <row r="755" spans="1:13">
      <c r="A755" t="s">
        <v>823</v>
      </c>
      <c r="B755" t="s">
        <v>64</v>
      </c>
      <c r="C755" t="s">
        <v>30</v>
      </c>
      <c r="D755" t="s">
        <v>16</v>
      </c>
      <c r="E755" s="2">
        <v>30</v>
      </c>
      <c r="F755" t="s">
        <v>34</v>
      </c>
      <c r="G755" t="s">
        <v>40</v>
      </c>
      <c r="H755" s="2">
        <v>75</v>
      </c>
      <c r="I755" s="3">
        <v>3272</v>
      </c>
      <c r="J755" s="4">
        <v>14.25</v>
      </c>
      <c r="K755" s="2">
        <v>76</v>
      </c>
      <c r="L755" s="2">
        <v>4</v>
      </c>
      <c r="M755" s="3">
        <v>9096</v>
      </c>
    </row>
    <row r="756" spans="1:13">
      <c r="A756" t="s">
        <v>824</v>
      </c>
      <c r="B756" t="s">
        <v>122</v>
      </c>
      <c r="C756" t="s">
        <v>48</v>
      </c>
      <c r="D756" t="s">
        <v>16</v>
      </c>
      <c r="E756" s="2">
        <v>39</v>
      </c>
      <c r="F756" t="s">
        <v>22</v>
      </c>
      <c r="G756" t="s">
        <v>23</v>
      </c>
      <c r="H756" s="2">
        <v>82</v>
      </c>
      <c r="I756" s="3">
        <v>6179</v>
      </c>
      <c r="J756" s="4">
        <v>12.39</v>
      </c>
      <c r="K756" s="2">
        <v>74</v>
      </c>
      <c r="L756" s="2">
        <v>4</v>
      </c>
      <c r="M756" s="3">
        <v>16579</v>
      </c>
    </row>
    <row r="757" spans="1:13">
      <c r="A757" t="s">
        <v>825</v>
      </c>
      <c r="B757" t="s">
        <v>60</v>
      </c>
      <c r="C757" t="s">
        <v>52</v>
      </c>
      <c r="D757" t="s">
        <v>27</v>
      </c>
      <c r="E757" s="2">
        <v>55</v>
      </c>
      <c r="F757" t="s">
        <v>22</v>
      </c>
      <c r="G757" t="s">
        <v>70</v>
      </c>
      <c r="H757" s="2">
        <v>77</v>
      </c>
      <c r="I757" s="3">
        <v>8064</v>
      </c>
      <c r="J757" s="4">
        <v>19.73</v>
      </c>
      <c r="K757" s="2">
        <v>88</v>
      </c>
      <c r="L757" s="2">
        <v>4</v>
      </c>
      <c r="M757" s="3">
        <v>40683</v>
      </c>
    </row>
    <row r="758" spans="1:13">
      <c r="A758" t="s">
        <v>826</v>
      </c>
      <c r="B758" t="s">
        <v>25</v>
      </c>
      <c r="C758" t="s">
        <v>39</v>
      </c>
      <c r="D758" t="s">
        <v>16</v>
      </c>
      <c r="E758" s="2">
        <v>31</v>
      </c>
      <c r="F758" t="s">
        <v>22</v>
      </c>
      <c r="G758" t="s">
        <v>31</v>
      </c>
      <c r="H758" s="2">
        <v>89</v>
      </c>
      <c r="I758" s="3">
        <v>2655</v>
      </c>
      <c r="J758" s="4">
        <v>10.15</v>
      </c>
      <c r="K758" s="2">
        <v>46</v>
      </c>
      <c r="L758" s="2">
        <v>4</v>
      </c>
      <c r="M758" s="3">
        <v>11791</v>
      </c>
    </row>
    <row r="759" spans="1:13">
      <c r="A759" t="s">
        <v>827</v>
      </c>
      <c r="B759" t="s">
        <v>54</v>
      </c>
      <c r="C759" t="s">
        <v>15</v>
      </c>
      <c r="D759" t="s">
        <v>27</v>
      </c>
      <c r="E759" s="2">
        <v>60</v>
      </c>
      <c r="F759" t="s">
        <v>34</v>
      </c>
      <c r="G759" t="s">
        <v>31</v>
      </c>
      <c r="H759" s="2">
        <v>71</v>
      </c>
      <c r="I759" s="3">
        <v>6857</v>
      </c>
      <c r="J759" s="4">
        <v>19.96</v>
      </c>
      <c r="K759" s="2">
        <v>61</v>
      </c>
      <c r="L759" s="2">
        <v>4</v>
      </c>
      <c r="M759" s="3">
        <v>36461</v>
      </c>
    </row>
    <row r="760" spans="1:13">
      <c r="A760" t="s">
        <v>828</v>
      </c>
      <c r="B760" t="s">
        <v>44</v>
      </c>
      <c r="C760" t="s">
        <v>45</v>
      </c>
      <c r="D760" t="s">
        <v>16</v>
      </c>
      <c r="E760" s="2">
        <v>27</v>
      </c>
      <c r="F760" t="s">
        <v>17</v>
      </c>
      <c r="G760" t="s">
        <v>49</v>
      </c>
      <c r="H760" s="2">
        <v>68</v>
      </c>
      <c r="I760" s="3">
        <v>9247</v>
      </c>
      <c r="J760" s="4">
        <v>28.67</v>
      </c>
      <c r="K760" s="2">
        <v>94</v>
      </c>
      <c r="L760" s="2">
        <v>3</v>
      </c>
      <c r="M760" s="3">
        <v>33930</v>
      </c>
    </row>
    <row r="761" spans="1:13">
      <c r="A761" t="s">
        <v>829</v>
      </c>
      <c r="B761" t="s">
        <v>20</v>
      </c>
      <c r="C761" t="s">
        <v>21</v>
      </c>
      <c r="D761" t="s">
        <v>27</v>
      </c>
      <c r="E761" s="2">
        <v>90</v>
      </c>
      <c r="F761" t="s">
        <v>22</v>
      </c>
      <c r="G761" t="s">
        <v>70</v>
      </c>
      <c r="H761" s="2">
        <v>67</v>
      </c>
      <c r="I761" s="3">
        <v>5354</v>
      </c>
      <c r="J761" s="4">
        <v>20.62</v>
      </c>
      <c r="K761" s="2">
        <v>103</v>
      </c>
      <c r="L761" s="2">
        <v>3</v>
      </c>
      <c r="M761" s="3">
        <v>24196</v>
      </c>
    </row>
    <row r="762" spans="1:13">
      <c r="A762" t="s">
        <v>830</v>
      </c>
      <c r="B762" t="s">
        <v>84</v>
      </c>
      <c r="C762" t="s">
        <v>21</v>
      </c>
      <c r="D762" t="s">
        <v>16</v>
      </c>
      <c r="E762" s="2">
        <v>36</v>
      </c>
      <c r="F762" t="s">
        <v>17</v>
      </c>
      <c r="G762" t="s">
        <v>18</v>
      </c>
      <c r="H762" s="2">
        <v>69</v>
      </c>
      <c r="I762" s="3">
        <v>7214</v>
      </c>
      <c r="J762" s="4">
        <v>22.21</v>
      </c>
      <c r="K762" s="2">
        <v>70</v>
      </c>
      <c r="L762" s="2">
        <v>3</v>
      </c>
      <c r="M762" s="3">
        <v>32227</v>
      </c>
    </row>
    <row r="763" spans="1:13">
      <c r="A763" t="s">
        <v>831</v>
      </c>
      <c r="B763" t="s">
        <v>60</v>
      </c>
      <c r="C763" t="s">
        <v>52</v>
      </c>
      <c r="D763" t="s">
        <v>16</v>
      </c>
      <c r="E763" s="2">
        <v>54</v>
      </c>
      <c r="F763" t="s">
        <v>17</v>
      </c>
      <c r="G763" t="s">
        <v>23</v>
      </c>
      <c r="H763" s="2">
        <v>85</v>
      </c>
      <c r="I763" s="3">
        <v>6740</v>
      </c>
      <c r="J763" s="4">
        <v>8.42</v>
      </c>
      <c r="K763" s="2">
        <v>84</v>
      </c>
      <c r="L763" s="2">
        <v>4</v>
      </c>
      <c r="M763" s="3">
        <v>39069</v>
      </c>
    </row>
    <row r="764" spans="1:13">
      <c r="A764" t="s">
        <v>832</v>
      </c>
      <c r="B764" t="s">
        <v>74</v>
      </c>
      <c r="C764" t="s">
        <v>45</v>
      </c>
      <c r="D764" t="s">
        <v>16</v>
      </c>
      <c r="E764" s="2">
        <v>37</v>
      </c>
      <c r="F764" t="s">
        <v>22</v>
      </c>
      <c r="G764" t="s">
        <v>18</v>
      </c>
      <c r="H764" s="2">
        <v>67</v>
      </c>
      <c r="I764" s="3">
        <v>7347</v>
      </c>
      <c r="J764" s="4">
        <v>23.92</v>
      </c>
      <c r="K764" s="2">
        <v>99</v>
      </c>
      <c r="L764" s="2">
        <v>3</v>
      </c>
      <c r="M764" s="3">
        <v>23280</v>
      </c>
    </row>
    <row r="765" spans="1:13">
      <c r="A765" t="s">
        <v>833</v>
      </c>
      <c r="B765" t="s">
        <v>150</v>
      </c>
      <c r="C765" t="s">
        <v>48</v>
      </c>
      <c r="D765" t="s">
        <v>16</v>
      </c>
      <c r="E765" s="2">
        <v>40</v>
      </c>
      <c r="F765" t="s">
        <v>22</v>
      </c>
      <c r="G765" t="s">
        <v>70</v>
      </c>
      <c r="H765" s="2">
        <v>81</v>
      </c>
      <c r="I765" s="3">
        <v>4931</v>
      </c>
      <c r="J765" s="4">
        <v>5.91</v>
      </c>
      <c r="K765" s="2">
        <v>103</v>
      </c>
      <c r="L765" s="2">
        <v>4</v>
      </c>
      <c r="M765" s="3">
        <v>17027</v>
      </c>
    </row>
    <row r="766" spans="1:13">
      <c r="A766" t="s">
        <v>834</v>
      </c>
      <c r="B766" t="s">
        <v>14</v>
      </c>
      <c r="C766" t="s">
        <v>15</v>
      </c>
      <c r="D766" t="s">
        <v>27</v>
      </c>
      <c r="E766" s="2">
        <v>38</v>
      </c>
      <c r="F766" t="s">
        <v>34</v>
      </c>
      <c r="G766" t="s">
        <v>49</v>
      </c>
      <c r="H766" s="2">
        <v>88</v>
      </c>
      <c r="I766" s="3">
        <v>7209</v>
      </c>
      <c r="J766" s="4">
        <v>19.079999999999998</v>
      </c>
      <c r="K766" s="2">
        <v>74</v>
      </c>
      <c r="L766" s="2">
        <v>5</v>
      </c>
      <c r="M766" s="3">
        <v>27257</v>
      </c>
    </row>
    <row r="767" spans="1:13">
      <c r="A767" t="s">
        <v>835</v>
      </c>
      <c r="B767" t="s">
        <v>68</v>
      </c>
      <c r="C767" t="s">
        <v>45</v>
      </c>
      <c r="D767" t="s">
        <v>72</v>
      </c>
      <c r="E767" s="2">
        <v>47</v>
      </c>
      <c r="F767" t="s">
        <v>34</v>
      </c>
      <c r="G767" t="s">
        <v>49</v>
      </c>
      <c r="H767" s="2">
        <v>75</v>
      </c>
      <c r="I767" s="3">
        <v>10303</v>
      </c>
      <c r="J767" s="4">
        <v>17.239999999999998</v>
      </c>
      <c r="K767" s="2">
        <v>122</v>
      </c>
      <c r="L767" s="2">
        <v>4</v>
      </c>
      <c r="M767" s="3">
        <v>53311</v>
      </c>
    </row>
    <row r="768" spans="1:13">
      <c r="A768" t="s">
        <v>836</v>
      </c>
      <c r="B768" t="s">
        <v>25</v>
      </c>
      <c r="C768" t="s">
        <v>39</v>
      </c>
      <c r="D768" t="s">
        <v>27</v>
      </c>
      <c r="E768" s="2">
        <v>7</v>
      </c>
      <c r="F768" t="s">
        <v>34</v>
      </c>
      <c r="G768" t="s">
        <v>31</v>
      </c>
      <c r="H768" s="2">
        <v>96</v>
      </c>
      <c r="I768" s="3">
        <v>2691</v>
      </c>
      <c r="J768" s="4">
        <v>3.2</v>
      </c>
      <c r="K768" s="2">
        <v>49</v>
      </c>
      <c r="L768" s="2">
        <v>5</v>
      </c>
      <c r="M768" s="3">
        <v>7793</v>
      </c>
    </row>
    <row r="769" spans="1:13">
      <c r="A769" t="s">
        <v>837</v>
      </c>
      <c r="B769" t="s">
        <v>80</v>
      </c>
      <c r="C769" t="s">
        <v>15</v>
      </c>
      <c r="D769" t="s">
        <v>27</v>
      </c>
      <c r="E769" s="2">
        <v>36</v>
      </c>
      <c r="F769" t="s">
        <v>17</v>
      </c>
      <c r="G769" t="s">
        <v>18</v>
      </c>
      <c r="H769" s="2">
        <v>85</v>
      </c>
      <c r="I769" s="3">
        <v>8849</v>
      </c>
      <c r="J769" s="4">
        <v>16.68</v>
      </c>
      <c r="K769" s="2">
        <v>34</v>
      </c>
      <c r="L769" s="2">
        <v>4</v>
      </c>
      <c r="M769" s="3">
        <v>43581</v>
      </c>
    </row>
    <row r="770" spans="1:13">
      <c r="A770" t="s">
        <v>838</v>
      </c>
      <c r="B770" t="s">
        <v>60</v>
      </c>
      <c r="C770" t="s">
        <v>52</v>
      </c>
      <c r="D770" t="s">
        <v>16</v>
      </c>
      <c r="E770" s="2">
        <v>81</v>
      </c>
      <c r="F770" t="s">
        <v>22</v>
      </c>
      <c r="G770" t="s">
        <v>18</v>
      </c>
      <c r="H770" s="2">
        <v>79</v>
      </c>
      <c r="I770" s="3">
        <v>6310</v>
      </c>
      <c r="J770" s="4">
        <v>12.97</v>
      </c>
      <c r="K770" s="2">
        <v>90</v>
      </c>
      <c r="L770" s="2">
        <v>5</v>
      </c>
      <c r="M770" s="3">
        <v>29895</v>
      </c>
    </row>
    <row r="771" spans="1:13">
      <c r="A771" t="s">
        <v>839</v>
      </c>
      <c r="B771" t="s">
        <v>122</v>
      </c>
      <c r="C771" t="s">
        <v>48</v>
      </c>
      <c r="D771" t="s">
        <v>16</v>
      </c>
      <c r="E771" s="2">
        <v>58</v>
      </c>
      <c r="F771" t="s">
        <v>22</v>
      </c>
      <c r="G771" t="s">
        <v>23</v>
      </c>
      <c r="H771" s="2">
        <v>88</v>
      </c>
      <c r="I771" s="3">
        <v>5044</v>
      </c>
      <c r="J771" s="4">
        <v>12.67</v>
      </c>
      <c r="K771" s="2">
        <v>69</v>
      </c>
      <c r="L771" s="2">
        <v>4</v>
      </c>
      <c r="M771" s="3">
        <v>26629</v>
      </c>
    </row>
    <row r="772" spans="1:13">
      <c r="A772" t="s">
        <v>840</v>
      </c>
      <c r="B772" t="s">
        <v>68</v>
      </c>
      <c r="C772" t="s">
        <v>45</v>
      </c>
      <c r="D772" t="s">
        <v>16</v>
      </c>
      <c r="E772" s="2">
        <v>64</v>
      </c>
      <c r="F772" t="s">
        <v>22</v>
      </c>
      <c r="G772" t="s">
        <v>23</v>
      </c>
      <c r="H772" s="2">
        <v>82</v>
      </c>
      <c r="I772" s="3">
        <v>7920</v>
      </c>
      <c r="J772" s="4">
        <v>10.76</v>
      </c>
      <c r="K772" s="2">
        <v>94</v>
      </c>
      <c r="L772" s="2">
        <v>4</v>
      </c>
      <c r="M772" s="3">
        <v>22260</v>
      </c>
    </row>
    <row r="773" spans="1:13">
      <c r="A773" t="s">
        <v>841</v>
      </c>
      <c r="B773" t="s">
        <v>62</v>
      </c>
      <c r="C773" t="s">
        <v>52</v>
      </c>
      <c r="D773" t="s">
        <v>16</v>
      </c>
      <c r="E773" s="2">
        <v>36</v>
      </c>
      <c r="F773" t="s">
        <v>34</v>
      </c>
      <c r="G773" t="s">
        <v>31</v>
      </c>
      <c r="H773" s="2">
        <v>70</v>
      </c>
      <c r="I773" s="3">
        <v>7124</v>
      </c>
      <c r="J773" s="4">
        <v>11.3</v>
      </c>
      <c r="K773" s="2">
        <v>96</v>
      </c>
      <c r="L773" s="2">
        <v>3</v>
      </c>
      <c r="M773" s="3">
        <v>25803</v>
      </c>
    </row>
    <row r="774" spans="1:13">
      <c r="A774" t="s">
        <v>842</v>
      </c>
      <c r="B774" t="s">
        <v>122</v>
      </c>
      <c r="C774" t="s">
        <v>48</v>
      </c>
      <c r="D774" t="s">
        <v>16</v>
      </c>
      <c r="E774" s="2">
        <v>36</v>
      </c>
      <c r="F774" t="s">
        <v>34</v>
      </c>
      <c r="G774" t="s">
        <v>70</v>
      </c>
      <c r="H774" s="2">
        <v>84</v>
      </c>
      <c r="I774" s="3">
        <v>4047</v>
      </c>
      <c r="J774" s="4">
        <v>20.09</v>
      </c>
      <c r="K774" s="2">
        <v>60</v>
      </c>
      <c r="L774" s="2">
        <v>4</v>
      </c>
      <c r="M774" s="3">
        <v>22773</v>
      </c>
    </row>
    <row r="775" spans="1:13">
      <c r="A775" t="s">
        <v>843</v>
      </c>
      <c r="B775" t="s">
        <v>135</v>
      </c>
      <c r="C775" t="s">
        <v>48</v>
      </c>
      <c r="D775" t="s">
        <v>27</v>
      </c>
      <c r="E775" s="2">
        <v>29</v>
      </c>
      <c r="F775" t="s">
        <v>22</v>
      </c>
      <c r="G775" t="s">
        <v>49</v>
      </c>
      <c r="H775" s="2">
        <v>74</v>
      </c>
      <c r="I775" s="3">
        <v>5209</v>
      </c>
      <c r="J775" s="4">
        <v>13.85</v>
      </c>
      <c r="K775" s="2">
        <v>98</v>
      </c>
      <c r="L775" s="2">
        <v>3</v>
      </c>
      <c r="M775" s="3">
        <v>27748</v>
      </c>
    </row>
    <row r="776" spans="1:13">
      <c r="A776" t="s">
        <v>844</v>
      </c>
      <c r="B776" t="s">
        <v>137</v>
      </c>
      <c r="C776" t="s">
        <v>26</v>
      </c>
      <c r="D776" t="s">
        <v>27</v>
      </c>
      <c r="E776" s="2">
        <v>18</v>
      </c>
      <c r="F776" t="s">
        <v>22</v>
      </c>
      <c r="G776" t="s">
        <v>31</v>
      </c>
      <c r="H776" s="2">
        <v>74</v>
      </c>
      <c r="I776" s="3">
        <v>3145</v>
      </c>
      <c r="J776" s="4">
        <v>15.35</v>
      </c>
      <c r="K776" s="2">
        <v>59</v>
      </c>
      <c r="L776" s="2">
        <v>4</v>
      </c>
      <c r="M776" s="3">
        <v>17377</v>
      </c>
    </row>
    <row r="777" spans="1:13">
      <c r="A777" t="s">
        <v>845</v>
      </c>
      <c r="B777" t="s">
        <v>42</v>
      </c>
      <c r="C777" t="s">
        <v>39</v>
      </c>
      <c r="D777" t="s">
        <v>16</v>
      </c>
      <c r="E777" s="2">
        <v>9</v>
      </c>
      <c r="F777" t="s">
        <v>22</v>
      </c>
      <c r="G777" t="s">
        <v>40</v>
      </c>
      <c r="H777" s="2">
        <v>94</v>
      </c>
      <c r="I777" s="3">
        <v>3365</v>
      </c>
      <c r="J777" s="4">
        <v>0</v>
      </c>
      <c r="K777" s="2">
        <v>38</v>
      </c>
      <c r="L777" s="2">
        <v>4</v>
      </c>
      <c r="M777" s="3">
        <v>17872</v>
      </c>
    </row>
    <row r="778" spans="1:13">
      <c r="A778" t="s">
        <v>846</v>
      </c>
      <c r="B778" t="s">
        <v>58</v>
      </c>
      <c r="C778" t="s">
        <v>48</v>
      </c>
      <c r="D778" t="s">
        <v>16</v>
      </c>
      <c r="E778" s="2">
        <v>77</v>
      </c>
      <c r="F778" t="s">
        <v>34</v>
      </c>
      <c r="G778" t="s">
        <v>40</v>
      </c>
      <c r="H778" s="2">
        <v>73</v>
      </c>
      <c r="I778" s="3">
        <v>4539</v>
      </c>
      <c r="J778" s="4">
        <v>17.45</v>
      </c>
      <c r="K778" s="2">
        <v>83</v>
      </c>
      <c r="L778" s="2">
        <v>4</v>
      </c>
      <c r="M778" s="3">
        <v>20422</v>
      </c>
    </row>
    <row r="779" spans="1:13">
      <c r="A779" t="s">
        <v>847</v>
      </c>
      <c r="B779" t="s">
        <v>25</v>
      </c>
      <c r="C779" t="s">
        <v>39</v>
      </c>
      <c r="D779" t="s">
        <v>27</v>
      </c>
      <c r="E779" s="2">
        <v>13</v>
      </c>
      <c r="F779" t="s">
        <v>22</v>
      </c>
      <c r="G779" t="s">
        <v>31</v>
      </c>
      <c r="H779" s="2">
        <v>94</v>
      </c>
      <c r="I779" s="3">
        <v>2768</v>
      </c>
      <c r="J779" s="4">
        <v>0.53</v>
      </c>
      <c r="K779" s="2">
        <v>87</v>
      </c>
      <c r="L779" s="2">
        <v>5</v>
      </c>
      <c r="M779" s="3">
        <v>15670</v>
      </c>
    </row>
    <row r="780" spans="1:13">
      <c r="A780" t="s">
        <v>848</v>
      </c>
      <c r="B780" t="s">
        <v>135</v>
      </c>
      <c r="C780" t="s">
        <v>48</v>
      </c>
      <c r="D780" t="s">
        <v>27</v>
      </c>
      <c r="E780" s="2">
        <v>40</v>
      </c>
      <c r="F780" t="s">
        <v>17</v>
      </c>
      <c r="G780" t="s">
        <v>23</v>
      </c>
      <c r="H780" s="2">
        <v>78</v>
      </c>
      <c r="I780" s="3">
        <v>7029</v>
      </c>
      <c r="J780" s="4">
        <v>14.21</v>
      </c>
      <c r="K780" s="2">
        <v>68</v>
      </c>
      <c r="L780" s="2">
        <v>4</v>
      </c>
      <c r="M780" s="3">
        <v>19770</v>
      </c>
    </row>
    <row r="781" spans="1:13">
      <c r="A781" t="s">
        <v>849</v>
      </c>
      <c r="B781" t="s">
        <v>25</v>
      </c>
      <c r="C781" t="s">
        <v>26</v>
      </c>
      <c r="D781" t="s">
        <v>16</v>
      </c>
      <c r="E781" s="2">
        <v>14</v>
      </c>
      <c r="F781" t="s">
        <v>22</v>
      </c>
      <c r="G781" t="s">
        <v>23</v>
      </c>
      <c r="H781" s="2">
        <v>99</v>
      </c>
      <c r="I781" s="3">
        <v>2986</v>
      </c>
      <c r="J781" s="4">
        <v>2.0099999999999998</v>
      </c>
      <c r="K781" s="2">
        <v>38</v>
      </c>
      <c r="L781" s="2">
        <v>4</v>
      </c>
      <c r="M781" s="3">
        <v>8401</v>
      </c>
    </row>
    <row r="782" spans="1:13">
      <c r="A782" t="s">
        <v>850</v>
      </c>
      <c r="B782" t="s">
        <v>56</v>
      </c>
      <c r="C782" t="s">
        <v>45</v>
      </c>
      <c r="D782" t="s">
        <v>27</v>
      </c>
      <c r="E782" s="2">
        <v>31</v>
      </c>
      <c r="F782" t="s">
        <v>34</v>
      </c>
      <c r="G782" t="s">
        <v>70</v>
      </c>
      <c r="H782" s="2">
        <v>75</v>
      </c>
      <c r="I782" s="3">
        <v>6281</v>
      </c>
      <c r="J782" s="4">
        <v>16.12</v>
      </c>
      <c r="K782" s="2">
        <v>89</v>
      </c>
      <c r="L782" s="2">
        <v>4</v>
      </c>
      <c r="M782" s="3">
        <v>19241</v>
      </c>
    </row>
    <row r="783" spans="1:13">
      <c r="A783" t="s">
        <v>851</v>
      </c>
      <c r="B783" t="s">
        <v>25</v>
      </c>
      <c r="C783" t="s">
        <v>26</v>
      </c>
      <c r="D783" t="s">
        <v>16</v>
      </c>
      <c r="E783" s="2">
        <v>58</v>
      </c>
      <c r="F783" t="s">
        <v>22</v>
      </c>
      <c r="G783" t="s">
        <v>18</v>
      </c>
      <c r="H783" s="2">
        <v>88</v>
      </c>
      <c r="I783" s="3">
        <v>2587</v>
      </c>
      <c r="J783" s="4">
        <v>1.1399999999999999</v>
      </c>
      <c r="K783" s="2">
        <v>46</v>
      </c>
      <c r="L783" s="2">
        <v>5</v>
      </c>
      <c r="M783" s="3">
        <v>15472</v>
      </c>
    </row>
    <row r="784" spans="1:13">
      <c r="A784" t="s">
        <v>852</v>
      </c>
      <c r="B784" t="s">
        <v>66</v>
      </c>
      <c r="C784" t="s">
        <v>39</v>
      </c>
      <c r="D784" t="s">
        <v>16</v>
      </c>
      <c r="E784" s="2">
        <v>9</v>
      </c>
      <c r="F784" t="s">
        <v>22</v>
      </c>
      <c r="G784" t="s">
        <v>70</v>
      </c>
      <c r="H784" s="2">
        <v>84</v>
      </c>
      <c r="I784" s="3">
        <v>3285</v>
      </c>
      <c r="J784" s="4">
        <v>1.01</v>
      </c>
      <c r="K784" s="2">
        <v>64</v>
      </c>
      <c r="L784" s="2">
        <v>4</v>
      </c>
      <c r="M784" s="3">
        <v>8228</v>
      </c>
    </row>
    <row r="785" spans="1:13">
      <c r="A785" t="s">
        <v>853</v>
      </c>
      <c r="B785" t="s">
        <v>42</v>
      </c>
      <c r="C785" t="s">
        <v>39</v>
      </c>
      <c r="D785" t="s">
        <v>27</v>
      </c>
      <c r="E785" s="2">
        <v>69</v>
      </c>
      <c r="F785" t="s">
        <v>17</v>
      </c>
      <c r="G785" t="s">
        <v>31</v>
      </c>
      <c r="H785" s="2">
        <v>84</v>
      </c>
      <c r="I785" s="3">
        <v>2396</v>
      </c>
      <c r="J785" s="4">
        <v>4.0999999999999996</v>
      </c>
      <c r="K785" s="2">
        <v>56</v>
      </c>
      <c r="L785" s="2">
        <v>4</v>
      </c>
      <c r="M785" s="3">
        <v>8381</v>
      </c>
    </row>
    <row r="786" spans="1:13">
      <c r="A786" t="s">
        <v>854</v>
      </c>
      <c r="B786" t="s">
        <v>129</v>
      </c>
      <c r="C786" t="s">
        <v>21</v>
      </c>
      <c r="D786" t="s">
        <v>27</v>
      </c>
      <c r="E786" s="2">
        <v>38</v>
      </c>
      <c r="F786" t="s">
        <v>17</v>
      </c>
      <c r="G786" t="s">
        <v>31</v>
      </c>
      <c r="H786" s="2">
        <v>65</v>
      </c>
      <c r="I786" s="3">
        <v>5130</v>
      </c>
      <c r="J786" s="4">
        <v>16.71</v>
      </c>
      <c r="K786" s="2">
        <v>105</v>
      </c>
      <c r="L786" s="2">
        <v>3</v>
      </c>
      <c r="M786" s="3">
        <v>26054</v>
      </c>
    </row>
    <row r="787" spans="1:13">
      <c r="A787" t="s">
        <v>855</v>
      </c>
      <c r="B787" t="s">
        <v>47</v>
      </c>
      <c r="C787" t="s">
        <v>48</v>
      </c>
      <c r="D787" t="s">
        <v>16</v>
      </c>
      <c r="E787" s="2">
        <v>50</v>
      </c>
      <c r="F787" t="s">
        <v>17</v>
      </c>
      <c r="G787" t="s">
        <v>31</v>
      </c>
      <c r="H787" s="2">
        <v>84</v>
      </c>
      <c r="I787" s="3">
        <v>5809</v>
      </c>
      <c r="J787" s="4">
        <v>10.050000000000001</v>
      </c>
      <c r="K787" s="2">
        <v>74</v>
      </c>
      <c r="L787" s="2">
        <v>3</v>
      </c>
      <c r="M787" s="3">
        <v>20945</v>
      </c>
    </row>
    <row r="788" spans="1:13">
      <c r="A788" t="s">
        <v>856</v>
      </c>
      <c r="B788" t="s">
        <v>38</v>
      </c>
      <c r="C788" t="s">
        <v>39</v>
      </c>
      <c r="D788" t="s">
        <v>27</v>
      </c>
      <c r="E788" s="2">
        <v>5</v>
      </c>
      <c r="F788" t="s">
        <v>17</v>
      </c>
      <c r="G788" t="s">
        <v>31</v>
      </c>
      <c r="H788" s="2">
        <v>78</v>
      </c>
      <c r="I788" s="3">
        <v>3100</v>
      </c>
      <c r="J788" s="4">
        <v>12.65</v>
      </c>
      <c r="K788" s="2">
        <v>67</v>
      </c>
      <c r="L788" s="2">
        <v>4</v>
      </c>
      <c r="M788" s="3">
        <v>12073</v>
      </c>
    </row>
    <row r="789" spans="1:13">
      <c r="A789" t="s">
        <v>857</v>
      </c>
      <c r="B789" t="s">
        <v>122</v>
      </c>
      <c r="C789" t="s">
        <v>48</v>
      </c>
      <c r="D789" t="s">
        <v>16</v>
      </c>
      <c r="E789" s="2">
        <v>38</v>
      </c>
      <c r="F789" t="s">
        <v>34</v>
      </c>
      <c r="G789" t="s">
        <v>40</v>
      </c>
      <c r="H789" s="2">
        <v>82</v>
      </c>
      <c r="I789" s="3">
        <v>5245</v>
      </c>
      <c r="J789" s="4">
        <v>10.83</v>
      </c>
      <c r="K789" s="2">
        <v>35</v>
      </c>
      <c r="L789" s="2">
        <v>4</v>
      </c>
      <c r="M789" s="3">
        <v>15141</v>
      </c>
    </row>
    <row r="790" spans="1:13">
      <c r="A790" t="s">
        <v>858</v>
      </c>
      <c r="B790" t="s">
        <v>47</v>
      </c>
      <c r="C790" t="s">
        <v>48</v>
      </c>
      <c r="D790" t="s">
        <v>27</v>
      </c>
      <c r="E790" s="2">
        <v>41</v>
      </c>
      <c r="F790" t="s">
        <v>17</v>
      </c>
      <c r="G790" t="s">
        <v>70</v>
      </c>
      <c r="H790" s="2">
        <v>82</v>
      </c>
      <c r="I790" s="3">
        <v>7635</v>
      </c>
      <c r="J790" s="4">
        <v>10.79</v>
      </c>
      <c r="K790" s="2">
        <v>45</v>
      </c>
      <c r="L790" s="2">
        <v>5</v>
      </c>
      <c r="M790" s="3">
        <v>28004</v>
      </c>
    </row>
    <row r="791" spans="1:13">
      <c r="A791" t="s">
        <v>859</v>
      </c>
      <c r="B791" t="s">
        <v>29</v>
      </c>
      <c r="C791" t="s">
        <v>30</v>
      </c>
      <c r="D791" t="s">
        <v>16</v>
      </c>
      <c r="E791" s="2">
        <v>66</v>
      </c>
      <c r="F791" t="s">
        <v>22</v>
      </c>
      <c r="G791" t="s">
        <v>23</v>
      </c>
      <c r="H791" s="2">
        <v>69</v>
      </c>
      <c r="I791" s="3">
        <v>3421</v>
      </c>
      <c r="J791" s="4">
        <v>23.77</v>
      </c>
      <c r="K791" s="2">
        <v>95</v>
      </c>
      <c r="L791" s="2">
        <v>3</v>
      </c>
      <c r="M791" s="3">
        <v>19717</v>
      </c>
    </row>
    <row r="792" spans="1:13">
      <c r="A792" t="s">
        <v>860</v>
      </c>
      <c r="B792" t="s">
        <v>68</v>
      </c>
      <c r="C792" t="s">
        <v>45</v>
      </c>
      <c r="D792" t="s">
        <v>16</v>
      </c>
      <c r="E792" s="2">
        <v>53</v>
      </c>
      <c r="F792" t="s">
        <v>22</v>
      </c>
      <c r="G792" t="s">
        <v>70</v>
      </c>
      <c r="H792" s="2">
        <v>80</v>
      </c>
      <c r="I792" s="3">
        <v>13629</v>
      </c>
      <c r="J792" s="4">
        <v>8</v>
      </c>
      <c r="K792" s="2">
        <v>109</v>
      </c>
      <c r="L792" s="2">
        <v>4</v>
      </c>
      <c r="M792" s="3">
        <v>43481</v>
      </c>
    </row>
    <row r="793" spans="1:13">
      <c r="A793" t="s">
        <v>861</v>
      </c>
      <c r="B793" t="s">
        <v>122</v>
      </c>
      <c r="C793" t="s">
        <v>48</v>
      </c>
      <c r="D793" t="s">
        <v>27</v>
      </c>
      <c r="E793" s="2">
        <v>58</v>
      </c>
      <c r="F793" t="s">
        <v>17</v>
      </c>
      <c r="G793" t="s">
        <v>18</v>
      </c>
      <c r="H793" s="2">
        <v>83</v>
      </c>
      <c r="I793" s="3">
        <v>6823</v>
      </c>
      <c r="J793" s="4">
        <v>11.4</v>
      </c>
      <c r="K793" s="2">
        <v>53</v>
      </c>
      <c r="L793" s="2">
        <v>4</v>
      </c>
      <c r="M793" s="3">
        <v>38992</v>
      </c>
    </row>
    <row r="794" spans="1:13">
      <c r="A794" t="s">
        <v>862</v>
      </c>
      <c r="B794" t="s">
        <v>62</v>
      </c>
      <c r="C794" t="s">
        <v>52</v>
      </c>
      <c r="D794" t="s">
        <v>27</v>
      </c>
      <c r="E794" s="2">
        <v>72</v>
      </c>
      <c r="F794" t="s">
        <v>22</v>
      </c>
      <c r="G794" t="s">
        <v>70</v>
      </c>
      <c r="H794" s="2">
        <v>83</v>
      </c>
      <c r="I794" s="3">
        <v>5870</v>
      </c>
      <c r="J794" s="4">
        <v>5.29</v>
      </c>
      <c r="K794" s="2">
        <v>49</v>
      </c>
      <c r="L794" s="2">
        <v>4</v>
      </c>
      <c r="M794" s="3">
        <v>19333</v>
      </c>
    </row>
    <row r="795" spans="1:13">
      <c r="A795" t="s">
        <v>863</v>
      </c>
      <c r="B795" t="s">
        <v>129</v>
      </c>
      <c r="C795" t="s">
        <v>21</v>
      </c>
      <c r="D795" t="s">
        <v>16</v>
      </c>
      <c r="E795" s="2">
        <v>66</v>
      </c>
      <c r="F795" t="s">
        <v>17</v>
      </c>
      <c r="G795" t="s">
        <v>23</v>
      </c>
      <c r="H795" s="2">
        <v>77</v>
      </c>
      <c r="I795" s="3">
        <v>7093</v>
      </c>
      <c r="J795" s="4">
        <v>14</v>
      </c>
      <c r="K795" s="2">
        <v>60</v>
      </c>
      <c r="L795" s="2">
        <v>4</v>
      </c>
      <c r="M795" s="3">
        <v>40299</v>
      </c>
    </row>
    <row r="796" spans="1:13">
      <c r="A796" t="s">
        <v>864</v>
      </c>
      <c r="B796" t="s">
        <v>56</v>
      </c>
      <c r="C796" t="s">
        <v>45</v>
      </c>
      <c r="D796" t="s">
        <v>16</v>
      </c>
      <c r="E796" s="2">
        <v>7</v>
      </c>
      <c r="F796" t="s">
        <v>17</v>
      </c>
      <c r="G796" t="s">
        <v>40</v>
      </c>
      <c r="H796" s="2">
        <v>77</v>
      </c>
      <c r="I796" s="3">
        <v>6862</v>
      </c>
      <c r="J796" s="4">
        <v>15.41</v>
      </c>
      <c r="K796" s="2">
        <v>101</v>
      </c>
      <c r="L796" s="2">
        <v>4</v>
      </c>
      <c r="M796" s="3">
        <v>29237</v>
      </c>
    </row>
    <row r="797" spans="1:13">
      <c r="A797" t="s">
        <v>865</v>
      </c>
      <c r="B797" t="s">
        <v>109</v>
      </c>
      <c r="C797" t="s">
        <v>30</v>
      </c>
      <c r="D797" t="s">
        <v>27</v>
      </c>
      <c r="E797" s="2">
        <v>49</v>
      </c>
      <c r="F797" t="s">
        <v>17</v>
      </c>
      <c r="G797" t="s">
        <v>18</v>
      </c>
      <c r="H797" s="2">
        <v>68</v>
      </c>
      <c r="I797" s="3">
        <v>4136</v>
      </c>
      <c r="J797" s="4">
        <v>16.37</v>
      </c>
      <c r="K797" s="2">
        <v>95</v>
      </c>
      <c r="L797" s="2">
        <v>3</v>
      </c>
      <c r="M797" s="3">
        <v>13106</v>
      </c>
    </row>
    <row r="798" spans="1:13">
      <c r="A798" t="s">
        <v>866</v>
      </c>
      <c r="B798" t="s">
        <v>36</v>
      </c>
      <c r="C798" t="s">
        <v>21</v>
      </c>
      <c r="D798" t="s">
        <v>16</v>
      </c>
      <c r="E798" s="2">
        <v>29</v>
      </c>
      <c r="F798" t="s">
        <v>17</v>
      </c>
      <c r="G798" t="s">
        <v>18</v>
      </c>
      <c r="H798" s="2">
        <v>71</v>
      </c>
      <c r="I798" s="3">
        <v>5577</v>
      </c>
      <c r="J798" s="4">
        <v>17.579999999999998</v>
      </c>
      <c r="K798" s="2">
        <v>107</v>
      </c>
      <c r="L798" s="2">
        <v>3</v>
      </c>
      <c r="M798" s="3">
        <v>32353</v>
      </c>
    </row>
    <row r="799" spans="1:13">
      <c r="A799" t="s">
        <v>867</v>
      </c>
      <c r="B799" t="s">
        <v>103</v>
      </c>
      <c r="C799" t="s">
        <v>26</v>
      </c>
      <c r="D799" t="s">
        <v>27</v>
      </c>
      <c r="E799" s="2">
        <v>25</v>
      </c>
      <c r="F799" t="s">
        <v>34</v>
      </c>
      <c r="G799" t="s">
        <v>70</v>
      </c>
      <c r="H799" s="2">
        <v>85</v>
      </c>
      <c r="I799" s="3">
        <v>964</v>
      </c>
      <c r="J799" s="4">
        <v>8.11</v>
      </c>
      <c r="K799" s="2">
        <v>37</v>
      </c>
      <c r="L799" s="2">
        <v>3</v>
      </c>
      <c r="M799" s="3">
        <v>5433</v>
      </c>
    </row>
    <row r="800" spans="1:13">
      <c r="A800" t="s">
        <v>868</v>
      </c>
      <c r="B800" t="s">
        <v>109</v>
      </c>
      <c r="C800" t="s">
        <v>30</v>
      </c>
      <c r="D800" t="s">
        <v>16</v>
      </c>
      <c r="E800" s="2">
        <v>29</v>
      </c>
      <c r="F800" t="s">
        <v>22</v>
      </c>
      <c r="G800" t="s">
        <v>40</v>
      </c>
      <c r="H800" s="2">
        <v>79</v>
      </c>
      <c r="I800" s="3">
        <v>3019</v>
      </c>
      <c r="J800" s="4">
        <v>15.53</v>
      </c>
      <c r="K800" s="2">
        <v>74</v>
      </c>
      <c r="L800" s="2">
        <v>4</v>
      </c>
      <c r="M800" s="3">
        <v>10321</v>
      </c>
    </row>
    <row r="801" spans="1:13">
      <c r="A801" t="s">
        <v>869</v>
      </c>
      <c r="B801" t="s">
        <v>64</v>
      </c>
      <c r="C801" t="s">
        <v>30</v>
      </c>
      <c r="D801" t="s">
        <v>16</v>
      </c>
      <c r="E801" s="2">
        <v>53</v>
      </c>
      <c r="F801" t="s">
        <v>22</v>
      </c>
      <c r="G801" t="s">
        <v>18</v>
      </c>
      <c r="H801" s="2">
        <v>69</v>
      </c>
      <c r="I801" s="3">
        <v>1676</v>
      </c>
      <c r="J801" s="4">
        <v>15.9</v>
      </c>
      <c r="K801" s="2">
        <v>117</v>
      </c>
      <c r="L801" s="2">
        <v>3</v>
      </c>
      <c r="M801" s="3">
        <v>5203</v>
      </c>
    </row>
    <row r="802" spans="1:13">
      <c r="A802" t="s">
        <v>870</v>
      </c>
      <c r="B802" t="s">
        <v>109</v>
      </c>
      <c r="C802" t="s">
        <v>30</v>
      </c>
      <c r="D802" t="s">
        <v>16</v>
      </c>
      <c r="E802" s="2">
        <v>60</v>
      </c>
      <c r="F802" t="s">
        <v>17</v>
      </c>
      <c r="G802" t="s">
        <v>18</v>
      </c>
      <c r="H802" s="2">
        <v>71</v>
      </c>
      <c r="I802" s="3">
        <v>2555</v>
      </c>
      <c r="J802" s="4">
        <v>25.07</v>
      </c>
      <c r="K802" s="2">
        <v>105</v>
      </c>
      <c r="L802" s="2">
        <v>3</v>
      </c>
      <c r="M802" s="3">
        <v>11892</v>
      </c>
    </row>
    <row r="803" spans="1:13">
      <c r="A803" t="s">
        <v>871</v>
      </c>
      <c r="B803" t="s">
        <v>25</v>
      </c>
      <c r="C803" t="s">
        <v>39</v>
      </c>
      <c r="D803" t="s">
        <v>27</v>
      </c>
      <c r="E803" s="2">
        <v>16</v>
      </c>
      <c r="F803" t="s">
        <v>34</v>
      </c>
      <c r="G803" t="s">
        <v>49</v>
      </c>
      <c r="H803" s="2">
        <v>76</v>
      </c>
      <c r="I803" s="3">
        <v>3802</v>
      </c>
      <c r="J803" s="4">
        <v>12.03</v>
      </c>
      <c r="K803" s="2">
        <v>50</v>
      </c>
      <c r="L803" s="2">
        <v>4</v>
      </c>
      <c r="M803" s="3">
        <v>10749</v>
      </c>
    </row>
    <row r="804" spans="1:13">
      <c r="A804" t="s">
        <v>872</v>
      </c>
      <c r="B804" t="s">
        <v>135</v>
      </c>
      <c r="C804" t="s">
        <v>48</v>
      </c>
      <c r="D804" t="s">
        <v>27</v>
      </c>
      <c r="E804" s="2">
        <v>24</v>
      </c>
      <c r="F804" t="s">
        <v>17</v>
      </c>
      <c r="G804" t="s">
        <v>40</v>
      </c>
      <c r="H804" s="2">
        <v>84</v>
      </c>
      <c r="I804" s="3">
        <v>5956</v>
      </c>
      <c r="J804" s="4">
        <v>14.64</v>
      </c>
      <c r="K804" s="2">
        <v>70</v>
      </c>
      <c r="L804" s="2">
        <v>4</v>
      </c>
      <c r="M804" s="3">
        <v>25270</v>
      </c>
    </row>
    <row r="805" spans="1:13">
      <c r="A805" t="s">
        <v>873</v>
      </c>
      <c r="B805" t="s">
        <v>122</v>
      </c>
      <c r="C805" t="s">
        <v>48</v>
      </c>
      <c r="D805" t="s">
        <v>16</v>
      </c>
      <c r="E805" s="2">
        <v>64</v>
      </c>
      <c r="F805" t="s">
        <v>22</v>
      </c>
      <c r="G805" t="s">
        <v>49</v>
      </c>
      <c r="H805" s="2">
        <v>80</v>
      </c>
      <c r="I805" s="3">
        <v>6467</v>
      </c>
      <c r="J805" s="4">
        <v>15.3</v>
      </c>
      <c r="K805" s="2">
        <v>63</v>
      </c>
      <c r="L805" s="2">
        <v>4</v>
      </c>
      <c r="M805" s="3">
        <v>33444</v>
      </c>
    </row>
    <row r="806" spans="1:13">
      <c r="A806" t="s">
        <v>874</v>
      </c>
      <c r="B806" t="s">
        <v>54</v>
      </c>
      <c r="C806" t="s">
        <v>39</v>
      </c>
      <c r="D806" t="s">
        <v>16</v>
      </c>
      <c r="E806" s="2">
        <v>6</v>
      </c>
      <c r="F806" t="s">
        <v>17</v>
      </c>
      <c r="G806" t="s">
        <v>40</v>
      </c>
      <c r="H806" s="2">
        <v>81</v>
      </c>
      <c r="I806" s="3">
        <v>2898</v>
      </c>
      <c r="J806" s="4">
        <v>14.55</v>
      </c>
      <c r="K806" s="2">
        <v>49</v>
      </c>
      <c r="L806" s="2">
        <v>4</v>
      </c>
      <c r="M806" s="3">
        <v>15556</v>
      </c>
    </row>
    <row r="807" spans="1:13">
      <c r="A807" t="s">
        <v>875</v>
      </c>
      <c r="B807" t="s">
        <v>56</v>
      </c>
      <c r="C807" t="s">
        <v>45</v>
      </c>
      <c r="D807" t="s">
        <v>16</v>
      </c>
      <c r="E807" s="2">
        <v>57</v>
      </c>
      <c r="F807" t="s">
        <v>17</v>
      </c>
      <c r="G807" t="s">
        <v>70</v>
      </c>
      <c r="H807" s="2">
        <v>78</v>
      </c>
      <c r="I807" s="3">
        <v>11131</v>
      </c>
      <c r="J807" s="4">
        <v>21.14</v>
      </c>
      <c r="K807" s="2">
        <v>52</v>
      </c>
      <c r="L807" s="2">
        <v>4</v>
      </c>
      <c r="M807" s="3">
        <v>43399</v>
      </c>
    </row>
    <row r="808" spans="1:13">
      <c r="A808" t="s">
        <v>876</v>
      </c>
      <c r="B808" t="s">
        <v>97</v>
      </c>
      <c r="C808" t="s">
        <v>30</v>
      </c>
      <c r="D808" t="s">
        <v>27</v>
      </c>
      <c r="E808" s="2">
        <v>47</v>
      </c>
      <c r="F808" t="s">
        <v>17</v>
      </c>
      <c r="G808" t="s">
        <v>18</v>
      </c>
      <c r="H808" s="2">
        <v>70</v>
      </c>
      <c r="I808" s="3">
        <v>3001</v>
      </c>
      <c r="J808" s="4">
        <v>16.46</v>
      </c>
      <c r="K808" s="2">
        <v>118</v>
      </c>
      <c r="L808" s="2">
        <v>4</v>
      </c>
      <c r="M808" s="3">
        <v>14439</v>
      </c>
    </row>
    <row r="809" spans="1:13">
      <c r="A809" t="s">
        <v>877</v>
      </c>
      <c r="B809" t="s">
        <v>29</v>
      </c>
      <c r="C809" t="s">
        <v>30</v>
      </c>
      <c r="D809" t="s">
        <v>16</v>
      </c>
      <c r="E809" s="2">
        <v>16</v>
      </c>
      <c r="F809" t="s">
        <v>17</v>
      </c>
      <c r="G809" t="s">
        <v>40</v>
      </c>
      <c r="H809" s="2">
        <v>78</v>
      </c>
      <c r="I809" s="3">
        <v>3061</v>
      </c>
      <c r="J809" s="4">
        <v>18.579999999999998</v>
      </c>
      <c r="K809" s="2">
        <v>107</v>
      </c>
      <c r="L809" s="2">
        <v>3</v>
      </c>
      <c r="M809" s="3">
        <v>12324</v>
      </c>
    </row>
    <row r="810" spans="1:13">
      <c r="A810" t="s">
        <v>878</v>
      </c>
      <c r="B810" t="s">
        <v>187</v>
      </c>
      <c r="C810" t="s">
        <v>30</v>
      </c>
      <c r="D810" t="s">
        <v>16</v>
      </c>
      <c r="E810" s="2">
        <v>59</v>
      </c>
      <c r="F810" t="s">
        <v>34</v>
      </c>
      <c r="G810" t="s">
        <v>49</v>
      </c>
      <c r="H810" s="2">
        <v>71</v>
      </c>
      <c r="I810" s="3">
        <v>3615</v>
      </c>
      <c r="J810" s="4">
        <v>12.47</v>
      </c>
      <c r="K810" s="2">
        <v>120</v>
      </c>
      <c r="L810" s="2">
        <v>4</v>
      </c>
      <c r="M810" s="3">
        <v>14471</v>
      </c>
    </row>
    <row r="811" spans="1:13">
      <c r="A811" t="s">
        <v>879</v>
      </c>
      <c r="B811" t="s">
        <v>29</v>
      </c>
      <c r="C811" t="s">
        <v>30</v>
      </c>
      <c r="D811" t="s">
        <v>72</v>
      </c>
      <c r="E811" s="2">
        <v>20</v>
      </c>
      <c r="F811" t="s">
        <v>22</v>
      </c>
      <c r="G811" t="s">
        <v>23</v>
      </c>
      <c r="H811" s="2">
        <v>83</v>
      </c>
      <c r="I811" s="3">
        <v>2949</v>
      </c>
      <c r="J811" s="4">
        <v>14.86</v>
      </c>
      <c r="K811" s="2">
        <v>107</v>
      </c>
      <c r="L811" s="2">
        <v>4</v>
      </c>
      <c r="M811" s="3">
        <v>16781</v>
      </c>
    </row>
    <row r="812" spans="1:13">
      <c r="A812" t="s">
        <v>880</v>
      </c>
      <c r="B812" t="s">
        <v>109</v>
      </c>
      <c r="C812" t="s">
        <v>30</v>
      </c>
      <c r="D812" t="s">
        <v>16</v>
      </c>
      <c r="E812" s="2">
        <v>68</v>
      </c>
      <c r="F812" t="s">
        <v>34</v>
      </c>
      <c r="G812" t="s">
        <v>70</v>
      </c>
      <c r="H812" s="2">
        <v>69</v>
      </c>
      <c r="I812" s="3">
        <v>3853</v>
      </c>
      <c r="J812" s="4">
        <v>20.51</v>
      </c>
      <c r="K812" s="2">
        <v>79</v>
      </c>
      <c r="L812" s="2">
        <v>3</v>
      </c>
      <c r="M812" s="3">
        <v>16827</v>
      </c>
    </row>
    <row r="813" spans="1:13">
      <c r="A813" t="s">
        <v>881</v>
      </c>
      <c r="B813" t="s">
        <v>25</v>
      </c>
      <c r="C813" t="s">
        <v>26</v>
      </c>
      <c r="D813" t="s">
        <v>16</v>
      </c>
      <c r="E813" s="2">
        <v>31</v>
      </c>
      <c r="F813" t="s">
        <v>34</v>
      </c>
      <c r="G813" t="s">
        <v>31</v>
      </c>
      <c r="H813" s="2">
        <v>87</v>
      </c>
      <c r="I813" s="3">
        <v>2189</v>
      </c>
      <c r="J813" s="4">
        <v>8.4499999999999993</v>
      </c>
      <c r="K813" s="2">
        <v>29</v>
      </c>
      <c r="L813" s="2">
        <v>4</v>
      </c>
      <c r="M813" s="3">
        <v>12104</v>
      </c>
    </row>
    <row r="814" spans="1:13">
      <c r="A814" t="s">
        <v>882</v>
      </c>
      <c r="B814" t="s">
        <v>143</v>
      </c>
      <c r="C814" t="s">
        <v>21</v>
      </c>
      <c r="D814" t="s">
        <v>16</v>
      </c>
      <c r="E814" s="2">
        <v>41</v>
      </c>
      <c r="F814" t="s">
        <v>22</v>
      </c>
      <c r="G814" t="s">
        <v>23</v>
      </c>
      <c r="H814" s="2">
        <v>85</v>
      </c>
      <c r="I814" s="3">
        <v>8179</v>
      </c>
      <c r="J814" s="4">
        <v>12</v>
      </c>
      <c r="K814" s="2">
        <v>87</v>
      </c>
      <c r="L814" s="2">
        <v>4</v>
      </c>
      <c r="M814" s="3">
        <v>47917</v>
      </c>
    </row>
    <row r="815" spans="1:13">
      <c r="A815" t="s">
        <v>883</v>
      </c>
      <c r="B815" t="s">
        <v>122</v>
      </c>
      <c r="C815" t="s">
        <v>48</v>
      </c>
      <c r="D815" t="s">
        <v>16</v>
      </c>
      <c r="E815" s="2">
        <v>54</v>
      </c>
      <c r="F815" t="s">
        <v>22</v>
      </c>
      <c r="G815" t="s">
        <v>49</v>
      </c>
      <c r="H815" s="2">
        <v>76</v>
      </c>
      <c r="I815" s="3">
        <v>5306</v>
      </c>
      <c r="J815" s="4">
        <v>11.97</v>
      </c>
      <c r="K815" s="2">
        <v>101</v>
      </c>
      <c r="L815" s="2">
        <v>4</v>
      </c>
      <c r="M815" s="3">
        <v>16092</v>
      </c>
    </row>
    <row r="816" spans="1:13">
      <c r="A816" t="s">
        <v>884</v>
      </c>
      <c r="B816" t="s">
        <v>47</v>
      </c>
      <c r="C816" t="s">
        <v>48</v>
      </c>
      <c r="D816" t="s">
        <v>16</v>
      </c>
      <c r="E816" s="2">
        <v>20</v>
      </c>
      <c r="F816" t="s">
        <v>17</v>
      </c>
      <c r="G816" t="s">
        <v>70</v>
      </c>
      <c r="H816" s="2">
        <v>80</v>
      </c>
      <c r="I816" s="3">
        <v>8027</v>
      </c>
      <c r="J816" s="4">
        <v>18.68</v>
      </c>
      <c r="K816" s="2">
        <v>94</v>
      </c>
      <c r="L816" s="2">
        <v>4</v>
      </c>
      <c r="M816" s="3">
        <v>27511</v>
      </c>
    </row>
    <row r="817" spans="1:13">
      <c r="A817" t="s">
        <v>885</v>
      </c>
      <c r="B817" t="s">
        <v>78</v>
      </c>
      <c r="C817" t="s">
        <v>15</v>
      </c>
      <c r="D817" t="s">
        <v>16</v>
      </c>
      <c r="E817" s="2">
        <v>78</v>
      </c>
      <c r="F817" t="s">
        <v>17</v>
      </c>
      <c r="G817" t="s">
        <v>40</v>
      </c>
      <c r="H817" s="2">
        <v>89</v>
      </c>
      <c r="I817" s="3">
        <v>8576</v>
      </c>
      <c r="J817" s="4">
        <v>18.600000000000001</v>
      </c>
      <c r="K817" s="2">
        <v>38</v>
      </c>
      <c r="L817" s="2">
        <v>4</v>
      </c>
      <c r="M817" s="3">
        <v>25960</v>
      </c>
    </row>
    <row r="818" spans="1:13">
      <c r="A818" t="s">
        <v>886</v>
      </c>
      <c r="B818" t="s">
        <v>14</v>
      </c>
      <c r="C818" t="s">
        <v>15</v>
      </c>
      <c r="D818" t="s">
        <v>16</v>
      </c>
      <c r="E818" s="2">
        <v>41</v>
      </c>
      <c r="F818" t="s">
        <v>22</v>
      </c>
      <c r="G818" t="s">
        <v>18</v>
      </c>
      <c r="H818" s="2">
        <v>78</v>
      </c>
      <c r="I818" s="3">
        <v>6910</v>
      </c>
      <c r="J818" s="4">
        <v>10.199999999999999</v>
      </c>
      <c r="K818" s="2">
        <v>97</v>
      </c>
      <c r="L818" s="2">
        <v>4</v>
      </c>
      <c r="M818" s="3">
        <v>39763</v>
      </c>
    </row>
    <row r="819" spans="1:13">
      <c r="A819" t="s">
        <v>887</v>
      </c>
      <c r="B819" t="s">
        <v>47</v>
      </c>
      <c r="C819" t="s">
        <v>48</v>
      </c>
      <c r="D819" t="s">
        <v>72</v>
      </c>
      <c r="E819" s="2">
        <v>8</v>
      </c>
      <c r="F819" t="s">
        <v>34</v>
      </c>
      <c r="G819" t="s">
        <v>31</v>
      </c>
      <c r="H819" s="2">
        <v>90</v>
      </c>
      <c r="I819" s="3">
        <v>6251</v>
      </c>
      <c r="J819" s="4">
        <v>10.95</v>
      </c>
      <c r="K819" s="2">
        <v>12</v>
      </c>
      <c r="L819" s="2">
        <v>4</v>
      </c>
      <c r="M819" s="3">
        <v>35554</v>
      </c>
    </row>
    <row r="820" spans="1:13">
      <c r="A820" t="s">
        <v>888</v>
      </c>
      <c r="B820" t="s">
        <v>25</v>
      </c>
      <c r="C820" t="s">
        <v>26</v>
      </c>
      <c r="D820" t="s">
        <v>27</v>
      </c>
      <c r="E820" s="2">
        <v>45</v>
      </c>
      <c r="F820" t="s">
        <v>22</v>
      </c>
      <c r="G820" t="s">
        <v>70</v>
      </c>
      <c r="H820" s="2">
        <v>85</v>
      </c>
      <c r="I820" s="3">
        <v>3043</v>
      </c>
      <c r="J820" s="4">
        <v>7.77</v>
      </c>
      <c r="K820" s="2">
        <v>58</v>
      </c>
      <c r="L820" s="2">
        <v>4</v>
      </c>
      <c r="M820" s="3">
        <v>7972</v>
      </c>
    </row>
    <row r="821" spans="1:13">
      <c r="A821" t="s">
        <v>889</v>
      </c>
      <c r="B821" t="s">
        <v>185</v>
      </c>
      <c r="C821" t="s">
        <v>52</v>
      </c>
      <c r="D821" t="s">
        <v>27</v>
      </c>
      <c r="E821" s="2">
        <v>20</v>
      </c>
      <c r="F821" t="s">
        <v>17</v>
      </c>
      <c r="G821" t="s">
        <v>23</v>
      </c>
      <c r="H821" s="2">
        <v>90</v>
      </c>
      <c r="I821" s="3">
        <v>7235</v>
      </c>
      <c r="J821" s="4">
        <v>9.51</v>
      </c>
      <c r="K821" s="2">
        <v>79</v>
      </c>
      <c r="L821" s="2">
        <v>4</v>
      </c>
      <c r="M821" s="3">
        <v>19972</v>
      </c>
    </row>
    <row r="822" spans="1:13">
      <c r="A822" t="s">
        <v>890</v>
      </c>
      <c r="B822" t="s">
        <v>14</v>
      </c>
      <c r="C822" t="s">
        <v>15</v>
      </c>
      <c r="D822" t="s">
        <v>16</v>
      </c>
      <c r="E822" s="2">
        <v>18</v>
      </c>
      <c r="F822" t="s">
        <v>22</v>
      </c>
      <c r="G822" t="s">
        <v>70</v>
      </c>
      <c r="H822" s="2">
        <v>83</v>
      </c>
      <c r="I822" s="3">
        <v>9660</v>
      </c>
      <c r="J822" s="4">
        <v>20.09</v>
      </c>
      <c r="K822" s="2">
        <v>85</v>
      </c>
      <c r="L822" s="2">
        <v>4</v>
      </c>
      <c r="M822" s="3">
        <v>35496</v>
      </c>
    </row>
    <row r="823" spans="1:13">
      <c r="A823" t="s">
        <v>891</v>
      </c>
      <c r="B823" t="s">
        <v>20</v>
      </c>
      <c r="C823" t="s">
        <v>21</v>
      </c>
      <c r="D823" t="s">
        <v>16</v>
      </c>
      <c r="E823" s="2">
        <v>37</v>
      </c>
      <c r="F823" t="s">
        <v>17</v>
      </c>
      <c r="G823" t="s">
        <v>31</v>
      </c>
      <c r="H823" s="2">
        <v>65</v>
      </c>
      <c r="I823" s="3">
        <v>9345</v>
      </c>
      <c r="J823" s="4">
        <v>14.07</v>
      </c>
      <c r="K823" s="2">
        <v>120</v>
      </c>
      <c r="L823" s="2">
        <v>4</v>
      </c>
      <c r="M823" s="3">
        <v>26168</v>
      </c>
    </row>
    <row r="824" spans="1:13">
      <c r="A824" t="s">
        <v>892</v>
      </c>
      <c r="B824" t="s">
        <v>80</v>
      </c>
      <c r="C824" t="s">
        <v>15</v>
      </c>
      <c r="D824" t="s">
        <v>16</v>
      </c>
      <c r="E824" s="2">
        <v>29</v>
      </c>
      <c r="F824" t="s">
        <v>34</v>
      </c>
      <c r="G824" t="s">
        <v>40</v>
      </c>
      <c r="H824" s="2">
        <v>81</v>
      </c>
      <c r="I824" s="3">
        <v>8574</v>
      </c>
      <c r="J824" s="4">
        <v>9.0299999999999994</v>
      </c>
      <c r="K824" s="2">
        <v>92</v>
      </c>
      <c r="L824" s="2">
        <v>4</v>
      </c>
      <c r="M824" s="3">
        <v>21710</v>
      </c>
    </row>
    <row r="825" spans="1:13">
      <c r="A825" t="s">
        <v>893</v>
      </c>
      <c r="B825" t="s">
        <v>122</v>
      </c>
      <c r="C825" t="s">
        <v>48</v>
      </c>
      <c r="D825" t="s">
        <v>27</v>
      </c>
      <c r="E825" s="2">
        <v>16</v>
      </c>
      <c r="F825" t="s">
        <v>17</v>
      </c>
      <c r="G825" t="s">
        <v>23</v>
      </c>
      <c r="H825" s="2">
        <v>87</v>
      </c>
      <c r="I825" s="3">
        <v>6583</v>
      </c>
      <c r="J825" s="4">
        <v>10.7</v>
      </c>
      <c r="K825" s="2">
        <v>88</v>
      </c>
      <c r="L825" s="2">
        <v>4</v>
      </c>
      <c r="M825" s="3">
        <v>37615</v>
      </c>
    </row>
    <row r="826" spans="1:13">
      <c r="A826" t="s">
        <v>894</v>
      </c>
      <c r="B826" t="s">
        <v>150</v>
      </c>
      <c r="C826" t="s">
        <v>48</v>
      </c>
      <c r="D826" t="s">
        <v>16</v>
      </c>
      <c r="E826" s="2">
        <v>19</v>
      </c>
      <c r="F826" t="s">
        <v>34</v>
      </c>
      <c r="G826" t="s">
        <v>70</v>
      </c>
      <c r="H826" s="2">
        <v>84</v>
      </c>
      <c r="I826" s="3">
        <v>7078</v>
      </c>
      <c r="J826" s="4">
        <v>12.15</v>
      </c>
      <c r="K826" s="2">
        <v>67</v>
      </c>
      <c r="L826" s="2">
        <v>5</v>
      </c>
      <c r="M826" s="3">
        <v>40175</v>
      </c>
    </row>
    <row r="827" spans="1:13">
      <c r="A827" t="s">
        <v>895</v>
      </c>
      <c r="B827" t="s">
        <v>14</v>
      </c>
      <c r="C827" t="s">
        <v>15</v>
      </c>
      <c r="D827" t="s">
        <v>16</v>
      </c>
      <c r="E827" s="2">
        <v>46</v>
      </c>
      <c r="F827" t="s">
        <v>17</v>
      </c>
      <c r="G827" t="s">
        <v>23</v>
      </c>
      <c r="H827" s="2">
        <v>73</v>
      </c>
      <c r="I827" s="3">
        <v>6677</v>
      </c>
      <c r="J827" s="4">
        <v>19.88</v>
      </c>
      <c r="K827" s="2">
        <v>64</v>
      </c>
      <c r="L827" s="2">
        <v>4</v>
      </c>
      <c r="M827" s="3">
        <v>23192</v>
      </c>
    </row>
    <row r="828" spans="1:13">
      <c r="A828" t="s">
        <v>896</v>
      </c>
      <c r="B828" t="s">
        <v>143</v>
      </c>
      <c r="C828" t="s">
        <v>21</v>
      </c>
      <c r="D828" t="s">
        <v>27</v>
      </c>
      <c r="E828" s="2">
        <v>52</v>
      </c>
      <c r="F828" t="s">
        <v>34</v>
      </c>
      <c r="G828" t="s">
        <v>49</v>
      </c>
      <c r="H828" s="2">
        <v>76</v>
      </c>
      <c r="I828" s="3">
        <v>6083</v>
      </c>
      <c r="J828" s="4">
        <v>7.88</v>
      </c>
      <c r="K828" s="2">
        <v>86</v>
      </c>
      <c r="L828" s="2">
        <v>4</v>
      </c>
      <c r="M828" s="3">
        <v>25564</v>
      </c>
    </row>
    <row r="829" spans="1:13">
      <c r="A829" t="s">
        <v>897</v>
      </c>
      <c r="B829" t="s">
        <v>58</v>
      </c>
      <c r="C829" t="s">
        <v>48</v>
      </c>
      <c r="D829" t="s">
        <v>27</v>
      </c>
      <c r="E829" s="2">
        <v>57</v>
      </c>
      <c r="F829" t="s">
        <v>34</v>
      </c>
      <c r="G829" t="s">
        <v>18</v>
      </c>
      <c r="H829" s="2">
        <v>78</v>
      </c>
      <c r="I829" s="3">
        <v>7786</v>
      </c>
      <c r="J829" s="4">
        <v>16.45</v>
      </c>
      <c r="K829" s="2">
        <v>82</v>
      </c>
      <c r="L829" s="2">
        <v>4</v>
      </c>
      <c r="M829" s="3">
        <v>26681</v>
      </c>
    </row>
    <row r="830" spans="1:13">
      <c r="A830" t="s">
        <v>898</v>
      </c>
      <c r="B830" t="s">
        <v>88</v>
      </c>
      <c r="C830" t="s">
        <v>15</v>
      </c>
      <c r="D830" t="s">
        <v>27</v>
      </c>
      <c r="E830" s="2">
        <v>48</v>
      </c>
      <c r="F830" t="s">
        <v>34</v>
      </c>
      <c r="G830" t="s">
        <v>40</v>
      </c>
      <c r="H830" s="2">
        <v>85</v>
      </c>
      <c r="I830" s="3">
        <v>5904</v>
      </c>
      <c r="J830" s="4">
        <v>18.829999999999998</v>
      </c>
      <c r="K830" s="2">
        <v>90</v>
      </c>
      <c r="L830" s="2">
        <v>4</v>
      </c>
      <c r="M830" s="3">
        <v>30670</v>
      </c>
    </row>
    <row r="831" spans="1:13">
      <c r="A831" t="s">
        <v>899</v>
      </c>
      <c r="B831" t="s">
        <v>103</v>
      </c>
      <c r="C831" t="s">
        <v>26</v>
      </c>
      <c r="D831" t="s">
        <v>16</v>
      </c>
      <c r="E831" s="2">
        <v>38</v>
      </c>
      <c r="F831" t="s">
        <v>22</v>
      </c>
      <c r="G831" t="s">
        <v>18</v>
      </c>
      <c r="H831" s="2">
        <v>73</v>
      </c>
      <c r="I831" s="3">
        <v>2537</v>
      </c>
      <c r="J831" s="4">
        <v>10.27</v>
      </c>
      <c r="K831" s="2">
        <v>55</v>
      </c>
      <c r="L831" s="2">
        <v>3</v>
      </c>
      <c r="M831" s="3">
        <v>11501</v>
      </c>
    </row>
    <row r="832" spans="1:13">
      <c r="A832" t="s">
        <v>900</v>
      </c>
      <c r="B832" t="s">
        <v>54</v>
      </c>
      <c r="C832" t="s">
        <v>15</v>
      </c>
      <c r="D832" t="s">
        <v>16</v>
      </c>
      <c r="E832" s="2">
        <v>32</v>
      </c>
      <c r="F832" t="s">
        <v>17</v>
      </c>
      <c r="G832" t="s">
        <v>18</v>
      </c>
      <c r="H832" s="2">
        <v>70</v>
      </c>
      <c r="I832" s="3">
        <v>9026</v>
      </c>
      <c r="J832" s="4">
        <v>19.75</v>
      </c>
      <c r="K832" s="2">
        <v>116</v>
      </c>
      <c r="L832" s="2">
        <v>4</v>
      </c>
      <c r="M832" s="3">
        <v>49725</v>
      </c>
    </row>
    <row r="833" spans="1:13">
      <c r="A833" t="s">
        <v>901</v>
      </c>
      <c r="B833" t="s">
        <v>88</v>
      </c>
      <c r="C833" t="s">
        <v>15</v>
      </c>
      <c r="D833" t="s">
        <v>16</v>
      </c>
      <c r="E833" s="2">
        <v>11</v>
      </c>
      <c r="F833" t="s">
        <v>34</v>
      </c>
      <c r="G833" t="s">
        <v>49</v>
      </c>
      <c r="H833" s="2">
        <v>79</v>
      </c>
      <c r="I833" s="3">
        <v>6850</v>
      </c>
      <c r="J833" s="4">
        <v>9.52</v>
      </c>
      <c r="K833" s="2">
        <v>79</v>
      </c>
      <c r="L833" s="2">
        <v>4</v>
      </c>
      <c r="M833" s="3">
        <v>35099</v>
      </c>
    </row>
    <row r="834" spans="1:13">
      <c r="A834" t="s">
        <v>902</v>
      </c>
      <c r="B834" t="s">
        <v>68</v>
      </c>
      <c r="C834" t="s">
        <v>45</v>
      </c>
      <c r="D834" t="s">
        <v>16</v>
      </c>
      <c r="E834" s="2">
        <v>43</v>
      </c>
      <c r="F834" t="s">
        <v>34</v>
      </c>
      <c r="G834" t="s">
        <v>49</v>
      </c>
      <c r="H834" s="2">
        <v>78</v>
      </c>
      <c r="I834" s="3">
        <v>9013</v>
      </c>
      <c r="J834" s="4">
        <v>11.09</v>
      </c>
      <c r="K834" s="2">
        <v>76</v>
      </c>
      <c r="L834" s="2">
        <v>3</v>
      </c>
      <c r="M834" s="3">
        <v>47140</v>
      </c>
    </row>
    <row r="835" spans="1:13">
      <c r="A835" t="s">
        <v>903</v>
      </c>
      <c r="B835" t="s">
        <v>97</v>
      </c>
      <c r="C835" t="s">
        <v>30</v>
      </c>
      <c r="D835" t="s">
        <v>16</v>
      </c>
      <c r="E835" s="2">
        <v>30</v>
      </c>
      <c r="F835" t="s">
        <v>34</v>
      </c>
      <c r="G835" t="s">
        <v>23</v>
      </c>
      <c r="H835" s="2">
        <v>69</v>
      </c>
      <c r="I835" s="3">
        <v>3614</v>
      </c>
      <c r="J835" s="4">
        <v>20.98</v>
      </c>
      <c r="K835" s="2">
        <v>124</v>
      </c>
      <c r="L835" s="2">
        <v>2</v>
      </c>
      <c r="M835" s="3">
        <v>16688</v>
      </c>
    </row>
    <row r="836" spans="1:13">
      <c r="A836" t="s">
        <v>904</v>
      </c>
      <c r="B836" t="s">
        <v>103</v>
      </c>
      <c r="C836" t="s">
        <v>26</v>
      </c>
      <c r="D836" t="s">
        <v>27</v>
      </c>
      <c r="E836" s="2">
        <v>32</v>
      </c>
      <c r="F836" t="s">
        <v>34</v>
      </c>
      <c r="G836" t="s">
        <v>31</v>
      </c>
      <c r="H836" s="2">
        <v>81</v>
      </c>
      <c r="I836" s="3">
        <v>1840</v>
      </c>
      <c r="J836" s="4">
        <v>5.08</v>
      </c>
      <c r="K836" s="2">
        <v>101</v>
      </c>
      <c r="L836" s="2">
        <v>5</v>
      </c>
      <c r="M836" s="3">
        <v>5444</v>
      </c>
    </row>
    <row r="837" spans="1:13">
      <c r="A837" t="s">
        <v>905</v>
      </c>
      <c r="B837" t="s">
        <v>38</v>
      </c>
      <c r="C837" t="s">
        <v>39</v>
      </c>
      <c r="D837" t="s">
        <v>16</v>
      </c>
      <c r="E837" s="2">
        <v>17</v>
      </c>
      <c r="F837" t="s">
        <v>22</v>
      </c>
      <c r="G837" t="s">
        <v>49</v>
      </c>
      <c r="H837" s="2">
        <v>82</v>
      </c>
      <c r="I837" s="3">
        <v>3033</v>
      </c>
      <c r="J837" s="4">
        <v>3.52</v>
      </c>
      <c r="K837" s="2">
        <v>70</v>
      </c>
      <c r="L837" s="2">
        <v>4</v>
      </c>
      <c r="M837" s="3">
        <v>11899</v>
      </c>
    </row>
    <row r="838" spans="1:13">
      <c r="A838" t="s">
        <v>906</v>
      </c>
      <c r="B838" t="s">
        <v>62</v>
      </c>
      <c r="C838" t="s">
        <v>52</v>
      </c>
      <c r="D838" t="s">
        <v>16</v>
      </c>
      <c r="E838" s="2">
        <v>70</v>
      </c>
      <c r="F838" t="s">
        <v>22</v>
      </c>
      <c r="G838" t="s">
        <v>31</v>
      </c>
      <c r="H838" s="2">
        <v>80</v>
      </c>
      <c r="I838" s="3">
        <v>5970</v>
      </c>
      <c r="J838" s="4">
        <v>13.33</v>
      </c>
      <c r="K838" s="2">
        <v>70</v>
      </c>
      <c r="L838" s="2">
        <v>3</v>
      </c>
      <c r="M838" s="3">
        <v>18006</v>
      </c>
    </row>
    <row r="839" spans="1:13">
      <c r="A839" t="s">
        <v>907</v>
      </c>
      <c r="B839" t="s">
        <v>88</v>
      </c>
      <c r="C839" t="s">
        <v>15</v>
      </c>
      <c r="D839" t="s">
        <v>16</v>
      </c>
      <c r="E839" s="2">
        <v>68</v>
      </c>
      <c r="F839" t="s">
        <v>17</v>
      </c>
      <c r="G839" t="s">
        <v>70</v>
      </c>
      <c r="H839" s="2">
        <v>68</v>
      </c>
      <c r="I839" s="3">
        <v>7399</v>
      </c>
      <c r="J839" s="4">
        <v>16.559999999999999</v>
      </c>
      <c r="K839" s="2">
        <v>125</v>
      </c>
      <c r="L839" s="2">
        <v>3</v>
      </c>
      <c r="M839" s="3">
        <v>26325</v>
      </c>
    </row>
    <row r="840" spans="1:13">
      <c r="A840" t="s">
        <v>908</v>
      </c>
      <c r="B840" t="s">
        <v>54</v>
      </c>
      <c r="C840" t="s">
        <v>39</v>
      </c>
      <c r="D840" t="s">
        <v>27</v>
      </c>
      <c r="E840" s="2">
        <v>14</v>
      </c>
      <c r="F840" t="s">
        <v>22</v>
      </c>
      <c r="G840" t="s">
        <v>49</v>
      </c>
      <c r="H840" s="2">
        <v>83</v>
      </c>
      <c r="I840" s="3">
        <v>2984</v>
      </c>
      <c r="J840" s="4">
        <v>7.13</v>
      </c>
      <c r="K840" s="2">
        <v>72</v>
      </c>
      <c r="L840" s="2">
        <v>4</v>
      </c>
      <c r="M840" s="3">
        <v>10995</v>
      </c>
    </row>
    <row r="841" spans="1:13">
      <c r="A841" t="s">
        <v>909</v>
      </c>
      <c r="B841" t="s">
        <v>109</v>
      </c>
      <c r="C841" t="s">
        <v>30</v>
      </c>
      <c r="D841" t="s">
        <v>16</v>
      </c>
      <c r="E841" s="2">
        <v>90</v>
      </c>
      <c r="F841" t="s">
        <v>17</v>
      </c>
      <c r="G841" t="s">
        <v>49</v>
      </c>
      <c r="H841" s="2">
        <v>78</v>
      </c>
      <c r="I841" s="3">
        <v>3761</v>
      </c>
      <c r="J841" s="4">
        <v>21.41</v>
      </c>
      <c r="K841" s="2">
        <v>98</v>
      </c>
      <c r="L841" s="2">
        <v>4</v>
      </c>
      <c r="M841" s="3">
        <v>21323</v>
      </c>
    </row>
    <row r="842" spans="1:13">
      <c r="A842" t="s">
        <v>910</v>
      </c>
      <c r="B842" t="s">
        <v>168</v>
      </c>
      <c r="C842" t="s">
        <v>45</v>
      </c>
      <c r="D842" t="s">
        <v>16</v>
      </c>
      <c r="E842" s="2">
        <v>46</v>
      </c>
      <c r="F842" t="s">
        <v>17</v>
      </c>
      <c r="G842" t="s">
        <v>70</v>
      </c>
      <c r="H842" s="2">
        <v>78</v>
      </c>
      <c r="I842" s="3">
        <v>10542</v>
      </c>
      <c r="J842" s="4">
        <v>18.59</v>
      </c>
      <c r="K842" s="2">
        <v>74</v>
      </c>
      <c r="L842" s="2">
        <v>4</v>
      </c>
      <c r="M842" s="3">
        <v>57842</v>
      </c>
    </row>
    <row r="843" spans="1:13">
      <c r="A843" t="s">
        <v>911</v>
      </c>
      <c r="B843" t="s">
        <v>66</v>
      </c>
      <c r="C843" t="s">
        <v>39</v>
      </c>
      <c r="D843" t="s">
        <v>27</v>
      </c>
      <c r="E843" s="2">
        <v>2</v>
      </c>
      <c r="F843" t="s">
        <v>34</v>
      </c>
      <c r="G843" t="s">
        <v>23</v>
      </c>
      <c r="H843" s="2">
        <v>78</v>
      </c>
      <c r="I843" s="3">
        <v>2828</v>
      </c>
      <c r="J843" s="4">
        <v>10.57</v>
      </c>
      <c r="K843" s="2">
        <v>67</v>
      </c>
      <c r="L843" s="2">
        <v>4</v>
      </c>
      <c r="M843" s="3">
        <v>7504</v>
      </c>
    </row>
    <row r="844" spans="1:13">
      <c r="A844" t="s">
        <v>912</v>
      </c>
      <c r="B844" t="s">
        <v>95</v>
      </c>
      <c r="C844" t="s">
        <v>52</v>
      </c>
      <c r="D844" t="s">
        <v>16</v>
      </c>
      <c r="E844" s="2">
        <v>36</v>
      </c>
      <c r="F844" t="s">
        <v>34</v>
      </c>
      <c r="G844" t="s">
        <v>18</v>
      </c>
      <c r="H844" s="2">
        <v>73</v>
      </c>
      <c r="I844" s="3">
        <v>6772</v>
      </c>
      <c r="J844" s="4">
        <v>11.58</v>
      </c>
      <c r="K844" s="2">
        <v>114</v>
      </c>
      <c r="L844" s="2">
        <v>3</v>
      </c>
      <c r="M844" s="3">
        <v>28422</v>
      </c>
    </row>
    <row r="845" spans="1:13">
      <c r="A845" t="s">
        <v>913</v>
      </c>
      <c r="B845" t="s">
        <v>88</v>
      </c>
      <c r="C845" t="s">
        <v>15</v>
      </c>
      <c r="D845" t="s">
        <v>27</v>
      </c>
      <c r="E845" s="2">
        <v>17</v>
      </c>
      <c r="F845" t="s">
        <v>22</v>
      </c>
      <c r="G845" t="s">
        <v>70</v>
      </c>
      <c r="H845" s="2">
        <v>78</v>
      </c>
      <c r="I845" s="3">
        <v>7142</v>
      </c>
      <c r="J845" s="4">
        <v>17.329999999999998</v>
      </c>
      <c r="K845" s="2">
        <v>62</v>
      </c>
      <c r="L845" s="2">
        <v>4</v>
      </c>
      <c r="M845" s="3">
        <v>39727</v>
      </c>
    </row>
    <row r="846" spans="1:13">
      <c r="A846" t="s">
        <v>914</v>
      </c>
      <c r="B846" t="s">
        <v>88</v>
      </c>
      <c r="C846" t="s">
        <v>15</v>
      </c>
      <c r="D846" t="s">
        <v>27</v>
      </c>
      <c r="E846" s="2">
        <v>33</v>
      </c>
      <c r="F846" t="s">
        <v>17</v>
      </c>
      <c r="G846" t="s">
        <v>70</v>
      </c>
      <c r="H846" s="2">
        <v>71</v>
      </c>
      <c r="I846" s="3">
        <v>7811</v>
      </c>
      <c r="J846" s="4">
        <v>21.65</v>
      </c>
      <c r="K846" s="2">
        <v>79</v>
      </c>
      <c r="L846" s="2">
        <v>4</v>
      </c>
      <c r="M846" s="3">
        <v>23368</v>
      </c>
    </row>
    <row r="847" spans="1:13">
      <c r="A847" t="s">
        <v>915</v>
      </c>
      <c r="B847" t="s">
        <v>109</v>
      </c>
      <c r="C847" t="s">
        <v>30</v>
      </c>
      <c r="D847" t="s">
        <v>27</v>
      </c>
      <c r="E847" s="2">
        <v>20</v>
      </c>
      <c r="F847" t="s">
        <v>17</v>
      </c>
      <c r="G847" t="s">
        <v>49</v>
      </c>
      <c r="H847" s="2">
        <v>71</v>
      </c>
      <c r="I847" s="3">
        <v>5662</v>
      </c>
      <c r="J847" s="4">
        <v>19.12</v>
      </c>
      <c r="K847" s="2">
        <v>120</v>
      </c>
      <c r="L847" s="2">
        <v>4</v>
      </c>
      <c r="M847" s="3">
        <v>30850</v>
      </c>
    </row>
    <row r="848" spans="1:13">
      <c r="A848" t="s">
        <v>916</v>
      </c>
      <c r="B848" t="s">
        <v>109</v>
      </c>
      <c r="C848" t="s">
        <v>30</v>
      </c>
      <c r="D848" t="s">
        <v>16</v>
      </c>
      <c r="E848" s="2">
        <v>37</v>
      </c>
      <c r="F848" t="s">
        <v>22</v>
      </c>
      <c r="G848" t="s">
        <v>31</v>
      </c>
      <c r="H848" s="2">
        <v>73</v>
      </c>
      <c r="I848" s="3">
        <v>3487</v>
      </c>
      <c r="J848" s="4">
        <v>14.09</v>
      </c>
      <c r="K848" s="2">
        <v>114</v>
      </c>
      <c r="L848" s="2">
        <v>3</v>
      </c>
      <c r="M848" s="3">
        <v>13161</v>
      </c>
    </row>
    <row r="849" spans="1:13">
      <c r="A849" t="s">
        <v>917</v>
      </c>
      <c r="B849" t="s">
        <v>47</v>
      </c>
      <c r="C849" t="s">
        <v>48</v>
      </c>
      <c r="D849" t="s">
        <v>16</v>
      </c>
      <c r="E849" s="2">
        <v>26</v>
      </c>
      <c r="F849" t="s">
        <v>22</v>
      </c>
      <c r="G849" t="s">
        <v>31</v>
      </c>
      <c r="H849" s="2">
        <v>85</v>
      </c>
      <c r="I849" s="3">
        <v>4012</v>
      </c>
      <c r="J849" s="4">
        <v>9.9499999999999993</v>
      </c>
      <c r="K849" s="2">
        <v>81</v>
      </c>
      <c r="L849" s="2">
        <v>4</v>
      </c>
      <c r="M849" s="3">
        <v>10468</v>
      </c>
    </row>
    <row r="850" spans="1:13">
      <c r="A850" t="s">
        <v>918</v>
      </c>
      <c r="B850" t="s">
        <v>56</v>
      </c>
      <c r="C850" t="s">
        <v>45</v>
      </c>
      <c r="D850" t="s">
        <v>27</v>
      </c>
      <c r="E850" s="2">
        <v>45</v>
      </c>
      <c r="F850" t="s">
        <v>17</v>
      </c>
      <c r="G850" t="s">
        <v>18</v>
      </c>
      <c r="H850" s="2">
        <v>77</v>
      </c>
      <c r="I850" s="3">
        <v>7233</v>
      </c>
      <c r="J850" s="4">
        <v>11.38</v>
      </c>
      <c r="K850" s="2">
        <v>105</v>
      </c>
      <c r="L850" s="2">
        <v>4</v>
      </c>
      <c r="M850" s="3">
        <v>29290</v>
      </c>
    </row>
    <row r="851" spans="1:13">
      <c r="A851" t="s">
        <v>919</v>
      </c>
      <c r="B851" t="s">
        <v>56</v>
      </c>
      <c r="C851" t="s">
        <v>45</v>
      </c>
      <c r="D851" t="s">
        <v>16</v>
      </c>
      <c r="E851" s="2">
        <v>13</v>
      </c>
      <c r="F851" t="s">
        <v>22</v>
      </c>
      <c r="G851" t="s">
        <v>49</v>
      </c>
      <c r="H851" s="2">
        <v>64</v>
      </c>
      <c r="I851" s="3">
        <v>8296</v>
      </c>
      <c r="J851" s="4">
        <v>17.73</v>
      </c>
      <c r="K851" s="2">
        <v>151</v>
      </c>
      <c r="L851" s="2">
        <v>3</v>
      </c>
      <c r="M851" s="3">
        <v>42172</v>
      </c>
    </row>
    <row r="852" spans="1:13">
      <c r="A852" t="s">
        <v>920</v>
      </c>
      <c r="B852" t="s">
        <v>56</v>
      </c>
      <c r="C852" t="s">
        <v>45</v>
      </c>
      <c r="D852" t="s">
        <v>16</v>
      </c>
      <c r="E852" s="2">
        <v>51</v>
      </c>
      <c r="F852" t="s">
        <v>17</v>
      </c>
      <c r="G852" t="s">
        <v>23</v>
      </c>
      <c r="H852" s="2">
        <v>79</v>
      </c>
      <c r="I852" s="3">
        <v>9813</v>
      </c>
      <c r="J852" s="4">
        <v>15.58</v>
      </c>
      <c r="K852" s="2">
        <v>68</v>
      </c>
      <c r="L852" s="2">
        <v>4</v>
      </c>
      <c r="M852" s="3">
        <v>36632</v>
      </c>
    </row>
    <row r="853" spans="1:13">
      <c r="A853" t="s">
        <v>921</v>
      </c>
      <c r="B853" t="s">
        <v>51</v>
      </c>
      <c r="C853" t="s">
        <v>52</v>
      </c>
      <c r="D853" t="s">
        <v>27</v>
      </c>
      <c r="E853" s="2">
        <v>61</v>
      </c>
      <c r="F853" t="s">
        <v>22</v>
      </c>
      <c r="G853" t="s">
        <v>40</v>
      </c>
      <c r="H853" s="2">
        <v>89</v>
      </c>
      <c r="I853" s="3">
        <v>9085</v>
      </c>
      <c r="J853" s="4">
        <v>14.21</v>
      </c>
      <c r="K853" s="2">
        <v>54</v>
      </c>
      <c r="L853" s="2">
        <v>4</v>
      </c>
      <c r="M853" s="3">
        <v>38271</v>
      </c>
    </row>
    <row r="854" spans="1:13">
      <c r="A854" t="s">
        <v>922</v>
      </c>
      <c r="B854" t="s">
        <v>38</v>
      </c>
      <c r="C854" t="s">
        <v>39</v>
      </c>
      <c r="D854" t="s">
        <v>27</v>
      </c>
      <c r="E854" s="2">
        <v>7</v>
      </c>
      <c r="F854" t="s">
        <v>17</v>
      </c>
      <c r="G854" t="s">
        <v>70</v>
      </c>
      <c r="H854" s="2">
        <v>89</v>
      </c>
      <c r="I854" s="3">
        <v>2024</v>
      </c>
      <c r="J854" s="4">
        <v>0</v>
      </c>
      <c r="K854" s="2">
        <v>61</v>
      </c>
      <c r="L854" s="2">
        <v>5</v>
      </c>
      <c r="M854" s="3">
        <v>7392</v>
      </c>
    </row>
    <row r="855" spans="1:13">
      <c r="A855" t="s">
        <v>923</v>
      </c>
      <c r="B855" t="s">
        <v>36</v>
      </c>
      <c r="C855" t="s">
        <v>21</v>
      </c>
      <c r="D855" t="s">
        <v>27</v>
      </c>
      <c r="E855" s="2">
        <v>44</v>
      </c>
      <c r="F855" t="s">
        <v>22</v>
      </c>
      <c r="G855" t="s">
        <v>18</v>
      </c>
      <c r="H855" s="2">
        <v>79</v>
      </c>
      <c r="I855" s="3">
        <v>4866</v>
      </c>
      <c r="J855" s="4">
        <v>15.67</v>
      </c>
      <c r="K855" s="2">
        <v>78</v>
      </c>
      <c r="L855" s="2">
        <v>4</v>
      </c>
      <c r="M855" s="3">
        <v>19894</v>
      </c>
    </row>
    <row r="856" spans="1:13">
      <c r="A856" t="s">
        <v>924</v>
      </c>
      <c r="B856" t="s">
        <v>51</v>
      </c>
      <c r="C856" t="s">
        <v>52</v>
      </c>
      <c r="D856" t="s">
        <v>16</v>
      </c>
      <c r="E856" s="2">
        <v>68</v>
      </c>
      <c r="F856" t="s">
        <v>34</v>
      </c>
      <c r="G856" t="s">
        <v>18</v>
      </c>
      <c r="H856" s="2">
        <v>92</v>
      </c>
      <c r="I856" s="3">
        <v>4313</v>
      </c>
      <c r="J856" s="4">
        <v>12.56</v>
      </c>
      <c r="K856" s="2">
        <v>82</v>
      </c>
      <c r="L856" s="2">
        <v>5</v>
      </c>
      <c r="M856" s="3">
        <v>13636</v>
      </c>
    </row>
    <row r="857" spans="1:13">
      <c r="A857" t="s">
        <v>925</v>
      </c>
      <c r="B857" t="s">
        <v>68</v>
      </c>
      <c r="C857" t="s">
        <v>45</v>
      </c>
      <c r="D857" t="s">
        <v>16</v>
      </c>
      <c r="E857" s="2">
        <v>50</v>
      </c>
      <c r="F857" t="s">
        <v>17</v>
      </c>
      <c r="G857" t="s">
        <v>70</v>
      </c>
      <c r="H857" s="2">
        <v>68</v>
      </c>
      <c r="I857" s="3">
        <v>7594</v>
      </c>
      <c r="J857" s="4">
        <v>18.04</v>
      </c>
      <c r="K857" s="2">
        <v>108</v>
      </c>
      <c r="L857" s="2">
        <v>4</v>
      </c>
      <c r="M857" s="3">
        <v>21076</v>
      </c>
    </row>
    <row r="858" spans="1:13">
      <c r="A858" t="s">
        <v>926</v>
      </c>
      <c r="B858" t="s">
        <v>29</v>
      </c>
      <c r="C858" t="s">
        <v>30</v>
      </c>
      <c r="D858" t="s">
        <v>27</v>
      </c>
      <c r="E858" s="2">
        <v>1</v>
      </c>
      <c r="F858" t="s">
        <v>34</v>
      </c>
      <c r="G858" t="s">
        <v>70</v>
      </c>
      <c r="H858" s="2">
        <v>64</v>
      </c>
      <c r="I858" s="3">
        <v>2929</v>
      </c>
      <c r="J858" s="4">
        <v>18.7</v>
      </c>
      <c r="K858" s="2">
        <v>123</v>
      </c>
      <c r="L858" s="2">
        <v>3</v>
      </c>
      <c r="M858" s="3">
        <v>17441</v>
      </c>
    </row>
    <row r="859" spans="1:13">
      <c r="A859" t="s">
        <v>927</v>
      </c>
      <c r="B859" t="s">
        <v>36</v>
      </c>
      <c r="C859" t="s">
        <v>21</v>
      </c>
      <c r="D859" t="s">
        <v>27</v>
      </c>
      <c r="E859" s="2">
        <v>81</v>
      </c>
      <c r="F859" t="s">
        <v>22</v>
      </c>
      <c r="G859" t="s">
        <v>23</v>
      </c>
      <c r="H859" s="2">
        <v>85</v>
      </c>
      <c r="I859" s="3">
        <v>5655</v>
      </c>
      <c r="J859" s="4">
        <v>13.88</v>
      </c>
      <c r="K859" s="2">
        <v>101</v>
      </c>
      <c r="L859" s="2">
        <v>4</v>
      </c>
      <c r="M859" s="3">
        <v>14626</v>
      </c>
    </row>
    <row r="860" spans="1:13">
      <c r="A860" t="s">
        <v>928</v>
      </c>
      <c r="B860" t="s">
        <v>137</v>
      </c>
      <c r="C860" t="s">
        <v>26</v>
      </c>
      <c r="D860" t="s">
        <v>16</v>
      </c>
      <c r="E860" s="2">
        <v>48</v>
      </c>
      <c r="F860" t="s">
        <v>22</v>
      </c>
      <c r="G860" t="s">
        <v>18</v>
      </c>
      <c r="H860" s="2">
        <v>78</v>
      </c>
      <c r="I860" s="3">
        <v>2381</v>
      </c>
      <c r="J860" s="4">
        <v>4.5199999999999996</v>
      </c>
      <c r="K860" s="2">
        <v>72</v>
      </c>
      <c r="L860" s="2">
        <v>4</v>
      </c>
      <c r="M860" s="3">
        <v>6499</v>
      </c>
    </row>
    <row r="861" spans="1:13">
      <c r="A861" t="s">
        <v>929</v>
      </c>
      <c r="B861" t="s">
        <v>143</v>
      </c>
      <c r="C861" t="s">
        <v>21</v>
      </c>
      <c r="D861" t="s">
        <v>27</v>
      </c>
      <c r="E861" s="2">
        <v>58</v>
      </c>
      <c r="F861" t="s">
        <v>22</v>
      </c>
      <c r="G861" t="s">
        <v>49</v>
      </c>
      <c r="H861" s="2">
        <v>78</v>
      </c>
      <c r="I861" s="3">
        <v>4266</v>
      </c>
      <c r="J861" s="4">
        <v>10.19</v>
      </c>
      <c r="K861" s="2">
        <v>125</v>
      </c>
      <c r="L861" s="2">
        <v>3</v>
      </c>
      <c r="M861" s="3">
        <v>25158</v>
      </c>
    </row>
    <row r="862" spans="1:13">
      <c r="A862" t="s">
        <v>930</v>
      </c>
      <c r="B862" t="s">
        <v>42</v>
      </c>
      <c r="C862" t="s">
        <v>39</v>
      </c>
      <c r="D862" t="s">
        <v>16</v>
      </c>
      <c r="E862" s="2">
        <v>18</v>
      </c>
      <c r="F862" t="s">
        <v>34</v>
      </c>
      <c r="G862" t="s">
        <v>49</v>
      </c>
      <c r="H862" s="2">
        <v>94</v>
      </c>
      <c r="I862" s="3">
        <v>2103</v>
      </c>
      <c r="J862" s="4">
        <v>0</v>
      </c>
      <c r="K862" s="2">
        <v>36</v>
      </c>
      <c r="L862" s="2">
        <v>4</v>
      </c>
      <c r="M862" s="3">
        <v>8829</v>
      </c>
    </row>
    <row r="863" spans="1:13">
      <c r="A863" t="s">
        <v>931</v>
      </c>
      <c r="B863" t="s">
        <v>62</v>
      </c>
      <c r="C863" t="s">
        <v>52</v>
      </c>
      <c r="D863" t="s">
        <v>27</v>
      </c>
      <c r="E863" s="2">
        <v>7</v>
      </c>
      <c r="F863" t="s">
        <v>34</v>
      </c>
      <c r="G863" t="s">
        <v>40</v>
      </c>
      <c r="H863" s="2">
        <v>71</v>
      </c>
      <c r="I863" s="3">
        <v>6575</v>
      </c>
      <c r="J863" s="4">
        <v>16.510000000000002</v>
      </c>
      <c r="K863" s="2">
        <v>88</v>
      </c>
      <c r="L863" s="2">
        <v>4</v>
      </c>
      <c r="M863" s="3">
        <v>26005</v>
      </c>
    </row>
    <row r="864" spans="1:13">
      <c r="A864" t="s">
        <v>932</v>
      </c>
      <c r="B864" t="s">
        <v>68</v>
      </c>
      <c r="C864" t="s">
        <v>45</v>
      </c>
      <c r="D864" t="s">
        <v>27</v>
      </c>
      <c r="E864" s="2">
        <v>1</v>
      </c>
      <c r="F864" t="s">
        <v>22</v>
      </c>
      <c r="G864" t="s">
        <v>31</v>
      </c>
      <c r="H864" s="2">
        <v>83</v>
      </c>
      <c r="I864" s="3">
        <v>8458</v>
      </c>
      <c r="J864" s="4">
        <v>14.47</v>
      </c>
      <c r="K864" s="2">
        <v>84</v>
      </c>
      <c r="L864" s="2">
        <v>5</v>
      </c>
      <c r="M864" s="3">
        <v>29618</v>
      </c>
    </row>
    <row r="865" spans="1:13">
      <c r="A865" t="s">
        <v>933</v>
      </c>
      <c r="B865" t="s">
        <v>47</v>
      </c>
      <c r="C865" t="s">
        <v>48</v>
      </c>
      <c r="D865" t="s">
        <v>16</v>
      </c>
      <c r="E865" s="2">
        <v>17</v>
      </c>
      <c r="F865" t="s">
        <v>22</v>
      </c>
      <c r="G865" t="s">
        <v>31</v>
      </c>
      <c r="H865" s="2">
        <v>76</v>
      </c>
      <c r="I865" s="3">
        <v>5809</v>
      </c>
      <c r="J865" s="4">
        <v>12.87</v>
      </c>
      <c r="K865" s="2">
        <v>71</v>
      </c>
      <c r="L865" s="2">
        <v>3</v>
      </c>
      <c r="M865" s="3">
        <v>17112</v>
      </c>
    </row>
    <row r="866" spans="1:13">
      <c r="A866" t="s">
        <v>934</v>
      </c>
      <c r="B866" t="s">
        <v>60</v>
      </c>
      <c r="C866" t="s">
        <v>52</v>
      </c>
      <c r="D866" t="s">
        <v>27</v>
      </c>
      <c r="E866" s="2">
        <v>32</v>
      </c>
      <c r="F866" t="s">
        <v>22</v>
      </c>
      <c r="G866" t="s">
        <v>40</v>
      </c>
      <c r="H866" s="2">
        <v>86</v>
      </c>
      <c r="I866" s="3">
        <v>8576</v>
      </c>
      <c r="J866" s="4">
        <v>10.36</v>
      </c>
      <c r="K866" s="2">
        <v>84</v>
      </c>
      <c r="L866" s="2">
        <v>4</v>
      </c>
      <c r="M866" s="3">
        <v>38171</v>
      </c>
    </row>
    <row r="867" spans="1:13">
      <c r="A867" t="s">
        <v>935</v>
      </c>
      <c r="B867" t="s">
        <v>66</v>
      </c>
      <c r="C867" t="s">
        <v>39</v>
      </c>
      <c r="D867" t="s">
        <v>72</v>
      </c>
      <c r="E867" s="2">
        <v>60</v>
      </c>
      <c r="F867" t="s">
        <v>22</v>
      </c>
      <c r="G867" t="s">
        <v>18</v>
      </c>
      <c r="H867" s="2">
        <v>81</v>
      </c>
      <c r="I867" s="3">
        <v>3057</v>
      </c>
      <c r="J867" s="4">
        <v>3.94</v>
      </c>
      <c r="K867" s="2">
        <v>34</v>
      </c>
      <c r="L867" s="2">
        <v>4</v>
      </c>
      <c r="M867" s="3">
        <v>14105</v>
      </c>
    </row>
    <row r="868" spans="1:13">
      <c r="A868" t="s">
        <v>936</v>
      </c>
      <c r="B868" t="s">
        <v>38</v>
      </c>
      <c r="C868" t="s">
        <v>39</v>
      </c>
      <c r="D868" t="s">
        <v>16</v>
      </c>
      <c r="E868" s="2">
        <v>15</v>
      </c>
      <c r="F868" t="s">
        <v>22</v>
      </c>
      <c r="G868" t="s">
        <v>70</v>
      </c>
      <c r="H868" s="2">
        <v>70</v>
      </c>
      <c r="I868" s="3">
        <v>2557</v>
      </c>
      <c r="J868" s="4">
        <v>4.66</v>
      </c>
      <c r="K868" s="2">
        <v>93</v>
      </c>
      <c r="L868" s="2">
        <v>3</v>
      </c>
      <c r="M868" s="3">
        <v>14570</v>
      </c>
    </row>
    <row r="869" spans="1:13">
      <c r="A869" t="s">
        <v>937</v>
      </c>
      <c r="B869" t="s">
        <v>137</v>
      </c>
      <c r="C869" t="s">
        <v>26</v>
      </c>
      <c r="D869" t="s">
        <v>27</v>
      </c>
      <c r="E869" s="2">
        <v>17</v>
      </c>
      <c r="F869" t="s">
        <v>34</v>
      </c>
      <c r="G869" t="s">
        <v>23</v>
      </c>
      <c r="H869" s="2">
        <v>97</v>
      </c>
      <c r="I869" s="3">
        <v>3050</v>
      </c>
      <c r="J869" s="4">
        <v>3.48</v>
      </c>
      <c r="K869" s="2">
        <v>16</v>
      </c>
      <c r="L869" s="2">
        <v>5</v>
      </c>
      <c r="M869" s="3">
        <v>11191</v>
      </c>
    </row>
    <row r="870" spans="1:13">
      <c r="A870" t="s">
        <v>938</v>
      </c>
      <c r="B870" t="s">
        <v>14</v>
      </c>
      <c r="C870" t="s">
        <v>15</v>
      </c>
      <c r="D870" t="s">
        <v>27</v>
      </c>
      <c r="E870" s="2">
        <v>45</v>
      </c>
      <c r="F870" t="s">
        <v>17</v>
      </c>
      <c r="G870" t="s">
        <v>31</v>
      </c>
      <c r="H870" s="2">
        <v>78</v>
      </c>
      <c r="I870" s="3">
        <v>6901</v>
      </c>
      <c r="J870" s="4">
        <v>5.91</v>
      </c>
      <c r="K870" s="2">
        <v>106</v>
      </c>
      <c r="L870" s="2">
        <v>4</v>
      </c>
      <c r="M870" s="3">
        <v>25536</v>
      </c>
    </row>
    <row r="871" spans="1:13">
      <c r="A871" t="s">
        <v>939</v>
      </c>
      <c r="B871" t="s">
        <v>97</v>
      </c>
      <c r="C871" t="s">
        <v>30</v>
      </c>
      <c r="D871" t="s">
        <v>27</v>
      </c>
      <c r="E871" s="2">
        <v>41</v>
      </c>
      <c r="F871" t="s">
        <v>17</v>
      </c>
      <c r="G871" t="s">
        <v>40</v>
      </c>
      <c r="H871" s="2">
        <v>71</v>
      </c>
      <c r="I871" s="3">
        <v>1705</v>
      </c>
      <c r="J871" s="4">
        <v>17.61</v>
      </c>
      <c r="K871" s="2">
        <v>88</v>
      </c>
      <c r="L871" s="2">
        <v>4</v>
      </c>
      <c r="M871" s="3">
        <v>9999</v>
      </c>
    </row>
    <row r="872" spans="1:13">
      <c r="A872" t="s">
        <v>940</v>
      </c>
      <c r="B872" t="s">
        <v>135</v>
      </c>
      <c r="C872" t="s">
        <v>48</v>
      </c>
      <c r="D872" t="s">
        <v>16</v>
      </c>
      <c r="E872" s="2">
        <v>70</v>
      </c>
      <c r="F872" t="s">
        <v>22</v>
      </c>
      <c r="G872" t="s">
        <v>40</v>
      </c>
      <c r="H872" s="2">
        <v>84</v>
      </c>
      <c r="I872" s="3">
        <v>5718</v>
      </c>
      <c r="J872" s="4">
        <v>8.43</v>
      </c>
      <c r="K872" s="2">
        <v>83</v>
      </c>
      <c r="L872" s="2">
        <v>3</v>
      </c>
      <c r="M872" s="3">
        <v>31528</v>
      </c>
    </row>
    <row r="873" spans="1:13">
      <c r="A873" t="s">
        <v>941</v>
      </c>
      <c r="B873" t="s">
        <v>95</v>
      </c>
      <c r="C873" t="s">
        <v>52</v>
      </c>
      <c r="D873" t="s">
        <v>27</v>
      </c>
      <c r="E873" s="2">
        <v>37</v>
      </c>
      <c r="F873" t="s">
        <v>34</v>
      </c>
      <c r="G873" t="s">
        <v>23</v>
      </c>
      <c r="H873" s="2">
        <v>74</v>
      </c>
      <c r="I873" s="3">
        <v>8809</v>
      </c>
      <c r="J873" s="4">
        <v>21.96</v>
      </c>
      <c r="K873" s="2">
        <v>89</v>
      </c>
      <c r="L873" s="2">
        <v>3</v>
      </c>
      <c r="M873" s="3">
        <v>51200</v>
      </c>
    </row>
    <row r="874" spans="1:13">
      <c r="A874" t="s">
        <v>942</v>
      </c>
      <c r="B874" t="s">
        <v>95</v>
      </c>
      <c r="C874" t="s">
        <v>52</v>
      </c>
      <c r="D874" t="s">
        <v>27</v>
      </c>
      <c r="E874" s="2">
        <v>9</v>
      </c>
      <c r="F874" t="s">
        <v>22</v>
      </c>
      <c r="G874" t="s">
        <v>31</v>
      </c>
      <c r="H874" s="2">
        <v>86</v>
      </c>
      <c r="I874" s="3">
        <v>9075</v>
      </c>
      <c r="J874" s="4">
        <v>14.67</v>
      </c>
      <c r="K874" s="2">
        <v>62</v>
      </c>
      <c r="L874" s="2">
        <v>4</v>
      </c>
      <c r="M874" s="3">
        <v>31747</v>
      </c>
    </row>
    <row r="875" spans="1:13">
      <c r="A875" t="s">
        <v>943</v>
      </c>
      <c r="B875" t="s">
        <v>58</v>
      </c>
      <c r="C875" t="s">
        <v>48</v>
      </c>
      <c r="D875" t="s">
        <v>16</v>
      </c>
      <c r="E875" s="2">
        <v>59</v>
      </c>
      <c r="F875" t="s">
        <v>34</v>
      </c>
      <c r="G875" t="s">
        <v>70</v>
      </c>
      <c r="H875" s="2">
        <v>97</v>
      </c>
      <c r="I875" s="3">
        <v>5810</v>
      </c>
      <c r="J875" s="4">
        <v>9.86</v>
      </c>
      <c r="K875" s="2">
        <v>61</v>
      </c>
      <c r="L875" s="2">
        <v>5</v>
      </c>
      <c r="M875" s="3">
        <v>29341</v>
      </c>
    </row>
    <row r="876" spans="1:13">
      <c r="A876" t="s">
        <v>944</v>
      </c>
      <c r="B876" t="s">
        <v>42</v>
      </c>
      <c r="C876" t="s">
        <v>39</v>
      </c>
      <c r="D876" t="s">
        <v>27</v>
      </c>
      <c r="E876" s="2">
        <v>17</v>
      </c>
      <c r="F876" t="s">
        <v>22</v>
      </c>
      <c r="G876" t="s">
        <v>40</v>
      </c>
      <c r="H876" s="2">
        <v>76</v>
      </c>
      <c r="I876" s="3">
        <v>3746</v>
      </c>
      <c r="J876" s="4">
        <v>16.93</v>
      </c>
      <c r="K876" s="2">
        <v>28</v>
      </c>
      <c r="L876" s="2">
        <v>4</v>
      </c>
      <c r="M876" s="3">
        <v>10474</v>
      </c>
    </row>
    <row r="877" spans="1:13">
      <c r="A877" t="s">
        <v>945</v>
      </c>
      <c r="B877" t="s">
        <v>95</v>
      </c>
      <c r="C877" t="s">
        <v>52</v>
      </c>
      <c r="D877" t="s">
        <v>16</v>
      </c>
      <c r="E877" s="2">
        <v>39</v>
      </c>
      <c r="F877" t="s">
        <v>34</v>
      </c>
      <c r="G877" t="s">
        <v>18</v>
      </c>
      <c r="H877" s="2">
        <v>84</v>
      </c>
      <c r="I877" s="3">
        <v>9983</v>
      </c>
      <c r="J877" s="4">
        <v>14</v>
      </c>
      <c r="K877" s="2">
        <v>71</v>
      </c>
      <c r="L877" s="2">
        <v>4</v>
      </c>
      <c r="M877" s="3">
        <v>37220</v>
      </c>
    </row>
    <row r="878" spans="1:13">
      <c r="A878" t="s">
        <v>946</v>
      </c>
      <c r="B878" t="s">
        <v>42</v>
      </c>
      <c r="C878" t="s">
        <v>39</v>
      </c>
      <c r="D878" t="s">
        <v>16</v>
      </c>
      <c r="E878" s="2">
        <v>11</v>
      </c>
      <c r="F878" t="s">
        <v>22</v>
      </c>
      <c r="G878" t="s">
        <v>18</v>
      </c>
      <c r="H878" s="2">
        <v>84</v>
      </c>
      <c r="I878" s="3">
        <v>3081</v>
      </c>
      <c r="J878" s="4">
        <v>8.1</v>
      </c>
      <c r="K878" s="2">
        <v>30</v>
      </c>
      <c r="L878" s="2">
        <v>5</v>
      </c>
      <c r="M878" s="3">
        <v>16648</v>
      </c>
    </row>
    <row r="879" spans="1:13">
      <c r="A879" t="s">
        <v>947</v>
      </c>
      <c r="B879" t="s">
        <v>62</v>
      </c>
      <c r="C879" t="s">
        <v>52</v>
      </c>
      <c r="D879" t="s">
        <v>27</v>
      </c>
      <c r="E879" s="2">
        <v>50</v>
      </c>
      <c r="F879" t="s">
        <v>22</v>
      </c>
      <c r="G879" t="s">
        <v>23</v>
      </c>
      <c r="H879" s="2">
        <v>91</v>
      </c>
      <c r="I879" s="3">
        <v>10775</v>
      </c>
      <c r="J879" s="4">
        <v>10.1</v>
      </c>
      <c r="K879" s="2">
        <v>82</v>
      </c>
      <c r="L879" s="2">
        <v>4</v>
      </c>
      <c r="M879" s="3">
        <v>43892</v>
      </c>
    </row>
    <row r="880" spans="1:13">
      <c r="A880" t="s">
        <v>948</v>
      </c>
      <c r="B880" t="s">
        <v>143</v>
      </c>
      <c r="C880" t="s">
        <v>21</v>
      </c>
      <c r="D880" t="s">
        <v>16</v>
      </c>
      <c r="E880" s="2">
        <v>45</v>
      </c>
      <c r="F880" t="s">
        <v>17</v>
      </c>
      <c r="G880" t="s">
        <v>70</v>
      </c>
      <c r="H880" s="2">
        <v>84</v>
      </c>
      <c r="I880" s="3">
        <v>8278</v>
      </c>
      <c r="J880" s="4">
        <v>15.5</v>
      </c>
      <c r="K880" s="2">
        <v>62</v>
      </c>
      <c r="L880" s="2">
        <v>5</v>
      </c>
      <c r="M880" s="3">
        <v>23980</v>
      </c>
    </row>
    <row r="881" spans="1:13">
      <c r="A881" t="s">
        <v>949</v>
      </c>
      <c r="B881" t="s">
        <v>187</v>
      </c>
      <c r="C881" t="s">
        <v>30</v>
      </c>
      <c r="D881" t="s">
        <v>27</v>
      </c>
      <c r="E881" s="2">
        <v>45</v>
      </c>
      <c r="F881" t="s">
        <v>34</v>
      </c>
      <c r="G881" t="s">
        <v>18</v>
      </c>
      <c r="H881" s="2">
        <v>63</v>
      </c>
      <c r="I881" s="3">
        <v>3423</v>
      </c>
      <c r="J881" s="4">
        <v>16.489999999999998</v>
      </c>
      <c r="K881" s="2">
        <v>146</v>
      </c>
      <c r="L881" s="2">
        <v>3</v>
      </c>
      <c r="M881" s="3">
        <v>17498</v>
      </c>
    </row>
    <row r="882" spans="1:13">
      <c r="A882" t="s">
        <v>950</v>
      </c>
      <c r="B882" t="s">
        <v>84</v>
      </c>
      <c r="C882" t="s">
        <v>21</v>
      </c>
      <c r="D882" t="s">
        <v>16</v>
      </c>
      <c r="E882" s="2">
        <v>78</v>
      </c>
      <c r="F882" t="s">
        <v>17</v>
      </c>
      <c r="G882" t="s">
        <v>40</v>
      </c>
      <c r="H882" s="2">
        <v>69</v>
      </c>
      <c r="I882" s="3">
        <v>6811</v>
      </c>
      <c r="J882" s="4">
        <v>16.95</v>
      </c>
      <c r="K882" s="2">
        <v>102</v>
      </c>
      <c r="L882" s="2">
        <v>4</v>
      </c>
      <c r="M882" s="3">
        <v>17058</v>
      </c>
    </row>
    <row r="883" spans="1:13">
      <c r="A883" t="s">
        <v>951</v>
      </c>
      <c r="B883" t="s">
        <v>68</v>
      </c>
      <c r="C883" t="s">
        <v>45</v>
      </c>
      <c r="D883" t="s">
        <v>27</v>
      </c>
      <c r="E883" s="2">
        <v>46</v>
      </c>
      <c r="F883" t="s">
        <v>34</v>
      </c>
      <c r="G883" t="s">
        <v>49</v>
      </c>
      <c r="H883" s="2">
        <v>75</v>
      </c>
      <c r="I883" s="3">
        <v>7504</v>
      </c>
      <c r="J883" s="4">
        <v>24.05</v>
      </c>
      <c r="K883" s="2">
        <v>74</v>
      </c>
      <c r="L883" s="2">
        <v>4</v>
      </c>
      <c r="M883" s="3">
        <v>20708</v>
      </c>
    </row>
    <row r="884" spans="1:13">
      <c r="A884" t="s">
        <v>952</v>
      </c>
      <c r="B884" t="s">
        <v>29</v>
      </c>
      <c r="C884" t="s">
        <v>30</v>
      </c>
      <c r="D884" t="s">
        <v>16</v>
      </c>
      <c r="E884" s="2">
        <v>53</v>
      </c>
      <c r="F884" t="s">
        <v>34</v>
      </c>
      <c r="G884" t="s">
        <v>70</v>
      </c>
      <c r="H884" s="2">
        <v>68</v>
      </c>
      <c r="I884" s="3">
        <v>3876</v>
      </c>
      <c r="J884" s="4">
        <v>19.23</v>
      </c>
      <c r="K884" s="2">
        <v>102</v>
      </c>
      <c r="L884" s="2">
        <v>4</v>
      </c>
      <c r="M884" s="3">
        <v>17561</v>
      </c>
    </row>
    <row r="885" spans="1:13">
      <c r="A885" t="s">
        <v>953</v>
      </c>
      <c r="B885" t="s">
        <v>38</v>
      </c>
      <c r="C885" t="s">
        <v>39</v>
      </c>
      <c r="D885" t="s">
        <v>16</v>
      </c>
      <c r="E885" s="2">
        <v>39</v>
      </c>
      <c r="F885" t="s">
        <v>34</v>
      </c>
      <c r="G885" t="s">
        <v>49</v>
      </c>
      <c r="H885" s="2">
        <v>73</v>
      </c>
      <c r="I885" s="3">
        <v>2384</v>
      </c>
      <c r="J885" s="4">
        <v>10.24</v>
      </c>
      <c r="K885" s="2">
        <v>72</v>
      </c>
      <c r="L885" s="2">
        <v>4</v>
      </c>
      <c r="M885" s="3">
        <v>7722</v>
      </c>
    </row>
    <row r="886" spans="1:13">
      <c r="A886" t="s">
        <v>954</v>
      </c>
      <c r="B886" t="s">
        <v>60</v>
      </c>
      <c r="C886" t="s">
        <v>52</v>
      </c>
      <c r="D886" t="s">
        <v>16</v>
      </c>
      <c r="E886" s="2">
        <v>26</v>
      </c>
      <c r="F886" t="s">
        <v>22</v>
      </c>
      <c r="G886" t="s">
        <v>18</v>
      </c>
      <c r="H886" s="2">
        <v>76</v>
      </c>
      <c r="I886" s="3">
        <v>7657</v>
      </c>
      <c r="J886" s="4">
        <v>17.350000000000001</v>
      </c>
      <c r="K886" s="2">
        <v>69</v>
      </c>
      <c r="L886" s="2">
        <v>3</v>
      </c>
      <c r="M886" s="3">
        <v>27732</v>
      </c>
    </row>
    <row r="887" spans="1:13">
      <c r="A887" t="s">
        <v>955</v>
      </c>
      <c r="B887" t="s">
        <v>137</v>
      </c>
      <c r="C887" t="s">
        <v>26</v>
      </c>
      <c r="D887" t="s">
        <v>16</v>
      </c>
      <c r="E887" s="2">
        <v>66</v>
      </c>
      <c r="F887" t="s">
        <v>17</v>
      </c>
      <c r="G887" t="s">
        <v>40</v>
      </c>
      <c r="H887" s="2">
        <v>88</v>
      </c>
      <c r="I887" s="3">
        <v>1911</v>
      </c>
      <c r="J887" s="4">
        <v>5.91</v>
      </c>
      <c r="K887" s="2">
        <v>41</v>
      </c>
      <c r="L887" s="2">
        <v>5</v>
      </c>
      <c r="M887" s="3">
        <v>9129</v>
      </c>
    </row>
    <row r="888" spans="1:13">
      <c r="A888" t="s">
        <v>956</v>
      </c>
      <c r="B888" t="s">
        <v>60</v>
      </c>
      <c r="C888" t="s">
        <v>52</v>
      </c>
      <c r="D888" t="s">
        <v>16</v>
      </c>
      <c r="E888" s="2">
        <v>42</v>
      </c>
      <c r="F888" t="s">
        <v>34</v>
      </c>
      <c r="G888" t="s">
        <v>40</v>
      </c>
      <c r="H888" s="2">
        <v>87</v>
      </c>
      <c r="I888" s="3">
        <v>8399</v>
      </c>
      <c r="J888" s="4">
        <v>15.6</v>
      </c>
      <c r="K888" s="2">
        <v>99</v>
      </c>
      <c r="L888" s="2">
        <v>4</v>
      </c>
      <c r="M888" s="3">
        <v>30568</v>
      </c>
    </row>
    <row r="889" spans="1:13">
      <c r="A889" t="s">
        <v>957</v>
      </c>
      <c r="B889" t="s">
        <v>135</v>
      </c>
      <c r="C889" t="s">
        <v>48</v>
      </c>
      <c r="D889" t="s">
        <v>16</v>
      </c>
      <c r="E889" s="2">
        <v>42</v>
      </c>
      <c r="F889" t="s">
        <v>22</v>
      </c>
      <c r="G889" t="s">
        <v>49</v>
      </c>
      <c r="H889" s="2">
        <v>80</v>
      </c>
      <c r="I889" s="3">
        <v>5336</v>
      </c>
      <c r="J889" s="4">
        <v>12.61</v>
      </c>
      <c r="K889" s="2">
        <v>69</v>
      </c>
      <c r="L889" s="2">
        <v>4</v>
      </c>
      <c r="M889" s="3">
        <v>19553</v>
      </c>
    </row>
    <row r="890" spans="1:13">
      <c r="A890" t="s">
        <v>958</v>
      </c>
      <c r="B890" t="s">
        <v>44</v>
      </c>
      <c r="C890" t="s">
        <v>45</v>
      </c>
      <c r="D890" t="s">
        <v>16</v>
      </c>
      <c r="E890" s="2">
        <v>12</v>
      </c>
      <c r="F890" t="s">
        <v>22</v>
      </c>
      <c r="G890" t="s">
        <v>23</v>
      </c>
      <c r="H890" s="2">
        <v>70</v>
      </c>
      <c r="I890" s="3">
        <v>9904</v>
      </c>
      <c r="J890" s="4">
        <v>13.44</v>
      </c>
      <c r="K890" s="2">
        <v>86</v>
      </c>
      <c r="L890" s="2">
        <v>4</v>
      </c>
      <c r="M890" s="3">
        <v>35838</v>
      </c>
    </row>
    <row r="891" spans="1:13">
      <c r="A891" t="s">
        <v>959</v>
      </c>
      <c r="B891" t="s">
        <v>80</v>
      </c>
      <c r="C891" t="s">
        <v>15</v>
      </c>
      <c r="D891" t="s">
        <v>27</v>
      </c>
      <c r="E891" s="2">
        <v>30</v>
      </c>
      <c r="F891" t="s">
        <v>22</v>
      </c>
      <c r="G891" t="s">
        <v>49</v>
      </c>
      <c r="H891" s="2">
        <v>79</v>
      </c>
      <c r="I891" s="3">
        <v>7824</v>
      </c>
      <c r="J891" s="4">
        <v>18.91</v>
      </c>
      <c r="K891" s="2">
        <v>88</v>
      </c>
      <c r="L891" s="2">
        <v>4</v>
      </c>
      <c r="M891" s="3">
        <v>37890</v>
      </c>
    </row>
    <row r="892" spans="1:13">
      <c r="A892" t="s">
        <v>960</v>
      </c>
      <c r="B892" t="s">
        <v>51</v>
      </c>
      <c r="C892" t="s">
        <v>52</v>
      </c>
      <c r="D892" t="s">
        <v>16</v>
      </c>
      <c r="E892" s="2">
        <v>89</v>
      </c>
      <c r="F892" t="s">
        <v>34</v>
      </c>
      <c r="G892" t="s">
        <v>70</v>
      </c>
      <c r="H892" s="2">
        <v>80</v>
      </c>
      <c r="I892" s="3">
        <v>8175</v>
      </c>
      <c r="J892" s="4">
        <v>12.33</v>
      </c>
      <c r="K892" s="2">
        <v>72</v>
      </c>
      <c r="L892" s="2">
        <v>5</v>
      </c>
      <c r="M892" s="3">
        <v>30666</v>
      </c>
    </row>
    <row r="893" spans="1:13">
      <c r="A893" t="s">
        <v>961</v>
      </c>
      <c r="B893" t="s">
        <v>88</v>
      </c>
      <c r="C893" t="s">
        <v>15</v>
      </c>
      <c r="D893" t="s">
        <v>27</v>
      </c>
      <c r="E893" s="2">
        <v>62</v>
      </c>
      <c r="F893" t="s">
        <v>22</v>
      </c>
      <c r="G893" t="s">
        <v>40</v>
      </c>
      <c r="H893" s="2">
        <v>85</v>
      </c>
      <c r="I893" s="3">
        <v>8050</v>
      </c>
      <c r="J893" s="4">
        <v>17.559999999999999</v>
      </c>
      <c r="K893" s="2">
        <v>58</v>
      </c>
      <c r="L893" s="2">
        <v>4</v>
      </c>
      <c r="M893" s="3">
        <v>35941</v>
      </c>
    </row>
    <row r="894" spans="1:13">
      <c r="A894" t="s">
        <v>962</v>
      </c>
      <c r="B894" t="s">
        <v>29</v>
      </c>
      <c r="C894" t="s">
        <v>30</v>
      </c>
      <c r="D894" t="s">
        <v>16</v>
      </c>
      <c r="E894" s="2">
        <v>46</v>
      </c>
      <c r="F894" t="s">
        <v>34</v>
      </c>
      <c r="G894" t="s">
        <v>49</v>
      </c>
      <c r="H894" s="2">
        <v>69</v>
      </c>
      <c r="I894" s="3">
        <v>5349</v>
      </c>
      <c r="J894" s="4">
        <v>20.39</v>
      </c>
      <c r="K894" s="2">
        <v>130</v>
      </c>
      <c r="L894" s="2">
        <v>4</v>
      </c>
      <c r="M894" s="3">
        <v>24884</v>
      </c>
    </row>
    <row r="895" spans="1:13">
      <c r="A895" t="s">
        <v>963</v>
      </c>
      <c r="B895" t="s">
        <v>168</v>
      </c>
      <c r="C895" t="s">
        <v>45</v>
      </c>
      <c r="D895" t="s">
        <v>27</v>
      </c>
      <c r="E895" s="2">
        <v>26</v>
      </c>
      <c r="F895" t="s">
        <v>22</v>
      </c>
      <c r="G895" t="s">
        <v>18</v>
      </c>
      <c r="H895" s="2">
        <v>67</v>
      </c>
      <c r="I895" s="3">
        <v>10371</v>
      </c>
      <c r="J895" s="4">
        <v>20.3</v>
      </c>
      <c r="K895" s="2">
        <v>94</v>
      </c>
      <c r="L895" s="2">
        <v>3</v>
      </c>
      <c r="M895" s="3">
        <v>56339</v>
      </c>
    </row>
    <row r="896" spans="1:13">
      <c r="A896" t="s">
        <v>964</v>
      </c>
      <c r="B896" t="s">
        <v>42</v>
      </c>
      <c r="C896" t="s">
        <v>39</v>
      </c>
      <c r="D896" t="s">
        <v>27</v>
      </c>
      <c r="E896" s="2">
        <v>56</v>
      </c>
      <c r="F896" t="s">
        <v>17</v>
      </c>
      <c r="G896" t="s">
        <v>18</v>
      </c>
      <c r="H896" s="2">
        <v>95</v>
      </c>
      <c r="I896" s="3">
        <v>3110</v>
      </c>
      <c r="J896" s="4">
        <v>9.81</v>
      </c>
      <c r="K896" s="2">
        <v>29</v>
      </c>
      <c r="L896" s="2">
        <v>4</v>
      </c>
      <c r="M896" s="3">
        <v>11519</v>
      </c>
    </row>
    <row r="897" spans="1:13">
      <c r="A897" t="s">
        <v>965</v>
      </c>
      <c r="B897" t="s">
        <v>109</v>
      </c>
      <c r="C897" t="s">
        <v>30</v>
      </c>
      <c r="D897" t="s">
        <v>27</v>
      </c>
      <c r="E897" s="2">
        <v>59</v>
      </c>
      <c r="F897" t="s">
        <v>22</v>
      </c>
      <c r="G897" t="s">
        <v>18</v>
      </c>
      <c r="H897" s="2">
        <v>70</v>
      </c>
      <c r="I897" s="3">
        <v>3188</v>
      </c>
      <c r="J897" s="4">
        <v>17.43</v>
      </c>
      <c r="K897" s="2">
        <v>135</v>
      </c>
      <c r="L897" s="2">
        <v>3</v>
      </c>
      <c r="M897" s="3">
        <v>16472</v>
      </c>
    </row>
    <row r="898" spans="1:13">
      <c r="A898" t="s">
        <v>966</v>
      </c>
      <c r="B898" t="s">
        <v>25</v>
      </c>
      <c r="C898" t="s">
        <v>26</v>
      </c>
      <c r="D898" t="s">
        <v>27</v>
      </c>
      <c r="E898" s="2">
        <v>69</v>
      </c>
      <c r="F898" t="s">
        <v>22</v>
      </c>
      <c r="G898" t="s">
        <v>31</v>
      </c>
      <c r="H898" s="2">
        <v>86</v>
      </c>
      <c r="I898" s="3">
        <v>2452</v>
      </c>
      <c r="J898" s="4">
        <v>3.67</v>
      </c>
      <c r="K898" s="2">
        <v>47</v>
      </c>
      <c r="L898" s="2">
        <v>4</v>
      </c>
      <c r="M898" s="3">
        <v>6751</v>
      </c>
    </row>
    <row r="899" spans="1:13">
      <c r="A899" t="s">
        <v>967</v>
      </c>
      <c r="B899" t="s">
        <v>25</v>
      </c>
      <c r="C899" t="s">
        <v>26</v>
      </c>
      <c r="D899" t="s">
        <v>16</v>
      </c>
      <c r="E899" s="2">
        <v>42</v>
      </c>
      <c r="F899" t="s">
        <v>17</v>
      </c>
      <c r="G899" t="s">
        <v>23</v>
      </c>
      <c r="H899" s="2">
        <v>86</v>
      </c>
      <c r="I899" s="3">
        <v>2516</v>
      </c>
      <c r="J899" s="4">
        <v>6.21</v>
      </c>
      <c r="K899" s="2">
        <v>60</v>
      </c>
      <c r="L899" s="2">
        <v>4</v>
      </c>
      <c r="M899" s="3">
        <v>7520</v>
      </c>
    </row>
    <row r="900" spans="1:13">
      <c r="A900" t="s">
        <v>968</v>
      </c>
      <c r="B900" t="s">
        <v>56</v>
      </c>
      <c r="C900" t="s">
        <v>45</v>
      </c>
      <c r="D900" t="s">
        <v>27</v>
      </c>
      <c r="E900" s="2">
        <v>41</v>
      </c>
      <c r="F900" t="s">
        <v>17</v>
      </c>
      <c r="G900" t="s">
        <v>23</v>
      </c>
      <c r="H900" s="2">
        <v>70</v>
      </c>
      <c r="I900" s="3">
        <v>9129</v>
      </c>
      <c r="J900" s="4">
        <v>19.95</v>
      </c>
      <c r="K900" s="2">
        <v>77</v>
      </c>
      <c r="L900" s="2">
        <v>4</v>
      </c>
      <c r="M900" s="3">
        <v>22847</v>
      </c>
    </row>
    <row r="901" spans="1:13">
      <c r="A901" t="s">
        <v>969</v>
      </c>
      <c r="B901" t="s">
        <v>129</v>
      </c>
      <c r="C901" t="s">
        <v>21</v>
      </c>
      <c r="D901" t="s">
        <v>16</v>
      </c>
      <c r="E901" s="2">
        <v>59</v>
      </c>
      <c r="F901" t="s">
        <v>22</v>
      </c>
      <c r="G901" t="s">
        <v>18</v>
      </c>
      <c r="H901" s="2">
        <v>79</v>
      </c>
      <c r="I901" s="3">
        <v>7311</v>
      </c>
      <c r="J901" s="4">
        <v>10.6</v>
      </c>
      <c r="K901" s="2">
        <v>94</v>
      </c>
      <c r="L901" s="2">
        <v>4</v>
      </c>
      <c r="M901" s="3">
        <v>22472</v>
      </c>
    </row>
    <row r="902" spans="1:13">
      <c r="A902" t="s">
        <v>970</v>
      </c>
      <c r="B902" t="s">
        <v>122</v>
      </c>
      <c r="C902" t="s">
        <v>48</v>
      </c>
      <c r="D902" t="s">
        <v>27</v>
      </c>
      <c r="E902" s="2">
        <v>27</v>
      </c>
      <c r="F902" t="s">
        <v>22</v>
      </c>
      <c r="G902" t="s">
        <v>70</v>
      </c>
      <c r="H902" s="2">
        <v>81</v>
      </c>
      <c r="I902" s="3">
        <v>8805</v>
      </c>
      <c r="J902" s="4">
        <v>8.56</v>
      </c>
      <c r="K902" s="2">
        <v>96</v>
      </c>
      <c r="L902" s="2">
        <v>4</v>
      </c>
      <c r="M902" s="3">
        <v>31339</v>
      </c>
    </row>
    <row r="903" spans="1:13">
      <c r="A903" t="s">
        <v>971</v>
      </c>
      <c r="B903" t="s">
        <v>25</v>
      </c>
      <c r="C903" t="s">
        <v>26</v>
      </c>
      <c r="D903" t="s">
        <v>27</v>
      </c>
      <c r="E903" s="2">
        <v>25</v>
      </c>
      <c r="F903" t="s">
        <v>22</v>
      </c>
      <c r="G903" t="s">
        <v>23</v>
      </c>
      <c r="H903" s="2">
        <v>77</v>
      </c>
      <c r="I903" s="3">
        <v>2119</v>
      </c>
      <c r="J903" s="4">
        <v>6.54</v>
      </c>
      <c r="K903" s="2">
        <v>54</v>
      </c>
      <c r="L903" s="2">
        <v>4</v>
      </c>
      <c r="M903" s="3">
        <v>10847</v>
      </c>
    </row>
    <row r="904" spans="1:13">
      <c r="A904" t="s">
        <v>972</v>
      </c>
      <c r="B904" t="s">
        <v>29</v>
      </c>
      <c r="C904" t="s">
        <v>30</v>
      </c>
      <c r="D904" t="s">
        <v>27</v>
      </c>
      <c r="E904" s="2">
        <v>56</v>
      </c>
      <c r="F904" t="s">
        <v>22</v>
      </c>
      <c r="G904" t="s">
        <v>49</v>
      </c>
      <c r="H904" s="2">
        <v>69</v>
      </c>
      <c r="I904" s="3">
        <v>3419</v>
      </c>
      <c r="J904" s="4">
        <v>18.59</v>
      </c>
      <c r="K904" s="2">
        <v>103</v>
      </c>
      <c r="L904" s="2">
        <v>4</v>
      </c>
      <c r="M904" s="3">
        <v>13232</v>
      </c>
    </row>
    <row r="905" spans="1:13">
      <c r="A905" t="s">
        <v>973</v>
      </c>
      <c r="B905" t="s">
        <v>109</v>
      </c>
      <c r="C905" t="s">
        <v>30</v>
      </c>
      <c r="D905" t="s">
        <v>27</v>
      </c>
      <c r="E905" s="2">
        <v>64</v>
      </c>
      <c r="F905" t="s">
        <v>22</v>
      </c>
      <c r="G905" t="s">
        <v>23</v>
      </c>
      <c r="H905" s="2">
        <v>63</v>
      </c>
      <c r="I905" s="3">
        <v>2490</v>
      </c>
      <c r="J905" s="4">
        <v>21.31</v>
      </c>
      <c r="K905" s="2">
        <v>135</v>
      </c>
      <c r="L905" s="2">
        <v>3</v>
      </c>
      <c r="M905" s="3">
        <v>12491</v>
      </c>
    </row>
    <row r="906" spans="1:13">
      <c r="A906" t="s">
        <v>974</v>
      </c>
      <c r="B906" t="s">
        <v>150</v>
      </c>
      <c r="C906" t="s">
        <v>48</v>
      </c>
      <c r="D906" t="s">
        <v>16</v>
      </c>
      <c r="E906" s="2">
        <v>82</v>
      </c>
      <c r="F906" t="s">
        <v>34</v>
      </c>
      <c r="G906" t="s">
        <v>70</v>
      </c>
      <c r="H906" s="2">
        <v>87</v>
      </c>
      <c r="I906" s="3">
        <v>5037</v>
      </c>
      <c r="J906" s="4">
        <v>7.41</v>
      </c>
      <c r="K906" s="2">
        <v>75</v>
      </c>
      <c r="L906" s="2">
        <v>4</v>
      </c>
      <c r="M906" s="3">
        <v>28411</v>
      </c>
    </row>
    <row r="907" spans="1:13">
      <c r="A907" t="s">
        <v>975</v>
      </c>
      <c r="B907" t="s">
        <v>103</v>
      </c>
      <c r="C907" t="s">
        <v>26</v>
      </c>
      <c r="D907" t="s">
        <v>16</v>
      </c>
      <c r="E907" s="2">
        <v>1</v>
      </c>
      <c r="F907" t="s">
        <v>17</v>
      </c>
      <c r="G907" t="s">
        <v>70</v>
      </c>
      <c r="H907" s="2">
        <v>91</v>
      </c>
      <c r="I907" s="3">
        <v>1430</v>
      </c>
      <c r="J907" s="4">
        <v>4.42</v>
      </c>
      <c r="K907" s="2">
        <v>68</v>
      </c>
      <c r="L907" s="2">
        <v>5</v>
      </c>
      <c r="M907" s="3">
        <v>4672</v>
      </c>
    </row>
    <row r="908" spans="1:13">
      <c r="A908" t="s">
        <v>976</v>
      </c>
      <c r="B908" t="s">
        <v>84</v>
      </c>
      <c r="C908" t="s">
        <v>21</v>
      </c>
      <c r="D908" t="s">
        <v>27</v>
      </c>
      <c r="E908" s="2">
        <v>82</v>
      </c>
      <c r="F908" t="s">
        <v>22</v>
      </c>
      <c r="G908" t="s">
        <v>70</v>
      </c>
      <c r="H908" s="2">
        <v>84</v>
      </c>
      <c r="I908" s="3">
        <v>5495</v>
      </c>
      <c r="J908" s="4">
        <v>11.52</v>
      </c>
      <c r="K908" s="2">
        <v>72</v>
      </c>
      <c r="L908" s="2">
        <v>4</v>
      </c>
      <c r="M908" s="3">
        <v>18679</v>
      </c>
    </row>
    <row r="909" spans="1:13">
      <c r="A909" t="s">
        <v>977</v>
      </c>
      <c r="B909" t="s">
        <v>135</v>
      </c>
      <c r="C909" t="s">
        <v>48</v>
      </c>
      <c r="D909" t="s">
        <v>27</v>
      </c>
      <c r="E909" s="2">
        <v>15</v>
      </c>
      <c r="F909" t="s">
        <v>22</v>
      </c>
      <c r="G909" t="s">
        <v>31</v>
      </c>
      <c r="H909" s="2">
        <v>71</v>
      </c>
      <c r="I909" s="3">
        <v>3988</v>
      </c>
      <c r="J909" s="4">
        <v>12.43</v>
      </c>
      <c r="K909" s="2">
        <v>67</v>
      </c>
      <c r="L909" s="2">
        <v>4</v>
      </c>
      <c r="M909" s="3">
        <v>15290</v>
      </c>
    </row>
    <row r="910" spans="1:13">
      <c r="A910" t="s">
        <v>978</v>
      </c>
      <c r="B910" t="s">
        <v>38</v>
      </c>
      <c r="C910" t="s">
        <v>39</v>
      </c>
      <c r="D910" t="s">
        <v>16</v>
      </c>
      <c r="E910" s="2">
        <v>76</v>
      </c>
      <c r="F910" t="s">
        <v>22</v>
      </c>
      <c r="G910" t="s">
        <v>18</v>
      </c>
      <c r="H910" s="2">
        <v>85</v>
      </c>
      <c r="I910" s="3">
        <v>3681</v>
      </c>
      <c r="J910" s="4">
        <v>7.38</v>
      </c>
      <c r="K910" s="2">
        <v>47</v>
      </c>
      <c r="L910" s="2">
        <v>4</v>
      </c>
      <c r="M910" s="3">
        <v>16426</v>
      </c>
    </row>
    <row r="911" spans="1:13">
      <c r="A911" t="s">
        <v>979</v>
      </c>
      <c r="B911" t="s">
        <v>14</v>
      </c>
      <c r="C911" t="s">
        <v>15</v>
      </c>
      <c r="D911" t="s">
        <v>27</v>
      </c>
      <c r="E911" s="2">
        <v>18</v>
      </c>
      <c r="F911" t="s">
        <v>22</v>
      </c>
      <c r="G911" t="s">
        <v>70</v>
      </c>
      <c r="H911" s="2">
        <v>75</v>
      </c>
      <c r="I911" s="3">
        <v>10133</v>
      </c>
      <c r="J911" s="4">
        <v>12.24</v>
      </c>
      <c r="K911" s="2">
        <v>77</v>
      </c>
      <c r="L911" s="2">
        <v>4</v>
      </c>
      <c r="M911" s="3">
        <v>56155</v>
      </c>
    </row>
    <row r="912" spans="1:13">
      <c r="A912" t="s">
        <v>980</v>
      </c>
      <c r="B912" t="s">
        <v>80</v>
      </c>
      <c r="C912" t="s">
        <v>15</v>
      </c>
      <c r="D912" t="s">
        <v>27</v>
      </c>
      <c r="E912" s="2">
        <v>10</v>
      </c>
      <c r="F912" t="s">
        <v>22</v>
      </c>
      <c r="G912" t="s">
        <v>31</v>
      </c>
      <c r="H912" s="2">
        <v>75</v>
      </c>
      <c r="I912" s="3">
        <v>6914</v>
      </c>
      <c r="J912" s="4">
        <v>13</v>
      </c>
      <c r="K912" s="2">
        <v>124</v>
      </c>
      <c r="L912" s="2">
        <v>4</v>
      </c>
      <c r="M912" s="3">
        <v>37422</v>
      </c>
    </row>
    <row r="913" spans="1:13">
      <c r="A913" t="s">
        <v>981</v>
      </c>
      <c r="B913" t="s">
        <v>66</v>
      </c>
      <c r="C913" t="s">
        <v>39</v>
      </c>
      <c r="D913" t="s">
        <v>27</v>
      </c>
      <c r="E913" s="2">
        <v>13</v>
      </c>
      <c r="F913" t="s">
        <v>22</v>
      </c>
      <c r="G913" t="s">
        <v>49</v>
      </c>
      <c r="H913" s="2">
        <v>82</v>
      </c>
      <c r="I913" s="3">
        <v>3588</v>
      </c>
      <c r="J913" s="4">
        <v>10.68</v>
      </c>
      <c r="K913" s="2">
        <v>59</v>
      </c>
      <c r="L913" s="2">
        <v>3</v>
      </c>
      <c r="M913" s="3">
        <v>14258</v>
      </c>
    </row>
    <row r="914" spans="1:13">
      <c r="A914" t="s">
        <v>982</v>
      </c>
      <c r="B914" t="s">
        <v>143</v>
      </c>
      <c r="C914" t="s">
        <v>21</v>
      </c>
      <c r="D914" t="s">
        <v>27</v>
      </c>
      <c r="E914" s="2">
        <v>16</v>
      </c>
      <c r="F914" t="s">
        <v>22</v>
      </c>
      <c r="G914" t="s">
        <v>40</v>
      </c>
      <c r="H914" s="2">
        <v>75</v>
      </c>
      <c r="I914" s="3">
        <v>6111</v>
      </c>
      <c r="J914" s="4">
        <v>13.57</v>
      </c>
      <c r="K914" s="2">
        <v>80</v>
      </c>
      <c r="L914" s="2">
        <v>3</v>
      </c>
      <c r="M914" s="3">
        <v>22931</v>
      </c>
    </row>
    <row r="915" spans="1:13">
      <c r="A915" t="s">
        <v>983</v>
      </c>
      <c r="B915" t="s">
        <v>51</v>
      </c>
      <c r="C915" t="s">
        <v>52</v>
      </c>
      <c r="D915" t="s">
        <v>27</v>
      </c>
      <c r="E915" s="2">
        <v>46</v>
      </c>
      <c r="F915" t="s">
        <v>22</v>
      </c>
      <c r="G915" t="s">
        <v>23</v>
      </c>
      <c r="H915" s="2">
        <v>82</v>
      </c>
      <c r="I915" s="3">
        <v>11287</v>
      </c>
      <c r="J915" s="4">
        <v>16.329999999999998</v>
      </c>
      <c r="K915" s="2">
        <v>99</v>
      </c>
      <c r="L915" s="2">
        <v>4</v>
      </c>
      <c r="M915" s="3">
        <v>29986</v>
      </c>
    </row>
    <row r="916" spans="1:13">
      <c r="A916" t="s">
        <v>984</v>
      </c>
      <c r="B916" t="s">
        <v>44</v>
      </c>
      <c r="C916" t="s">
        <v>45</v>
      </c>
      <c r="D916" t="s">
        <v>27</v>
      </c>
      <c r="E916" s="2">
        <v>43</v>
      </c>
      <c r="F916" t="s">
        <v>22</v>
      </c>
      <c r="G916" t="s">
        <v>23</v>
      </c>
      <c r="H916" s="2">
        <v>74</v>
      </c>
      <c r="I916" s="3">
        <v>10770</v>
      </c>
      <c r="J916" s="4">
        <v>17.5</v>
      </c>
      <c r="K916" s="2">
        <v>81</v>
      </c>
      <c r="L916" s="2">
        <v>3</v>
      </c>
      <c r="M916" s="3">
        <v>38859</v>
      </c>
    </row>
    <row r="917" spans="1:13">
      <c r="A917" t="s">
        <v>985</v>
      </c>
      <c r="B917" t="s">
        <v>58</v>
      </c>
      <c r="C917" t="s">
        <v>48</v>
      </c>
      <c r="D917" t="s">
        <v>27</v>
      </c>
      <c r="E917" s="2">
        <v>23</v>
      </c>
      <c r="F917" t="s">
        <v>22</v>
      </c>
      <c r="G917" t="s">
        <v>70</v>
      </c>
      <c r="H917" s="2">
        <v>78</v>
      </c>
      <c r="I917" s="3">
        <v>7705</v>
      </c>
      <c r="J917" s="4">
        <v>12.07</v>
      </c>
      <c r="K917" s="2">
        <v>68</v>
      </c>
      <c r="L917" s="2">
        <v>3</v>
      </c>
      <c r="M917" s="3">
        <v>42151</v>
      </c>
    </row>
    <row r="918" spans="1:13">
      <c r="A918" t="s">
        <v>986</v>
      </c>
      <c r="B918" t="s">
        <v>25</v>
      </c>
      <c r="C918" t="s">
        <v>39</v>
      </c>
      <c r="D918" t="s">
        <v>27</v>
      </c>
      <c r="E918" s="2">
        <v>17</v>
      </c>
      <c r="F918" t="s">
        <v>22</v>
      </c>
      <c r="G918" t="s">
        <v>18</v>
      </c>
      <c r="H918" s="2">
        <v>72</v>
      </c>
      <c r="I918" s="3">
        <v>3312</v>
      </c>
      <c r="J918" s="4">
        <v>6.69</v>
      </c>
      <c r="K918" s="2">
        <v>97</v>
      </c>
      <c r="L918" s="2">
        <v>4</v>
      </c>
      <c r="M918" s="3">
        <v>11399</v>
      </c>
    </row>
    <row r="919" spans="1:13">
      <c r="A919" t="s">
        <v>987</v>
      </c>
      <c r="B919" t="s">
        <v>80</v>
      </c>
      <c r="C919" t="s">
        <v>15</v>
      </c>
      <c r="D919" t="s">
        <v>16</v>
      </c>
      <c r="E919" s="2">
        <v>35</v>
      </c>
      <c r="F919" t="s">
        <v>17</v>
      </c>
      <c r="G919" t="s">
        <v>40</v>
      </c>
      <c r="H919" s="2">
        <v>78</v>
      </c>
      <c r="I919" s="3">
        <v>8461</v>
      </c>
      <c r="J919" s="4">
        <v>15.91</v>
      </c>
      <c r="K919" s="2">
        <v>110</v>
      </c>
      <c r="L919" s="2">
        <v>3</v>
      </c>
      <c r="M919" s="3">
        <v>22612</v>
      </c>
    </row>
    <row r="920" spans="1:13">
      <c r="A920" t="s">
        <v>988</v>
      </c>
      <c r="B920" t="s">
        <v>168</v>
      </c>
      <c r="C920" t="s">
        <v>45</v>
      </c>
      <c r="D920" t="s">
        <v>27</v>
      </c>
      <c r="E920" s="2">
        <v>29</v>
      </c>
      <c r="F920" t="s">
        <v>22</v>
      </c>
      <c r="G920" t="s">
        <v>40</v>
      </c>
      <c r="H920" s="2">
        <v>82</v>
      </c>
      <c r="I920" s="3">
        <v>8610</v>
      </c>
      <c r="J920" s="4">
        <v>13.24</v>
      </c>
      <c r="K920" s="2">
        <v>102</v>
      </c>
      <c r="L920" s="2">
        <v>4</v>
      </c>
      <c r="M920" s="3">
        <v>26902</v>
      </c>
    </row>
    <row r="921" spans="1:13">
      <c r="A921" t="s">
        <v>989</v>
      </c>
      <c r="B921" t="s">
        <v>84</v>
      </c>
      <c r="C921" t="s">
        <v>21</v>
      </c>
      <c r="D921" t="s">
        <v>16</v>
      </c>
      <c r="E921" s="2">
        <v>58</v>
      </c>
      <c r="F921" t="s">
        <v>34</v>
      </c>
      <c r="G921" t="s">
        <v>70</v>
      </c>
      <c r="H921" s="2">
        <v>78</v>
      </c>
      <c r="I921" s="3">
        <v>6982</v>
      </c>
      <c r="J921" s="4">
        <v>16.98</v>
      </c>
      <c r="K921" s="2">
        <v>81</v>
      </c>
      <c r="L921" s="2">
        <v>4</v>
      </c>
      <c r="M921" s="3">
        <v>36253</v>
      </c>
    </row>
    <row r="922" spans="1:13">
      <c r="A922" t="s">
        <v>990</v>
      </c>
      <c r="B922" t="s">
        <v>20</v>
      </c>
      <c r="C922" t="s">
        <v>21</v>
      </c>
      <c r="D922" t="s">
        <v>27</v>
      </c>
      <c r="E922" s="2">
        <v>11</v>
      </c>
      <c r="F922" t="s">
        <v>17</v>
      </c>
      <c r="G922" t="s">
        <v>31</v>
      </c>
      <c r="H922" s="2">
        <v>88</v>
      </c>
      <c r="I922" s="3">
        <v>5759</v>
      </c>
      <c r="J922" s="4">
        <v>13.57</v>
      </c>
      <c r="K922" s="2">
        <v>110</v>
      </c>
      <c r="L922" s="2">
        <v>5</v>
      </c>
      <c r="M922" s="3">
        <v>21640</v>
      </c>
    </row>
    <row r="923" spans="1:13">
      <c r="A923" t="s">
        <v>991</v>
      </c>
      <c r="B923" t="s">
        <v>25</v>
      </c>
      <c r="C923" t="s">
        <v>26</v>
      </c>
      <c r="D923" t="s">
        <v>16</v>
      </c>
      <c r="E923" s="2">
        <v>1</v>
      </c>
      <c r="F923" t="s">
        <v>17</v>
      </c>
      <c r="G923" t="s">
        <v>31</v>
      </c>
      <c r="H923" s="2">
        <v>86</v>
      </c>
      <c r="I923" s="3">
        <v>2879</v>
      </c>
      <c r="J923" s="4">
        <v>6.07</v>
      </c>
      <c r="K923" s="2">
        <v>36</v>
      </c>
      <c r="L923" s="2">
        <v>4</v>
      </c>
      <c r="M923" s="3">
        <v>8616</v>
      </c>
    </row>
    <row r="924" spans="1:13">
      <c r="A924" t="s">
        <v>992</v>
      </c>
      <c r="B924" t="s">
        <v>54</v>
      </c>
      <c r="C924" t="s">
        <v>39</v>
      </c>
      <c r="D924" t="s">
        <v>27</v>
      </c>
      <c r="E924" s="2">
        <v>7</v>
      </c>
      <c r="F924" t="s">
        <v>34</v>
      </c>
      <c r="G924" t="s">
        <v>40</v>
      </c>
      <c r="H924" s="2">
        <v>78</v>
      </c>
      <c r="I924" s="3">
        <v>2905</v>
      </c>
      <c r="J924" s="4">
        <v>9.23</v>
      </c>
      <c r="K924" s="2">
        <v>75</v>
      </c>
      <c r="L924" s="2">
        <v>4</v>
      </c>
      <c r="M924" s="3">
        <v>16349</v>
      </c>
    </row>
    <row r="925" spans="1:13">
      <c r="A925" t="s">
        <v>993</v>
      </c>
      <c r="B925" t="s">
        <v>44</v>
      </c>
      <c r="C925" t="s">
        <v>45</v>
      </c>
      <c r="D925" t="s">
        <v>27</v>
      </c>
      <c r="E925" s="2">
        <v>85</v>
      </c>
      <c r="F925" t="s">
        <v>22</v>
      </c>
      <c r="G925" t="s">
        <v>49</v>
      </c>
      <c r="H925" s="2">
        <v>69</v>
      </c>
      <c r="I925" s="3">
        <v>8498</v>
      </c>
      <c r="J925" s="4">
        <v>18.059999999999999</v>
      </c>
      <c r="K925" s="2">
        <v>102</v>
      </c>
      <c r="L925" s="2">
        <v>3</v>
      </c>
      <c r="M925" s="3">
        <v>35178</v>
      </c>
    </row>
    <row r="926" spans="1:13">
      <c r="A926" t="s">
        <v>994</v>
      </c>
      <c r="B926" t="s">
        <v>80</v>
      </c>
      <c r="C926" t="s">
        <v>15</v>
      </c>
      <c r="D926" t="s">
        <v>16</v>
      </c>
      <c r="E926" s="2">
        <v>36</v>
      </c>
      <c r="F926" t="s">
        <v>17</v>
      </c>
      <c r="G926" t="s">
        <v>49</v>
      </c>
      <c r="H926" s="2">
        <v>71</v>
      </c>
      <c r="I926" s="3">
        <v>8274</v>
      </c>
      <c r="J926" s="4">
        <v>15.27</v>
      </c>
      <c r="K926" s="2">
        <v>86</v>
      </c>
      <c r="L926" s="2">
        <v>4</v>
      </c>
      <c r="M926" s="3">
        <v>47377</v>
      </c>
    </row>
    <row r="927" spans="1:13">
      <c r="A927" t="s">
        <v>995</v>
      </c>
      <c r="B927" t="s">
        <v>62</v>
      </c>
      <c r="C927" t="s">
        <v>52</v>
      </c>
      <c r="D927" t="s">
        <v>16</v>
      </c>
      <c r="E927" s="2">
        <v>61</v>
      </c>
      <c r="F927" t="s">
        <v>22</v>
      </c>
      <c r="G927" t="s">
        <v>23</v>
      </c>
      <c r="H927" s="2">
        <v>78</v>
      </c>
      <c r="I927" s="3">
        <v>6530</v>
      </c>
      <c r="J927" s="4">
        <v>16.559999999999999</v>
      </c>
      <c r="K927" s="2">
        <v>98</v>
      </c>
      <c r="L927" s="2">
        <v>3</v>
      </c>
      <c r="M927" s="3">
        <v>21346</v>
      </c>
    </row>
    <row r="928" spans="1:13">
      <c r="A928" t="s">
        <v>996</v>
      </c>
      <c r="B928" t="s">
        <v>14</v>
      </c>
      <c r="C928" t="s">
        <v>15</v>
      </c>
      <c r="D928" t="s">
        <v>16</v>
      </c>
      <c r="E928" s="2">
        <v>73</v>
      </c>
      <c r="F928" t="s">
        <v>22</v>
      </c>
      <c r="G928" t="s">
        <v>23</v>
      </c>
      <c r="H928" s="2">
        <v>77</v>
      </c>
      <c r="I928" s="3">
        <v>6661</v>
      </c>
      <c r="J928" s="4">
        <v>21.87</v>
      </c>
      <c r="K928" s="2">
        <v>78</v>
      </c>
      <c r="L928" s="2">
        <v>4</v>
      </c>
      <c r="M928" s="3">
        <v>31917</v>
      </c>
    </row>
    <row r="929" spans="1:13">
      <c r="A929" t="s">
        <v>997</v>
      </c>
      <c r="B929" t="s">
        <v>137</v>
      </c>
      <c r="C929" t="s">
        <v>26</v>
      </c>
      <c r="D929" t="s">
        <v>27</v>
      </c>
      <c r="E929" s="2">
        <v>29</v>
      </c>
      <c r="F929" t="s">
        <v>17</v>
      </c>
      <c r="G929" t="s">
        <v>49</v>
      </c>
      <c r="H929" s="2">
        <v>86</v>
      </c>
      <c r="I929" s="3">
        <v>2138</v>
      </c>
      <c r="J929" s="4">
        <v>3.6</v>
      </c>
      <c r="K929" s="2">
        <v>26</v>
      </c>
      <c r="L929" s="2">
        <v>4</v>
      </c>
      <c r="M929" s="3">
        <v>8752</v>
      </c>
    </row>
    <row r="930" spans="1:13">
      <c r="A930" t="s">
        <v>998</v>
      </c>
      <c r="B930" t="s">
        <v>47</v>
      </c>
      <c r="C930" t="s">
        <v>48</v>
      </c>
      <c r="D930" t="s">
        <v>16</v>
      </c>
      <c r="E930" s="2">
        <v>64</v>
      </c>
      <c r="F930" t="s">
        <v>22</v>
      </c>
      <c r="G930" t="s">
        <v>70</v>
      </c>
      <c r="H930" s="2">
        <v>71</v>
      </c>
      <c r="I930" s="3">
        <v>3663</v>
      </c>
      <c r="J930" s="4">
        <v>15.91</v>
      </c>
      <c r="K930" s="2">
        <v>97</v>
      </c>
      <c r="L930" s="2">
        <v>4</v>
      </c>
      <c r="M930" s="3">
        <v>18048</v>
      </c>
    </row>
    <row r="931" spans="1:13">
      <c r="A931" t="s">
        <v>999</v>
      </c>
      <c r="B931" t="s">
        <v>129</v>
      </c>
      <c r="C931" t="s">
        <v>21</v>
      </c>
      <c r="D931" t="s">
        <v>27</v>
      </c>
      <c r="E931" s="2">
        <v>86</v>
      </c>
      <c r="F931" t="s">
        <v>22</v>
      </c>
      <c r="G931" t="s">
        <v>31</v>
      </c>
      <c r="H931" s="2">
        <v>80</v>
      </c>
      <c r="I931" s="3">
        <v>7397</v>
      </c>
      <c r="J931" s="4">
        <v>10.65</v>
      </c>
      <c r="K931" s="2">
        <v>74</v>
      </c>
      <c r="L931" s="2">
        <v>5</v>
      </c>
      <c r="M931" s="3">
        <v>34485</v>
      </c>
    </row>
    <row r="932" spans="1:13">
      <c r="A932" t="s">
        <v>1000</v>
      </c>
      <c r="B932" t="s">
        <v>135</v>
      </c>
      <c r="C932" t="s">
        <v>48</v>
      </c>
      <c r="D932" t="s">
        <v>27</v>
      </c>
      <c r="E932" s="2">
        <v>64</v>
      </c>
      <c r="F932" t="s">
        <v>22</v>
      </c>
      <c r="G932" t="s">
        <v>23</v>
      </c>
      <c r="H932" s="2">
        <v>78</v>
      </c>
      <c r="I932" s="3">
        <v>7480</v>
      </c>
      <c r="J932" s="4">
        <v>11.97</v>
      </c>
      <c r="K932" s="2">
        <v>72</v>
      </c>
      <c r="L932" s="2">
        <v>4</v>
      </c>
      <c r="M932" s="3">
        <v>24723</v>
      </c>
    </row>
    <row r="933" spans="1:13">
      <c r="A933" t="s">
        <v>1001</v>
      </c>
      <c r="B933" t="s">
        <v>25</v>
      </c>
      <c r="C933" t="s">
        <v>26</v>
      </c>
      <c r="D933" t="s">
        <v>16</v>
      </c>
      <c r="E933" s="2">
        <v>68</v>
      </c>
      <c r="F933" t="s">
        <v>22</v>
      </c>
      <c r="G933" t="s">
        <v>18</v>
      </c>
      <c r="H933" s="2">
        <v>88</v>
      </c>
      <c r="I933" s="3">
        <v>2569</v>
      </c>
      <c r="J933" s="4">
        <v>0</v>
      </c>
      <c r="K933" s="2">
        <v>38</v>
      </c>
      <c r="L933" s="2">
        <v>5</v>
      </c>
      <c r="M933" s="3">
        <v>12196</v>
      </c>
    </row>
    <row r="934" spans="1:13">
      <c r="A934" t="s">
        <v>1002</v>
      </c>
      <c r="B934" t="s">
        <v>84</v>
      </c>
      <c r="C934" t="s">
        <v>21</v>
      </c>
      <c r="D934" t="s">
        <v>27</v>
      </c>
      <c r="E934" s="2">
        <v>36</v>
      </c>
      <c r="F934" t="s">
        <v>17</v>
      </c>
      <c r="G934" t="s">
        <v>18</v>
      </c>
      <c r="H934" s="2">
        <v>80</v>
      </c>
      <c r="I934" s="3">
        <v>6351</v>
      </c>
      <c r="J934" s="4">
        <v>15.34</v>
      </c>
      <c r="K934" s="2">
        <v>84</v>
      </c>
      <c r="L934" s="2">
        <v>4</v>
      </c>
      <c r="M934" s="3">
        <v>23578</v>
      </c>
    </row>
    <row r="935" spans="1:13">
      <c r="A935" t="s">
        <v>1003</v>
      </c>
      <c r="B935" t="s">
        <v>36</v>
      </c>
      <c r="C935" t="s">
        <v>21</v>
      </c>
      <c r="D935" t="s">
        <v>16</v>
      </c>
      <c r="E935" s="2">
        <v>36</v>
      </c>
      <c r="F935" t="s">
        <v>17</v>
      </c>
      <c r="G935" t="s">
        <v>18</v>
      </c>
      <c r="H935" s="2">
        <v>78</v>
      </c>
      <c r="I935" s="3">
        <v>6889</v>
      </c>
      <c r="J935" s="4">
        <v>12.69</v>
      </c>
      <c r="K935" s="2">
        <v>126</v>
      </c>
      <c r="L935" s="2">
        <v>4</v>
      </c>
      <c r="M935" s="3">
        <v>26810</v>
      </c>
    </row>
    <row r="936" spans="1:13">
      <c r="A936" t="s">
        <v>1004</v>
      </c>
      <c r="B936" t="s">
        <v>68</v>
      </c>
      <c r="C936" t="s">
        <v>45</v>
      </c>
      <c r="D936" t="s">
        <v>27</v>
      </c>
      <c r="E936" s="2">
        <v>21</v>
      </c>
      <c r="F936" t="s">
        <v>34</v>
      </c>
      <c r="G936" t="s">
        <v>18</v>
      </c>
      <c r="H936" s="2">
        <v>72</v>
      </c>
      <c r="I936" s="3">
        <v>14003</v>
      </c>
      <c r="J936" s="4">
        <v>12.85</v>
      </c>
      <c r="K936" s="2">
        <v>80</v>
      </c>
      <c r="L936" s="2">
        <v>4</v>
      </c>
      <c r="M936" s="3">
        <v>81501</v>
      </c>
    </row>
    <row r="937" spans="1:13">
      <c r="A937" t="s">
        <v>1005</v>
      </c>
      <c r="B937" t="s">
        <v>97</v>
      </c>
      <c r="C937" t="s">
        <v>30</v>
      </c>
      <c r="D937" t="s">
        <v>16</v>
      </c>
      <c r="E937" s="2">
        <v>44</v>
      </c>
      <c r="F937" t="s">
        <v>34</v>
      </c>
      <c r="G937" t="s">
        <v>70</v>
      </c>
      <c r="H937" s="2">
        <v>68</v>
      </c>
      <c r="I937" s="3">
        <v>3080</v>
      </c>
      <c r="J937" s="4">
        <v>10.14</v>
      </c>
      <c r="K937" s="2">
        <v>103</v>
      </c>
      <c r="L937" s="2">
        <v>4</v>
      </c>
      <c r="M937" s="3">
        <v>12172</v>
      </c>
    </row>
    <row r="938" spans="1:13">
      <c r="A938" t="s">
        <v>1006</v>
      </c>
      <c r="B938" t="s">
        <v>168</v>
      </c>
      <c r="C938" t="s">
        <v>45</v>
      </c>
      <c r="D938" t="s">
        <v>16</v>
      </c>
      <c r="E938" s="2">
        <v>62</v>
      </c>
      <c r="F938" t="s">
        <v>17</v>
      </c>
      <c r="G938" t="s">
        <v>31</v>
      </c>
      <c r="H938" s="2">
        <v>77</v>
      </c>
      <c r="I938" s="3">
        <v>8077</v>
      </c>
      <c r="J938" s="4">
        <v>19.73</v>
      </c>
      <c r="K938" s="2">
        <v>117</v>
      </c>
      <c r="L938" s="2">
        <v>5</v>
      </c>
      <c r="M938" s="3">
        <v>30644</v>
      </c>
    </row>
    <row r="939" spans="1:13">
      <c r="A939" t="s">
        <v>1007</v>
      </c>
      <c r="B939" t="s">
        <v>38</v>
      </c>
      <c r="C939" t="s">
        <v>39</v>
      </c>
      <c r="D939" t="s">
        <v>16</v>
      </c>
      <c r="E939" s="2">
        <v>5</v>
      </c>
      <c r="F939" t="s">
        <v>22</v>
      </c>
      <c r="G939" t="s">
        <v>31</v>
      </c>
      <c r="H939" s="2">
        <v>86</v>
      </c>
      <c r="I939" s="3">
        <v>2779</v>
      </c>
      <c r="J939" s="4">
        <v>6.16</v>
      </c>
      <c r="K939" s="2">
        <v>57</v>
      </c>
      <c r="L939" s="2">
        <v>4</v>
      </c>
      <c r="M939" s="3">
        <v>13374</v>
      </c>
    </row>
    <row r="940" spans="1:13">
      <c r="A940" t="s">
        <v>1008</v>
      </c>
      <c r="B940" t="s">
        <v>150</v>
      </c>
      <c r="C940" t="s">
        <v>48</v>
      </c>
      <c r="D940" t="s">
        <v>16</v>
      </c>
      <c r="E940" s="2">
        <v>41</v>
      </c>
      <c r="F940" t="s">
        <v>22</v>
      </c>
      <c r="G940" t="s">
        <v>18</v>
      </c>
      <c r="H940" s="2">
        <v>81</v>
      </c>
      <c r="I940" s="3">
        <v>6429</v>
      </c>
      <c r="J940" s="4">
        <v>12.26</v>
      </c>
      <c r="K940" s="2">
        <v>96</v>
      </c>
      <c r="L940" s="2">
        <v>4</v>
      </c>
      <c r="M940" s="3">
        <v>17940</v>
      </c>
    </row>
    <row r="941" spans="1:13">
      <c r="A941" t="s">
        <v>1009</v>
      </c>
      <c r="B941" t="s">
        <v>103</v>
      </c>
      <c r="C941" t="s">
        <v>26</v>
      </c>
      <c r="D941" t="s">
        <v>27</v>
      </c>
      <c r="E941" s="2">
        <v>39</v>
      </c>
      <c r="F941" t="s">
        <v>22</v>
      </c>
      <c r="G941" t="s">
        <v>23</v>
      </c>
      <c r="H941" s="2">
        <v>83</v>
      </c>
      <c r="I941" s="3">
        <v>3128</v>
      </c>
      <c r="J941" s="4">
        <v>6.35</v>
      </c>
      <c r="K941" s="2">
        <v>18</v>
      </c>
      <c r="L941" s="2">
        <v>4</v>
      </c>
      <c r="M941" s="3">
        <v>13237</v>
      </c>
    </row>
    <row r="942" spans="1:13">
      <c r="A942" t="s">
        <v>1010</v>
      </c>
      <c r="B942" t="s">
        <v>122</v>
      </c>
      <c r="C942" t="s">
        <v>48</v>
      </c>
      <c r="D942" t="s">
        <v>72</v>
      </c>
      <c r="E942" s="2">
        <v>61</v>
      </c>
      <c r="F942" t="s">
        <v>17</v>
      </c>
      <c r="G942" t="s">
        <v>49</v>
      </c>
      <c r="H942" s="2">
        <v>70</v>
      </c>
      <c r="I942" s="3">
        <v>3669</v>
      </c>
      <c r="J942" s="4">
        <v>11.98</v>
      </c>
      <c r="K942" s="2">
        <v>90</v>
      </c>
      <c r="L942" s="2">
        <v>3</v>
      </c>
      <c r="M942" s="3">
        <v>18560</v>
      </c>
    </row>
    <row r="943" spans="1:13">
      <c r="A943" t="s">
        <v>1011</v>
      </c>
      <c r="B943" t="s">
        <v>25</v>
      </c>
      <c r="C943" t="s">
        <v>26</v>
      </c>
      <c r="D943" t="s">
        <v>16</v>
      </c>
      <c r="E943" s="2">
        <v>31</v>
      </c>
      <c r="F943" t="s">
        <v>34</v>
      </c>
      <c r="G943" t="s">
        <v>70</v>
      </c>
      <c r="H943" s="2">
        <v>83</v>
      </c>
      <c r="I943" s="3">
        <v>1583</v>
      </c>
      <c r="J943" s="4">
        <v>6.04</v>
      </c>
      <c r="K943" s="2">
        <v>34</v>
      </c>
      <c r="L943" s="2">
        <v>4</v>
      </c>
      <c r="M943" s="3">
        <v>7586</v>
      </c>
    </row>
    <row r="944" spans="1:13">
      <c r="A944" t="s">
        <v>1012</v>
      </c>
      <c r="B944" t="s">
        <v>44</v>
      </c>
      <c r="C944" t="s">
        <v>45</v>
      </c>
      <c r="D944" t="s">
        <v>27</v>
      </c>
      <c r="E944" s="2">
        <v>37</v>
      </c>
      <c r="F944" t="s">
        <v>17</v>
      </c>
      <c r="G944" t="s">
        <v>70</v>
      </c>
      <c r="H944" s="2">
        <v>70</v>
      </c>
      <c r="I944" s="3">
        <v>9938</v>
      </c>
      <c r="J944" s="4">
        <v>22.35</v>
      </c>
      <c r="K944" s="2">
        <v>105</v>
      </c>
      <c r="L944" s="2">
        <v>4</v>
      </c>
      <c r="M944" s="3">
        <v>48548</v>
      </c>
    </row>
    <row r="945" spans="1:13">
      <c r="A945" t="s">
        <v>1013</v>
      </c>
      <c r="B945" t="s">
        <v>143</v>
      </c>
      <c r="C945" t="s">
        <v>21</v>
      </c>
      <c r="D945" t="s">
        <v>27</v>
      </c>
      <c r="E945" s="2">
        <v>41</v>
      </c>
      <c r="F945" t="s">
        <v>22</v>
      </c>
      <c r="G945" t="s">
        <v>40</v>
      </c>
      <c r="H945" s="2">
        <v>74</v>
      </c>
      <c r="I945" s="3">
        <v>6558</v>
      </c>
      <c r="J945" s="4">
        <v>17.13</v>
      </c>
      <c r="K945" s="2">
        <v>77</v>
      </c>
      <c r="L945" s="2">
        <v>4</v>
      </c>
      <c r="M945" s="3">
        <v>32543</v>
      </c>
    </row>
    <row r="946" spans="1:13">
      <c r="A946" t="s">
        <v>1014</v>
      </c>
      <c r="B946" t="s">
        <v>60</v>
      </c>
      <c r="C946" t="s">
        <v>52</v>
      </c>
      <c r="D946" t="s">
        <v>27</v>
      </c>
      <c r="E946" s="2">
        <v>19</v>
      </c>
      <c r="F946" t="s">
        <v>34</v>
      </c>
      <c r="G946" t="s">
        <v>49</v>
      </c>
      <c r="H946" s="2">
        <v>69</v>
      </c>
      <c r="I946" s="3">
        <v>8786</v>
      </c>
      <c r="J946" s="4">
        <v>13.08</v>
      </c>
      <c r="K946" s="2">
        <v>109</v>
      </c>
      <c r="L946" s="2">
        <v>3</v>
      </c>
      <c r="M946" s="3">
        <v>38392</v>
      </c>
    </row>
    <row r="947" spans="1:13">
      <c r="A947" t="s">
        <v>1015</v>
      </c>
      <c r="B947" t="s">
        <v>54</v>
      </c>
      <c r="C947" t="s">
        <v>15</v>
      </c>
      <c r="D947" t="s">
        <v>27</v>
      </c>
      <c r="E947" s="2">
        <v>56</v>
      </c>
      <c r="F947" t="s">
        <v>34</v>
      </c>
      <c r="G947" t="s">
        <v>31</v>
      </c>
      <c r="H947" s="2">
        <v>81</v>
      </c>
      <c r="I947" s="3">
        <v>5016</v>
      </c>
      <c r="J947" s="4">
        <v>9.33</v>
      </c>
      <c r="K947" s="2">
        <v>67</v>
      </c>
      <c r="L947" s="2">
        <v>4</v>
      </c>
      <c r="M947" s="3">
        <v>20983</v>
      </c>
    </row>
    <row r="948" spans="1:13">
      <c r="A948" t="s">
        <v>1016</v>
      </c>
      <c r="B948" t="s">
        <v>88</v>
      </c>
      <c r="C948" t="s">
        <v>15</v>
      </c>
      <c r="D948" t="s">
        <v>16</v>
      </c>
      <c r="E948" s="2">
        <v>15</v>
      </c>
      <c r="F948" t="s">
        <v>34</v>
      </c>
      <c r="G948" t="s">
        <v>18</v>
      </c>
      <c r="H948" s="2">
        <v>74</v>
      </c>
      <c r="I948" s="3">
        <v>7189</v>
      </c>
      <c r="J948" s="4">
        <v>14.7</v>
      </c>
      <c r="K948" s="2">
        <v>58</v>
      </c>
      <c r="L948" s="2">
        <v>4</v>
      </c>
      <c r="M948" s="3">
        <v>38505</v>
      </c>
    </row>
    <row r="949" spans="1:13">
      <c r="A949" t="s">
        <v>1017</v>
      </c>
      <c r="B949" t="s">
        <v>36</v>
      </c>
      <c r="C949" t="s">
        <v>21</v>
      </c>
      <c r="D949" t="s">
        <v>27</v>
      </c>
      <c r="E949" s="2">
        <v>43</v>
      </c>
      <c r="F949" t="s">
        <v>17</v>
      </c>
      <c r="G949" t="s">
        <v>18</v>
      </c>
      <c r="H949" s="2">
        <v>71</v>
      </c>
      <c r="I949" s="3">
        <v>7743</v>
      </c>
      <c r="J949" s="4">
        <v>9.42</v>
      </c>
      <c r="K949" s="2">
        <v>118</v>
      </c>
      <c r="L949" s="2">
        <v>3</v>
      </c>
      <c r="M949" s="3">
        <v>39154</v>
      </c>
    </row>
    <row r="950" spans="1:13">
      <c r="A950" t="s">
        <v>1018</v>
      </c>
      <c r="B950" t="s">
        <v>143</v>
      </c>
      <c r="C950" t="s">
        <v>21</v>
      </c>
      <c r="D950" t="s">
        <v>16</v>
      </c>
      <c r="E950" s="2">
        <v>29</v>
      </c>
      <c r="F950" t="s">
        <v>17</v>
      </c>
      <c r="G950" t="s">
        <v>49</v>
      </c>
      <c r="H950" s="2">
        <v>75</v>
      </c>
      <c r="I950" s="3">
        <v>3571</v>
      </c>
      <c r="J950" s="4">
        <v>16.34</v>
      </c>
      <c r="K950" s="2">
        <v>80</v>
      </c>
      <c r="L950" s="2">
        <v>4</v>
      </c>
      <c r="M950" s="3">
        <v>13114</v>
      </c>
    </row>
    <row r="951" spans="1:13">
      <c r="A951" t="s">
        <v>1019</v>
      </c>
      <c r="B951" t="s">
        <v>20</v>
      </c>
      <c r="C951" t="s">
        <v>21</v>
      </c>
      <c r="D951" t="s">
        <v>27</v>
      </c>
      <c r="E951" s="2">
        <v>34</v>
      </c>
      <c r="F951" t="s">
        <v>17</v>
      </c>
      <c r="G951" t="s">
        <v>49</v>
      </c>
      <c r="H951" s="2">
        <v>85</v>
      </c>
      <c r="I951" s="3">
        <v>7983</v>
      </c>
      <c r="J951" s="4">
        <v>10.28</v>
      </c>
      <c r="K951" s="2">
        <v>65</v>
      </c>
      <c r="L951" s="2">
        <v>4</v>
      </c>
      <c r="M951" s="3">
        <v>21798</v>
      </c>
    </row>
    <row r="952" spans="1:13">
      <c r="A952" t="s">
        <v>1020</v>
      </c>
      <c r="B952" t="s">
        <v>137</v>
      </c>
      <c r="C952" t="s">
        <v>26</v>
      </c>
      <c r="D952" t="s">
        <v>72</v>
      </c>
      <c r="E952" s="2">
        <v>37</v>
      </c>
      <c r="F952" t="s">
        <v>22</v>
      </c>
      <c r="G952" t="s">
        <v>23</v>
      </c>
      <c r="H952" s="2">
        <v>83</v>
      </c>
      <c r="I952" s="3">
        <v>2415</v>
      </c>
      <c r="J952" s="4">
        <v>7.4</v>
      </c>
      <c r="K952" s="2">
        <v>19</v>
      </c>
      <c r="L952" s="2">
        <v>4</v>
      </c>
      <c r="M952" s="3">
        <v>7111</v>
      </c>
    </row>
    <row r="953" spans="1:13">
      <c r="A953" t="s">
        <v>1021</v>
      </c>
      <c r="B953" t="s">
        <v>58</v>
      </c>
      <c r="C953" t="s">
        <v>48</v>
      </c>
      <c r="D953" t="s">
        <v>27</v>
      </c>
      <c r="E953" s="2">
        <v>41</v>
      </c>
      <c r="F953" t="s">
        <v>22</v>
      </c>
      <c r="G953" t="s">
        <v>70</v>
      </c>
      <c r="H953" s="2">
        <v>71</v>
      </c>
      <c r="I953" s="3">
        <v>5607</v>
      </c>
      <c r="J953" s="4">
        <v>10.63</v>
      </c>
      <c r="K953" s="2">
        <v>68</v>
      </c>
      <c r="L953" s="2">
        <v>4</v>
      </c>
      <c r="M953" s="3">
        <v>23958</v>
      </c>
    </row>
    <row r="954" spans="1:13">
      <c r="A954" t="s">
        <v>1022</v>
      </c>
      <c r="B954" t="s">
        <v>68</v>
      </c>
      <c r="C954" t="s">
        <v>45</v>
      </c>
      <c r="D954" t="s">
        <v>27</v>
      </c>
      <c r="E954" s="2">
        <v>8</v>
      </c>
      <c r="F954" t="s">
        <v>34</v>
      </c>
      <c r="G954" t="s">
        <v>49</v>
      </c>
      <c r="H954" s="2">
        <v>74</v>
      </c>
      <c r="I954" s="3">
        <v>10866</v>
      </c>
      <c r="J954" s="4">
        <v>13.36</v>
      </c>
      <c r="K954" s="2">
        <v>107</v>
      </c>
      <c r="L954" s="2">
        <v>4</v>
      </c>
      <c r="M954" s="3">
        <v>30877</v>
      </c>
    </row>
    <row r="955" spans="1:13">
      <c r="A955" t="s">
        <v>1023</v>
      </c>
      <c r="B955" t="s">
        <v>84</v>
      </c>
      <c r="C955" t="s">
        <v>21</v>
      </c>
      <c r="D955" t="s">
        <v>16</v>
      </c>
      <c r="E955" s="2">
        <v>39</v>
      </c>
      <c r="F955" t="s">
        <v>17</v>
      </c>
      <c r="G955" t="s">
        <v>49</v>
      </c>
      <c r="H955" s="2">
        <v>74</v>
      </c>
      <c r="I955" s="3">
        <v>3816</v>
      </c>
      <c r="J955" s="4">
        <v>18.02</v>
      </c>
      <c r="K955" s="2">
        <v>105</v>
      </c>
      <c r="L955" s="2">
        <v>3</v>
      </c>
      <c r="M955" s="3">
        <v>16553</v>
      </c>
    </row>
    <row r="956" spans="1:13">
      <c r="A956" t="s">
        <v>1024</v>
      </c>
      <c r="B956" t="s">
        <v>135</v>
      </c>
      <c r="C956" t="s">
        <v>48</v>
      </c>
      <c r="D956" t="s">
        <v>16</v>
      </c>
      <c r="E956" s="2">
        <v>40</v>
      </c>
      <c r="F956" t="s">
        <v>34</v>
      </c>
      <c r="G956" t="s">
        <v>70</v>
      </c>
      <c r="H956" s="2">
        <v>81</v>
      </c>
      <c r="I956" s="3">
        <v>6482</v>
      </c>
      <c r="J956" s="4">
        <v>17.28</v>
      </c>
      <c r="K956" s="2">
        <v>46</v>
      </c>
      <c r="L956" s="2">
        <v>4</v>
      </c>
      <c r="M956" s="3">
        <v>32148</v>
      </c>
    </row>
    <row r="957" spans="1:13">
      <c r="A957" t="s">
        <v>1025</v>
      </c>
      <c r="B957" t="s">
        <v>54</v>
      </c>
      <c r="C957" t="s">
        <v>15</v>
      </c>
      <c r="D957" t="s">
        <v>27</v>
      </c>
      <c r="E957" s="2">
        <v>55</v>
      </c>
      <c r="F957" t="s">
        <v>17</v>
      </c>
      <c r="G957" t="s">
        <v>23</v>
      </c>
      <c r="H957" s="2">
        <v>66</v>
      </c>
      <c r="I957" s="3">
        <v>7661</v>
      </c>
      <c r="J957" s="4">
        <v>12.88</v>
      </c>
      <c r="K957" s="2">
        <v>109</v>
      </c>
      <c r="L957" s="2">
        <v>3</v>
      </c>
      <c r="M957" s="3">
        <v>37101</v>
      </c>
    </row>
    <row r="958" spans="1:13">
      <c r="A958" t="s">
        <v>1026</v>
      </c>
      <c r="B958" t="s">
        <v>97</v>
      </c>
      <c r="C958" t="s">
        <v>30</v>
      </c>
      <c r="D958" t="s">
        <v>16</v>
      </c>
      <c r="E958" s="2">
        <v>53</v>
      </c>
      <c r="F958" t="s">
        <v>22</v>
      </c>
      <c r="G958" t="s">
        <v>31</v>
      </c>
      <c r="H958" s="2">
        <v>83</v>
      </c>
      <c r="I958" s="3">
        <v>4245</v>
      </c>
      <c r="J958" s="4">
        <v>16.97</v>
      </c>
      <c r="K958" s="2">
        <v>82</v>
      </c>
      <c r="L958" s="2">
        <v>4</v>
      </c>
      <c r="M958" s="3">
        <v>11884</v>
      </c>
    </row>
    <row r="959" spans="1:13">
      <c r="A959" t="s">
        <v>1027</v>
      </c>
      <c r="B959" t="s">
        <v>33</v>
      </c>
      <c r="C959" t="s">
        <v>26</v>
      </c>
      <c r="D959" t="s">
        <v>16</v>
      </c>
      <c r="E959" s="2">
        <v>56</v>
      </c>
      <c r="F959" t="s">
        <v>17</v>
      </c>
      <c r="G959" t="s">
        <v>70</v>
      </c>
      <c r="H959" s="2">
        <v>86</v>
      </c>
      <c r="I959" s="3">
        <v>3152</v>
      </c>
      <c r="J959" s="4">
        <v>0</v>
      </c>
      <c r="K959" s="2">
        <v>31</v>
      </c>
      <c r="L959" s="2">
        <v>5</v>
      </c>
      <c r="M959" s="3">
        <v>9071</v>
      </c>
    </row>
    <row r="960" spans="1:13">
      <c r="A960" t="s">
        <v>1028</v>
      </c>
      <c r="B960" t="s">
        <v>29</v>
      </c>
      <c r="C960" t="s">
        <v>30</v>
      </c>
      <c r="D960" t="s">
        <v>16</v>
      </c>
      <c r="E960" s="2">
        <v>47</v>
      </c>
      <c r="F960" t="s">
        <v>17</v>
      </c>
      <c r="G960" t="s">
        <v>23</v>
      </c>
      <c r="H960" s="2">
        <v>60</v>
      </c>
      <c r="I960" s="3">
        <v>4684</v>
      </c>
      <c r="J960" s="4">
        <v>18.579999999999998</v>
      </c>
      <c r="K960" s="2">
        <v>95</v>
      </c>
      <c r="L960" s="2">
        <v>3</v>
      </c>
      <c r="M960" s="3">
        <v>18236</v>
      </c>
    </row>
    <row r="961" spans="1:13">
      <c r="A961" t="s">
        <v>1029</v>
      </c>
      <c r="B961" t="s">
        <v>68</v>
      </c>
      <c r="C961" t="s">
        <v>45</v>
      </c>
      <c r="D961" t="s">
        <v>16</v>
      </c>
      <c r="E961" s="2">
        <v>62</v>
      </c>
      <c r="F961" t="s">
        <v>22</v>
      </c>
      <c r="G961" t="s">
        <v>23</v>
      </c>
      <c r="H961" s="2">
        <v>79</v>
      </c>
      <c r="I961" s="3">
        <v>8644</v>
      </c>
      <c r="J961" s="4">
        <v>21.67</v>
      </c>
      <c r="K961" s="2">
        <v>60</v>
      </c>
      <c r="L961" s="2">
        <v>4</v>
      </c>
      <c r="M961" s="3">
        <v>42582</v>
      </c>
    </row>
    <row r="962" spans="1:13">
      <c r="A962" t="s">
        <v>1030</v>
      </c>
      <c r="B962" t="s">
        <v>137</v>
      </c>
      <c r="C962" t="s">
        <v>26</v>
      </c>
      <c r="D962" t="s">
        <v>27</v>
      </c>
      <c r="E962" s="2">
        <v>56</v>
      </c>
      <c r="F962" t="s">
        <v>17</v>
      </c>
      <c r="G962" t="s">
        <v>31</v>
      </c>
      <c r="H962" s="2">
        <v>80</v>
      </c>
      <c r="I962" s="3">
        <v>3270</v>
      </c>
      <c r="J962" s="4">
        <v>10.02</v>
      </c>
      <c r="K962" s="2">
        <v>54</v>
      </c>
      <c r="L962" s="2">
        <v>4</v>
      </c>
      <c r="M962" s="3">
        <v>16285</v>
      </c>
    </row>
    <row r="963" spans="1:13">
      <c r="A963" t="s">
        <v>1031</v>
      </c>
      <c r="B963" t="s">
        <v>33</v>
      </c>
      <c r="C963" t="s">
        <v>26</v>
      </c>
      <c r="D963" t="s">
        <v>16</v>
      </c>
      <c r="E963" s="2">
        <v>34</v>
      </c>
      <c r="F963" t="s">
        <v>34</v>
      </c>
      <c r="G963" t="s">
        <v>70</v>
      </c>
      <c r="H963" s="2">
        <v>74</v>
      </c>
      <c r="I963" s="3">
        <v>2048</v>
      </c>
      <c r="J963" s="4">
        <v>0</v>
      </c>
      <c r="K963" s="2">
        <v>35</v>
      </c>
      <c r="L963" s="2">
        <v>4</v>
      </c>
      <c r="M963" s="3">
        <v>7060</v>
      </c>
    </row>
    <row r="964" spans="1:13">
      <c r="A964" t="s">
        <v>1032</v>
      </c>
      <c r="B964" t="s">
        <v>42</v>
      </c>
      <c r="C964" t="s">
        <v>39</v>
      </c>
      <c r="D964" t="s">
        <v>16</v>
      </c>
      <c r="E964" s="2">
        <v>15</v>
      </c>
      <c r="F964" t="s">
        <v>22</v>
      </c>
      <c r="G964" t="s">
        <v>49</v>
      </c>
      <c r="H964" s="2">
        <v>88</v>
      </c>
      <c r="I964" s="3">
        <v>2052</v>
      </c>
      <c r="J964" s="4">
        <v>4.7300000000000004</v>
      </c>
      <c r="K964" s="2">
        <v>52</v>
      </c>
      <c r="L964" s="2">
        <v>5</v>
      </c>
      <c r="M964" s="3">
        <v>11290</v>
      </c>
    </row>
    <row r="965" spans="1:13">
      <c r="A965" t="s">
        <v>1033</v>
      </c>
      <c r="B965" t="s">
        <v>88</v>
      </c>
      <c r="C965" t="s">
        <v>15</v>
      </c>
      <c r="D965" t="s">
        <v>27</v>
      </c>
      <c r="E965" s="2">
        <v>22</v>
      </c>
      <c r="F965" t="s">
        <v>34</v>
      </c>
      <c r="G965" t="s">
        <v>18</v>
      </c>
      <c r="H965" s="2">
        <v>72</v>
      </c>
      <c r="I965" s="3">
        <v>5628</v>
      </c>
      <c r="J965" s="4">
        <v>18.62</v>
      </c>
      <c r="K965" s="2">
        <v>84</v>
      </c>
      <c r="L965" s="2">
        <v>4</v>
      </c>
      <c r="M965" s="3">
        <v>30326</v>
      </c>
    </row>
    <row r="966" spans="1:13">
      <c r="A966" t="s">
        <v>1034</v>
      </c>
      <c r="B966" t="s">
        <v>80</v>
      </c>
      <c r="C966" t="s">
        <v>15</v>
      </c>
      <c r="D966" t="s">
        <v>16</v>
      </c>
      <c r="E966" s="2">
        <v>42</v>
      </c>
      <c r="F966" t="s">
        <v>22</v>
      </c>
      <c r="G966" t="s">
        <v>70</v>
      </c>
      <c r="H966" s="2">
        <v>69</v>
      </c>
      <c r="I966" s="3">
        <v>7959</v>
      </c>
      <c r="J966" s="4">
        <v>21.61</v>
      </c>
      <c r="K966" s="2">
        <v>107</v>
      </c>
      <c r="L966" s="2">
        <v>4</v>
      </c>
      <c r="M966" s="3">
        <v>41787</v>
      </c>
    </row>
    <row r="967" spans="1:13">
      <c r="A967" t="s">
        <v>1035</v>
      </c>
      <c r="B967" t="s">
        <v>135</v>
      </c>
      <c r="C967" t="s">
        <v>48</v>
      </c>
      <c r="D967" t="s">
        <v>27</v>
      </c>
      <c r="E967" s="2">
        <v>58</v>
      </c>
      <c r="F967" t="s">
        <v>22</v>
      </c>
      <c r="G967" t="s">
        <v>23</v>
      </c>
      <c r="H967" s="2">
        <v>85</v>
      </c>
      <c r="I967" s="3">
        <v>2412</v>
      </c>
      <c r="J967" s="4">
        <v>7.64</v>
      </c>
      <c r="K967" s="2">
        <v>73</v>
      </c>
      <c r="L967" s="2">
        <v>4</v>
      </c>
      <c r="M967" s="3">
        <v>10710</v>
      </c>
    </row>
    <row r="968" spans="1:13">
      <c r="A968" t="s">
        <v>1036</v>
      </c>
      <c r="B968" t="s">
        <v>78</v>
      </c>
      <c r="C968" t="s">
        <v>15</v>
      </c>
      <c r="D968" t="s">
        <v>27</v>
      </c>
      <c r="E968" s="2">
        <v>42</v>
      </c>
      <c r="F968" t="s">
        <v>22</v>
      </c>
      <c r="G968" t="s">
        <v>18</v>
      </c>
      <c r="H968" s="2">
        <v>81</v>
      </c>
      <c r="I968" s="3">
        <v>10000</v>
      </c>
      <c r="J968" s="4">
        <v>14.12</v>
      </c>
      <c r="K968" s="2">
        <v>58</v>
      </c>
      <c r="L968" s="2">
        <v>5</v>
      </c>
      <c r="M968" s="3">
        <v>31905</v>
      </c>
    </row>
    <row r="969" spans="1:13">
      <c r="A969" t="s">
        <v>1037</v>
      </c>
      <c r="B969" t="s">
        <v>54</v>
      </c>
      <c r="C969" t="s">
        <v>39</v>
      </c>
      <c r="D969" t="s">
        <v>27</v>
      </c>
      <c r="E969" s="2">
        <v>18</v>
      </c>
      <c r="F969" t="s">
        <v>17</v>
      </c>
      <c r="G969" t="s">
        <v>70</v>
      </c>
      <c r="H969" s="2">
        <v>88</v>
      </c>
      <c r="I969" s="3">
        <v>2608</v>
      </c>
      <c r="J969" s="4">
        <v>8.18</v>
      </c>
      <c r="K969" s="2">
        <v>40</v>
      </c>
      <c r="L969" s="2">
        <v>4</v>
      </c>
      <c r="M969" s="3">
        <v>7730</v>
      </c>
    </row>
    <row r="970" spans="1:13">
      <c r="A970" t="s">
        <v>1038</v>
      </c>
      <c r="B970" t="s">
        <v>150</v>
      </c>
      <c r="C970" t="s">
        <v>48</v>
      </c>
      <c r="D970" t="s">
        <v>16</v>
      </c>
      <c r="E970" s="2">
        <v>39</v>
      </c>
      <c r="F970" t="s">
        <v>34</v>
      </c>
      <c r="G970" t="s">
        <v>49</v>
      </c>
      <c r="H970" s="2">
        <v>90</v>
      </c>
      <c r="I970" s="3">
        <v>7913</v>
      </c>
      <c r="J970" s="4">
        <v>12.41</v>
      </c>
      <c r="K970" s="2">
        <v>44</v>
      </c>
      <c r="L970" s="2">
        <v>4</v>
      </c>
      <c r="M970" s="3">
        <v>36907</v>
      </c>
    </row>
    <row r="971" spans="1:13">
      <c r="A971" t="s">
        <v>1039</v>
      </c>
      <c r="B971" t="s">
        <v>42</v>
      </c>
      <c r="C971" t="s">
        <v>39</v>
      </c>
      <c r="D971" t="s">
        <v>27</v>
      </c>
      <c r="E971" s="2">
        <v>4</v>
      </c>
      <c r="F971" t="s">
        <v>22</v>
      </c>
      <c r="G971" t="s">
        <v>70</v>
      </c>
      <c r="H971" s="2">
        <v>78</v>
      </c>
      <c r="I971" s="3">
        <v>3308</v>
      </c>
      <c r="J971" s="4">
        <v>14.2</v>
      </c>
      <c r="K971" s="2">
        <v>35</v>
      </c>
      <c r="L971" s="2">
        <v>4</v>
      </c>
      <c r="M971" s="3">
        <v>10896</v>
      </c>
    </row>
    <row r="972" spans="1:13">
      <c r="A972" t="s">
        <v>1040</v>
      </c>
      <c r="B972" t="s">
        <v>185</v>
      </c>
      <c r="C972" t="s">
        <v>52</v>
      </c>
      <c r="D972" t="s">
        <v>16</v>
      </c>
      <c r="E972" s="2">
        <v>9</v>
      </c>
      <c r="F972" t="s">
        <v>22</v>
      </c>
      <c r="G972" t="s">
        <v>70</v>
      </c>
      <c r="H972" s="2">
        <v>78</v>
      </c>
      <c r="I972" s="3">
        <v>5936</v>
      </c>
      <c r="J972" s="4">
        <v>14.23</v>
      </c>
      <c r="K972" s="2">
        <v>114</v>
      </c>
      <c r="L972" s="2">
        <v>4</v>
      </c>
      <c r="M972" s="3">
        <v>20198</v>
      </c>
    </row>
    <row r="973" spans="1:13">
      <c r="A973" t="s">
        <v>1041</v>
      </c>
      <c r="B973" t="s">
        <v>129</v>
      </c>
      <c r="C973" t="s">
        <v>21</v>
      </c>
      <c r="D973" t="s">
        <v>16</v>
      </c>
      <c r="E973" s="2">
        <v>53</v>
      </c>
      <c r="F973" t="s">
        <v>34</v>
      </c>
      <c r="G973" t="s">
        <v>40</v>
      </c>
      <c r="H973" s="2">
        <v>81</v>
      </c>
      <c r="I973" s="3">
        <v>7759</v>
      </c>
      <c r="J973" s="4">
        <v>8.1999999999999993</v>
      </c>
      <c r="K973" s="2">
        <v>89</v>
      </c>
      <c r="L973" s="2">
        <v>4</v>
      </c>
      <c r="M973" s="3">
        <v>21831</v>
      </c>
    </row>
    <row r="974" spans="1:13">
      <c r="A974" t="s">
        <v>1042</v>
      </c>
      <c r="B974" t="s">
        <v>47</v>
      </c>
      <c r="C974" t="s">
        <v>48</v>
      </c>
      <c r="D974" t="s">
        <v>27</v>
      </c>
      <c r="E974" s="2">
        <v>58</v>
      </c>
      <c r="F974" t="s">
        <v>22</v>
      </c>
      <c r="G974" t="s">
        <v>70</v>
      </c>
      <c r="H974" s="2">
        <v>77</v>
      </c>
      <c r="I974" s="3">
        <v>4528</v>
      </c>
      <c r="J974" s="4">
        <v>20.79</v>
      </c>
      <c r="K974" s="2">
        <v>94</v>
      </c>
      <c r="L974" s="2">
        <v>4</v>
      </c>
      <c r="M974" s="3">
        <v>20564</v>
      </c>
    </row>
    <row r="975" spans="1:13">
      <c r="A975" t="s">
        <v>1043</v>
      </c>
      <c r="B975" t="s">
        <v>20</v>
      </c>
      <c r="C975" t="s">
        <v>21</v>
      </c>
      <c r="D975" t="s">
        <v>16</v>
      </c>
      <c r="E975" s="2">
        <v>1</v>
      </c>
      <c r="F975" t="s">
        <v>34</v>
      </c>
      <c r="G975" t="s">
        <v>31</v>
      </c>
      <c r="H975" s="2">
        <v>70</v>
      </c>
      <c r="I975" s="3">
        <v>6579</v>
      </c>
      <c r="J975" s="4">
        <v>8.51</v>
      </c>
      <c r="K975" s="2">
        <v>127</v>
      </c>
      <c r="L975" s="2">
        <v>3</v>
      </c>
      <c r="M975" s="3">
        <v>39028</v>
      </c>
    </row>
    <row r="976" spans="1:13">
      <c r="A976" t="s">
        <v>1044</v>
      </c>
      <c r="B976" t="s">
        <v>20</v>
      </c>
      <c r="C976" t="s">
        <v>21</v>
      </c>
      <c r="D976" t="s">
        <v>27</v>
      </c>
      <c r="E976" s="2">
        <v>31</v>
      </c>
      <c r="F976" t="s">
        <v>34</v>
      </c>
      <c r="G976" t="s">
        <v>40</v>
      </c>
      <c r="H976" s="2">
        <v>76</v>
      </c>
      <c r="I976" s="3">
        <v>6985</v>
      </c>
      <c r="J976" s="4">
        <v>20.82</v>
      </c>
      <c r="K976" s="2">
        <v>49</v>
      </c>
      <c r="L976" s="2">
        <v>4</v>
      </c>
      <c r="M976" s="3">
        <v>31442</v>
      </c>
    </row>
    <row r="977" spans="1:13">
      <c r="A977" t="s">
        <v>1045</v>
      </c>
      <c r="B977" t="s">
        <v>97</v>
      </c>
      <c r="C977" t="s">
        <v>30</v>
      </c>
      <c r="D977" t="s">
        <v>27</v>
      </c>
      <c r="E977" s="2">
        <v>28</v>
      </c>
      <c r="F977" t="s">
        <v>22</v>
      </c>
      <c r="G977" t="s">
        <v>23</v>
      </c>
      <c r="H977" s="2">
        <v>73</v>
      </c>
      <c r="I977" s="3">
        <v>3005</v>
      </c>
      <c r="J977" s="4">
        <v>16.59</v>
      </c>
      <c r="K977" s="2">
        <v>95</v>
      </c>
      <c r="L977" s="2">
        <v>4</v>
      </c>
      <c r="M977" s="3">
        <v>13693</v>
      </c>
    </row>
    <row r="978" spans="1:13">
      <c r="A978" t="s">
        <v>1046</v>
      </c>
      <c r="B978" t="s">
        <v>54</v>
      </c>
      <c r="C978" t="s">
        <v>15</v>
      </c>
      <c r="D978" t="s">
        <v>27</v>
      </c>
      <c r="E978" s="2">
        <v>37</v>
      </c>
      <c r="F978" t="s">
        <v>22</v>
      </c>
      <c r="G978" t="s">
        <v>70</v>
      </c>
      <c r="H978" s="2">
        <v>69</v>
      </c>
      <c r="I978" s="3">
        <v>5461</v>
      </c>
      <c r="J978" s="4">
        <v>23.19</v>
      </c>
      <c r="K978" s="2">
        <v>84</v>
      </c>
      <c r="L978" s="2">
        <v>3</v>
      </c>
      <c r="M978" s="3">
        <v>26153</v>
      </c>
    </row>
    <row r="979" spans="1:13">
      <c r="A979" t="s">
        <v>1047</v>
      </c>
      <c r="B979" t="s">
        <v>14</v>
      </c>
      <c r="C979" t="s">
        <v>15</v>
      </c>
      <c r="D979" t="s">
        <v>27</v>
      </c>
      <c r="E979" s="2">
        <v>20</v>
      </c>
      <c r="F979" t="s">
        <v>34</v>
      </c>
      <c r="G979" t="s">
        <v>23</v>
      </c>
      <c r="H979" s="2">
        <v>77</v>
      </c>
      <c r="I979" s="3">
        <v>7872</v>
      </c>
      <c r="J979" s="4">
        <v>23.24</v>
      </c>
      <c r="K979" s="2">
        <v>78</v>
      </c>
      <c r="L979" s="2">
        <v>4</v>
      </c>
      <c r="M979" s="3">
        <v>22848</v>
      </c>
    </row>
    <row r="980" spans="1:13">
      <c r="A980" t="s">
        <v>1048</v>
      </c>
      <c r="B980" t="s">
        <v>187</v>
      </c>
      <c r="C980" t="s">
        <v>30</v>
      </c>
      <c r="D980" t="s">
        <v>16</v>
      </c>
      <c r="E980" s="2">
        <v>34</v>
      </c>
      <c r="F980" t="s">
        <v>34</v>
      </c>
      <c r="G980" t="s">
        <v>49</v>
      </c>
      <c r="H980" s="2">
        <v>64</v>
      </c>
      <c r="I980" s="3">
        <v>2611</v>
      </c>
      <c r="J980" s="4">
        <v>24.14</v>
      </c>
      <c r="K980" s="2">
        <v>146</v>
      </c>
      <c r="L980" s="2">
        <v>3</v>
      </c>
      <c r="M980" s="3">
        <v>15320</v>
      </c>
    </row>
    <row r="981" spans="1:13">
      <c r="A981" t="s">
        <v>1049</v>
      </c>
      <c r="B981" t="s">
        <v>47</v>
      </c>
      <c r="C981" t="s">
        <v>48</v>
      </c>
      <c r="D981" t="s">
        <v>27</v>
      </c>
      <c r="E981" s="2">
        <v>39</v>
      </c>
      <c r="F981" t="s">
        <v>17</v>
      </c>
      <c r="G981" t="s">
        <v>31</v>
      </c>
      <c r="H981" s="2">
        <v>72</v>
      </c>
      <c r="I981" s="3">
        <v>5512</v>
      </c>
      <c r="J981" s="4">
        <v>5.65</v>
      </c>
      <c r="K981" s="2">
        <v>84</v>
      </c>
      <c r="L981" s="2">
        <v>4</v>
      </c>
      <c r="M981" s="3">
        <v>14074</v>
      </c>
    </row>
    <row r="982" spans="1:13">
      <c r="A982" t="s">
        <v>1050</v>
      </c>
      <c r="B982" t="s">
        <v>168</v>
      </c>
      <c r="C982" t="s">
        <v>45</v>
      </c>
      <c r="D982" t="s">
        <v>27</v>
      </c>
      <c r="E982" s="2">
        <v>30</v>
      </c>
      <c r="F982" t="s">
        <v>22</v>
      </c>
      <c r="G982" t="s">
        <v>49</v>
      </c>
      <c r="H982" s="2">
        <v>79</v>
      </c>
      <c r="I982" s="3">
        <v>6743</v>
      </c>
      <c r="J982" s="4">
        <v>16.14</v>
      </c>
      <c r="K982" s="2">
        <v>76</v>
      </c>
      <c r="L982" s="2">
        <v>4</v>
      </c>
      <c r="M982" s="3">
        <v>18868</v>
      </c>
    </row>
    <row r="983" spans="1:13">
      <c r="A983" t="s">
        <v>1051</v>
      </c>
      <c r="B983" t="s">
        <v>135</v>
      </c>
      <c r="C983" t="s">
        <v>48</v>
      </c>
      <c r="D983" t="s">
        <v>27</v>
      </c>
      <c r="E983" s="2">
        <v>71</v>
      </c>
      <c r="F983" t="s">
        <v>22</v>
      </c>
      <c r="G983" t="s">
        <v>49</v>
      </c>
      <c r="H983" s="2">
        <v>77</v>
      </c>
      <c r="I983" s="3">
        <v>6172</v>
      </c>
      <c r="J983" s="4">
        <v>11.66</v>
      </c>
      <c r="K983" s="2">
        <v>100</v>
      </c>
      <c r="L983" s="2">
        <v>4</v>
      </c>
      <c r="M983" s="3">
        <v>31972</v>
      </c>
    </row>
    <row r="984" spans="1:13">
      <c r="A984" t="s">
        <v>1052</v>
      </c>
      <c r="B984" t="s">
        <v>95</v>
      </c>
      <c r="C984" t="s">
        <v>52</v>
      </c>
      <c r="D984" t="s">
        <v>27</v>
      </c>
      <c r="E984" s="2">
        <v>45</v>
      </c>
      <c r="F984" t="s">
        <v>17</v>
      </c>
      <c r="G984" t="s">
        <v>40</v>
      </c>
      <c r="H984" s="2">
        <v>80</v>
      </c>
      <c r="I984" s="3">
        <v>6955</v>
      </c>
      <c r="J984" s="4">
        <v>11.8</v>
      </c>
      <c r="K984" s="2">
        <v>62</v>
      </c>
      <c r="L984" s="2">
        <v>4</v>
      </c>
      <c r="M984" s="3">
        <v>28795</v>
      </c>
    </row>
    <row r="985" spans="1:13">
      <c r="A985" t="s">
        <v>1053</v>
      </c>
      <c r="B985" t="s">
        <v>51</v>
      </c>
      <c r="C985" t="s">
        <v>52</v>
      </c>
      <c r="D985" t="s">
        <v>72</v>
      </c>
      <c r="E985" s="2">
        <v>19</v>
      </c>
      <c r="F985" t="s">
        <v>17</v>
      </c>
      <c r="G985" t="s">
        <v>40</v>
      </c>
      <c r="H985" s="2">
        <v>75</v>
      </c>
      <c r="I985" s="3">
        <v>6832</v>
      </c>
      <c r="J985" s="4">
        <v>6.89</v>
      </c>
      <c r="K985" s="2">
        <v>84</v>
      </c>
      <c r="L985" s="2">
        <v>3</v>
      </c>
      <c r="M985" s="3">
        <v>40327</v>
      </c>
    </row>
    <row r="986" spans="1:13">
      <c r="A986" t="s">
        <v>1054</v>
      </c>
      <c r="B986" t="s">
        <v>25</v>
      </c>
      <c r="C986" t="s">
        <v>26</v>
      </c>
      <c r="D986" t="s">
        <v>16</v>
      </c>
      <c r="E986" s="2">
        <v>54</v>
      </c>
      <c r="F986" t="s">
        <v>34</v>
      </c>
      <c r="G986" t="s">
        <v>49</v>
      </c>
      <c r="H986" s="2">
        <v>90</v>
      </c>
      <c r="I986" s="3">
        <v>2381</v>
      </c>
      <c r="J986" s="4">
        <v>6.87</v>
      </c>
      <c r="K986" s="2">
        <v>30</v>
      </c>
      <c r="L986" s="2">
        <v>4</v>
      </c>
      <c r="M986" s="3">
        <v>11890</v>
      </c>
    </row>
    <row r="987" spans="1:13">
      <c r="A987" t="s">
        <v>1055</v>
      </c>
      <c r="B987" t="s">
        <v>95</v>
      </c>
      <c r="C987" t="s">
        <v>52</v>
      </c>
      <c r="D987" t="s">
        <v>27</v>
      </c>
      <c r="E987" s="2">
        <v>22</v>
      </c>
      <c r="F987" t="s">
        <v>22</v>
      </c>
      <c r="G987" t="s">
        <v>23</v>
      </c>
      <c r="H987" s="2">
        <v>73</v>
      </c>
      <c r="I987" s="3">
        <v>7870</v>
      </c>
      <c r="J987" s="4">
        <v>17.2</v>
      </c>
      <c r="K987" s="2">
        <v>103</v>
      </c>
      <c r="L987" s="2">
        <v>4</v>
      </c>
      <c r="M987" s="3">
        <v>31364</v>
      </c>
    </row>
    <row r="988" spans="1:13">
      <c r="A988" t="s">
        <v>1056</v>
      </c>
      <c r="B988" t="s">
        <v>78</v>
      </c>
      <c r="C988" t="s">
        <v>15</v>
      </c>
      <c r="D988" t="s">
        <v>27</v>
      </c>
      <c r="E988" s="2">
        <v>40</v>
      </c>
      <c r="F988" t="s">
        <v>22</v>
      </c>
      <c r="G988" t="s">
        <v>49</v>
      </c>
      <c r="H988" s="2">
        <v>87</v>
      </c>
      <c r="I988" s="3">
        <v>6421</v>
      </c>
      <c r="J988" s="4">
        <v>16.13</v>
      </c>
      <c r="K988" s="2">
        <v>61</v>
      </c>
      <c r="L988" s="2">
        <v>4</v>
      </c>
      <c r="M988" s="3">
        <v>31335</v>
      </c>
    </row>
    <row r="989" spans="1:13">
      <c r="A989" t="s">
        <v>1057</v>
      </c>
      <c r="B989" t="s">
        <v>25</v>
      </c>
      <c r="C989" t="s">
        <v>39</v>
      </c>
      <c r="D989" t="s">
        <v>72</v>
      </c>
      <c r="E989" s="2">
        <v>6</v>
      </c>
      <c r="F989" t="s">
        <v>34</v>
      </c>
      <c r="G989" t="s">
        <v>18</v>
      </c>
      <c r="H989" s="2">
        <v>85</v>
      </c>
      <c r="I989" s="3">
        <v>3024</v>
      </c>
      <c r="J989" s="4">
        <v>6.63</v>
      </c>
      <c r="K989" s="2">
        <v>64</v>
      </c>
      <c r="L989" s="2">
        <v>5</v>
      </c>
      <c r="M989" s="3">
        <v>10988</v>
      </c>
    </row>
    <row r="990" spans="1:13">
      <c r="A990" t="s">
        <v>1058</v>
      </c>
      <c r="B990" t="s">
        <v>185</v>
      </c>
      <c r="C990" t="s">
        <v>52</v>
      </c>
      <c r="D990" t="s">
        <v>16</v>
      </c>
      <c r="E990" s="2">
        <v>65</v>
      </c>
      <c r="F990" t="s">
        <v>22</v>
      </c>
      <c r="G990" t="s">
        <v>23</v>
      </c>
      <c r="H990" s="2">
        <v>79</v>
      </c>
      <c r="I990" s="3">
        <v>10791</v>
      </c>
      <c r="J990" s="4">
        <v>17.440000000000001</v>
      </c>
      <c r="K990" s="2">
        <v>78</v>
      </c>
      <c r="L990" s="2">
        <v>4</v>
      </c>
      <c r="M990" s="3">
        <v>42011</v>
      </c>
    </row>
    <row r="991" spans="1:13">
      <c r="A991" t="s">
        <v>1059</v>
      </c>
      <c r="B991" t="s">
        <v>135</v>
      </c>
      <c r="C991" t="s">
        <v>48</v>
      </c>
      <c r="D991" t="s">
        <v>27</v>
      </c>
      <c r="E991" s="2">
        <v>73</v>
      </c>
      <c r="F991" t="s">
        <v>17</v>
      </c>
      <c r="G991" t="s">
        <v>49</v>
      </c>
      <c r="H991" s="2">
        <v>84</v>
      </c>
      <c r="I991" s="3">
        <v>4341</v>
      </c>
      <c r="J991" s="4">
        <v>5.76</v>
      </c>
      <c r="K991" s="2">
        <v>76</v>
      </c>
      <c r="L991" s="2">
        <v>4</v>
      </c>
      <c r="M991" s="3">
        <v>17130</v>
      </c>
    </row>
    <row r="992" spans="1:13">
      <c r="A992" t="s">
        <v>1060</v>
      </c>
      <c r="B992" t="s">
        <v>78</v>
      </c>
      <c r="C992" t="s">
        <v>15</v>
      </c>
      <c r="D992" t="s">
        <v>27</v>
      </c>
      <c r="E992" s="2">
        <v>78</v>
      </c>
      <c r="F992" t="s">
        <v>17</v>
      </c>
      <c r="G992" t="s">
        <v>49</v>
      </c>
      <c r="H992" s="2">
        <v>83</v>
      </c>
      <c r="I992" s="3">
        <v>7206</v>
      </c>
      <c r="J992" s="4">
        <v>13.28</v>
      </c>
      <c r="K992" s="2">
        <v>67</v>
      </c>
      <c r="L992" s="2">
        <v>4</v>
      </c>
      <c r="M992" s="3">
        <v>22315</v>
      </c>
    </row>
    <row r="993" spans="1:13">
      <c r="A993" t="s">
        <v>1061</v>
      </c>
      <c r="B993" t="s">
        <v>47</v>
      </c>
      <c r="C993" t="s">
        <v>48</v>
      </c>
      <c r="D993" t="s">
        <v>16</v>
      </c>
      <c r="E993" s="2">
        <v>50</v>
      </c>
      <c r="F993" t="s">
        <v>22</v>
      </c>
      <c r="G993" t="s">
        <v>40</v>
      </c>
      <c r="H993" s="2">
        <v>80</v>
      </c>
      <c r="I993" s="3">
        <v>5952</v>
      </c>
      <c r="J993" s="4">
        <v>16.14</v>
      </c>
      <c r="K993" s="2">
        <v>89</v>
      </c>
      <c r="L993" s="2">
        <v>4</v>
      </c>
      <c r="M993" s="3">
        <v>33626</v>
      </c>
    </row>
    <row r="994" spans="1:13">
      <c r="A994" t="s">
        <v>1062</v>
      </c>
      <c r="B994" t="s">
        <v>168</v>
      </c>
      <c r="C994" t="s">
        <v>45</v>
      </c>
      <c r="D994" t="s">
        <v>16</v>
      </c>
      <c r="E994" s="2">
        <v>10</v>
      </c>
      <c r="F994" t="s">
        <v>17</v>
      </c>
      <c r="G994" t="s">
        <v>40</v>
      </c>
      <c r="H994" s="2">
        <v>74</v>
      </c>
      <c r="I994" s="3">
        <v>6177</v>
      </c>
      <c r="J994" s="4">
        <v>11.03</v>
      </c>
      <c r="K994" s="2">
        <v>87</v>
      </c>
      <c r="L994" s="2">
        <v>3</v>
      </c>
      <c r="M994" s="3">
        <v>34058</v>
      </c>
    </row>
    <row r="995" spans="1:13">
      <c r="A995" t="s">
        <v>1063</v>
      </c>
      <c r="B995" t="s">
        <v>168</v>
      </c>
      <c r="C995" t="s">
        <v>45</v>
      </c>
      <c r="D995" t="s">
        <v>16</v>
      </c>
      <c r="E995" s="2">
        <v>49</v>
      </c>
      <c r="F995" t="s">
        <v>17</v>
      </c>
      <c r="G995" t="s">
        <v>70</v>
      </c>
      <c r="H995" s="2">
        <v>77</v>
      </c>
      <c r="I995" s="3">
        <v>8122</v>
      </c>
      <c r="J995" s="4">
        <v>12.9</v>
      </c>
      <c r="K995" s="2">
        <v>85</v>
      </c>
      <c r="L995" s="2">
        <v>4</v>
      </c>
      <c r="M995" s="3">
        <v>42148</v>
      </c>
    </row>
    <row r="996" spans="1:13">
      <c r="A996" t="s">
        <v>1064</v>
      </c>
      <c r="B996" t="s">
        <v>80</v>
      </c>
      <c r="C996" t="s">
        <v>15</v>
      </c>
      <c r="D996" t="s">
        <v>27</v>
      </c>
      <c r="E996" s="2">
        <v>39</v>
      </c>
      <c r="F996" t="s">
        <v>22</v>
      </c>
      <c r="G996" t="s">
        <v>18</v>
      </c>
      <c r="H996" s="2">
        <v>82</v>
      </c>
      <c r="I996" s="3">
        <v>4281</v>
      </c>
      <c r="J996" s="4">
        <v>6.46</v>
      </c>
      <c r="K996" s="2">
        <v>92</v>
      </c>
      <c r="L996" s="2">
        <v>4</v>
      </c>
      <c r="M996" s="3">
        <v>18390</v>
      </c>
    </row>
    <row r="997" spans="1:13">
      <c r="A997" t="s">
        <v>1065</v>
      </c>
      <c r="B997" t="s">
        <v>62</v>
      </c>
      <c r="C997" t="s">
        <v>52</v>
      </c>
      <c r="D997" t="s">
        <v>27</v>
      </c>
      <c r="E997" s="2">
        <v>63</v>
      </c>
      <c r="F997" t="s">
        <v>34</v>
      </c>
      <c r="G997" t="s">
        <v>49</v>
      </c>
      <c r="H997" s="2">
        <v>78</v>
      </c>
      <c r="I997" s="3">
        <v>7996</v>
      </c>
      <c r="J997" s="4">
        <v>13.95</v>
      </c>
      <c r="K997" s="2">
        <v>88</v>
      </c>
      <c r="L997" s="2">
        <v>4</v>
      </c>
      <c r="M997" s="3">
        <v>35181</v>
      </c>
    </row>
    <row r="998" spans="1:13">
      <c r="A998" t="s">
        <v>1066</v>
      </c>
      <c r="B998" t="s">
        <v>64</v>
      </c>
      <c r="C998" t="s">
        <v>30</v>
      </c>
      <c r="D998" t="s">
        <v>27</v>
      </c>
      <c r="E998" s="2">
        <v>2</v>
      </c>
      <c r="F998" t="s">
        <v>17</v>
      </c>
      <c r="G998" t="s">
        <v>70</v>
      </c>
      <c r="H998" s="2">
        <v>79</v>
      </c>
      <c r="I998" s="3">
        <v>4994</v>
      </c>
      <c r="J998" s="4">
        <v>19.13</v>
      </c>
      <c r="K998" s="2">
        <v>118</v>
      </c>
      <c r="L998" s="2">
        <v>4</v>
      </c>
      <c r="M998" s="3">
        <v>27538</v>
      </c>
    </row>
    <row r="999" spans="1:13">
      <c r="A999" t="s">
        <v>1067</v>
      </c>
      <c r="B999" t="s">
        <v>38</v>
      </c>
      <c r="C999" t="s">
        <v>39</v>
      </c>
      <c r="D999" t="s">
        <v>16</v>
      </c>
      <c r="E999" s="2">
        <v>7</v>
      </c>
      <c r="F999" t="s">
        <v>17</v>
      </c>
      <c r="G999" t="s">
        <v>70</v>
      </c>
      <c r="H999" s="2">
        <v>92</v>
      </c>
      <c r="I999" s="3">
        <v>4006</v>
      </c>
      <c r="J999" s="4">
        <v>4.71</v>
      </c>
      <c r="K999" s="2">
        <v>36</v>
      </c>
      <c r="L999" s="2">
        <v>4</v>
      </c>
      <c r="M999" s="3">
        <v>22318</v>
      </c>
    </row>
    <row r="1000" spans="1:13">
      <c r="A1000" t="s">
        <v>1068</v>
      </c>
      <c r="B1000" t="s">
        <v>25</v>
      </c>
      <c r="C1000" t="s">
        <v>39</v>
      </c>
      <c r="D1000" t="s">
        <v>27</v>
      </c>
      <c r="E1000" s="2">
        <v>13</v>
      </c>
      <c r="F1000" t="s">
        <v>22</v>
      </c>
      <c r="G1000" t="s">
        <v>40</v>
      </c>
      <c r="H1000" s="2">
        <v>84</v>
      </c>
      <c r="I1000" s="3">
        <v>3721</v>
      </c>
      <c r="J1000" s="4">
        <v>8.0399999999999991</v>
      </c>
      <c r="K1000" s="2">
        <v>56</v>
      </c>
      <c r="L1000" s="2">
        <v>4</v>
      </c>
      <c r="M1000" s="3">
        <v>12910</v>
      </c>
    </row>
    <row r="1001" spans="1:13">
      <c r="A1001" t="s">
        <v>1069</v>
      </c>
      <c r="B1001" t="s">
        <v>143</v>
      </c>
      <c r="C1001" t="s">
        <v>21</v>
      </c>
      <c r="D1001" t="s">
        <v>16</v>
      </c>
      <c r="E1001" s="2">
        <v>36</v>
      </c>
      <c r="F1001" t="s">
        <v>17</v>
      </c>
      <c r="G1001" t="s">
        <v>18</v>
      </c>
      <c r="H1001" s="2">
        <v>64</v>
      </c>
      <c r="I1001" s="3">
        <v>7953</v>
      </c>
      <c r="J1001" s="4">
        <v>19.79</v>
      </c>
      <c r="K1001" s="2">
        <v>104</v>
      </c>
      <c r="L1001" s="2">
        <v>3</v>
      </c>
      <c r="M1001" s="3">
        <v>42400</v>
      </c>
    </row>
    <row r="1002" spans="1:13">
      <c r="A1002" t="s">
        <v>1070</v>
      </c>
      <c r="M1002" s="3">
        <f>SUBTOTAL(109,Table1[Revenue_Generated])</f>
        <v>23956217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8F3F9-4956-4A31-9139-4D695D8061CF}">
  <dimension ref="A1:S1003"/>
  <sheetViews>
    <sheetView topLeftCell="N2" workbookViewId="0">
      <selection activeCell="S30" sqref="S30"/>
    </sheetView>
  </sheetViews>
  <sheetFormatPr defaultColWidth="15.6640625" defaultRowHeight="14.4"/>
  <cols>
    <col min="1" max="4" width="15.6640625" customWidth="1"/>
    <col min="5" max="5" width="8.6640625" customWidth="1"/>
    <col min="6" max="7" width="15.6640625" customWidth="1"/>
    <col min="8" max="8" width="15.6640625" style="2" customWidth="1"/>
    <col min="9" max="9" width="15.6640625" style="3" customWidth="1"/>
    <col min="10" max="10" width="15.6640625" style="4" customWidth="1"/>
    <col min="11" max="11" width="15.6640625" style="2" customWidth="1"/>
    <col min="12" max="12" width="15.6640625" customWidth="1"/>
    <col min="13" max="13" width="15.6640625" style="3" customWidth="1"/>
    <col min="14" max="15" width="21" customWidth="1"/>
    <col min="16" max="16" width="7.44140625" customWidth="1"/>
    <col min="17" max="17" width="20" customWidth="1"/>
    <col min="18" max="18" width="15.6640625" customWidth="1"/>
    <col min="19" max="19" width="22.21875" style="23" customWidth="1"/>
    <col min="20" max="20" width="33.77734375" customWidth="1"/>
    <col min="21" max="21" width="15.6640625" customWidth="1"/>
  </cols>
  <sheetData>
    <row r="1" spans="1:19" s="1" customFormat="1" ht="28.8">
      <c r="A1" s="1" t="s">
        <v>0</v>
      </c>
      <c r="B1" s="1" t="s">
        <v>1</v>
      </c>
      <c r="C1" s="1" t="s">
        <v>2</v>
      </c>
      <c r="D1" s="1" t="s">
        <v>1076</v>
      </c>
      <c r="E1" s="1" t="s">
        <v>1077</v>
      </c>
      <c r="F1" s="1" t="s">
        <v>1078</v>
      </c>
      <c r="G1" s="1" t="s">
        <v>1079</v>
      </c>
      <c r="H1" s="5" t="s">
        <v>1080</v>
      </c>
      <c r="I1" s="6" t="s">
        <v>1081</v>
      </c>
      <c r="J1" s="7" t="s">
        <v>1082</v>
      </c>
      <c r="K1" s="8" t="s">
        <v>1083</v>
      </c>
      <c r="L1" s="1" t="s">
        <v>1084</v>
      </c>
      <c r="M1" s="9" t="s">
        <v>1085</v>
      </c>
      <c r="N1" s="1" t="s">
        <v>1086</v>
      </c>
      <c r="O1" s="1" t="s">
        <v>1115</v>
      </c>
      <c r="S1" s="56"/>
    </row>
    <row r="2" spans="1:19">
      <c r="A2" t="s">
        <v>13</v>
      </c>
      <c r="B2" t="s">
        <v>14</v>
      </c>
      <c r="C2" t="s">
        <v>15</v>
      </c>
      <c r="D2" t="s">
        <v>16</v>
      </c>
      <c r="E2" s="2">
        <v>54</v>
      </c>
      <c r="F2" t="s">
        <v>17</v>
      </c>
      <c r="G2" t="s">
        <v>18</v>
      </c>
      <c r="H2" s="2">
        <v>73</v>
      </c>
      <c r="I2" s="3">
        <v>7906</v>
      </c>
      <c r="J2" s="4">
        <v>22.09</v>
      </c>
      <c r="K2" s="2">
        <v>82</v>
      </c>
      <c r="L2" s="2">
        <v>4</v>
      </c>
      <c r="M2" s="3">
        <v>21372</v>
      </c>
      <c r="N2" t="str" cm="1">
        <f t="array" ref="N2">_xlfn.IFS(Table1_36[[#This Row],[Patient Satisfaction Score]]&gt;=83,"High",H2&lt;=75,"Low",TRUE,"Moderate")</f>
        <v>Low</v>
      </c>
      <c r="O2" t="str">
        <f t="shared" ref="O2:O65" si="0">IF(E2&lt;19,"Pediatric","Adult")</f>
        <v>Adult</v>
      </c>
      <c r="Q2" t="s">
        <v>1124</v>
      </c>
      <c r="R2">
        <v>12</v>
      </c>
    </row>
    <row r="3" spans="1:19">
      <c r="A3" t="s">
        <v>19</v>
      </c>
      <c r="B3" t="s">
        <v>20</v>
      </c>
      <c r="C3" t="s">
        <v>21</v>
      </c>
      <c r="D3" t="s">
        <v>16</v>
      </c>
      <c r="E3" s="2">
        <v>50</v>
      </c>
      <c r="F3" t="s">
        <v>22</v>
      </c>
      <c r="G3" t="s">
        <v>23</v>
      </c>
      <c r="H3" s="2">
        <v>72</v>
      </c>
      <c r="I3" s="3">
        <v>5744</v>
      </c>
      <c r="J3" s="4">
        <v>12.9</v>
      </c>
      <c r="K3" s="2">
        <v>110</v>
      </c>
      <c r="L3" s="2">
        <v>3</v>
      </c>
      <c r="M3" s="3">
        <v>24909</v>
      </c>
      <c r="N3" t="str" cm="1">
        <f t="array" ref="N3">_xlfn.IFS(Table1_36[[#This Row],[Patient Satisfaction Score]]&gt;=83,"High",H3&lt;=75,"Low",TRUE,"Moderate")</f>
        <v>Low</v>
      </c>
      <c r="O3" t="str">
        <f t="shared" si="0"/>
        <v>Adult</v>
      </c>
    </row>
    <row r="4" spans="1:19">
      <c r="A4" t="s">
        <v>24</v>
      </c>
      <c r="B4" t="s">
        <v>25</v>
      </c>
      <c r="C4" t="s">
        <v>26</v>
      </c>
      <c r="D4" t="s">
        <v>27</v>
      </c>
      <c r="E4" s="2">
        <v>10</v>
      </c>
      <c r="F4" t="s">
        <v>17</v>
      </c>
      <c r="G4" t="s">
        <v>18</v>
      </c>
      <c r="H4" s="2">
        <v>83</v>
      </c>
      <c r="I4" s="3">
        <v>1993</v>
      </c>
      <c r="J4" s="4">
        <v>6.26</v>
      </c>
      <c r="K4" s="2">
        <v>33</v>
      </c>
      <c r="L4" s="2">
        <v>4</v>
      </c>
      <c r="M4" s="3">
        <v>8163</v>
      </c>
      <c r="N4" t="str" cm="1">
        <f t="array" ref="N4">_xlfn.IFS(Table1_36[[#This Row],[Patient Satisfaction Score]]&gt;=83,"High",H4&lt;=75,"Low",TRUE,"Moderate")</f>
        <v>High</v>
      </c>
      <c r="O4" t="str">
        <f t="shared" si="0"/>
        <v>Pediatric</v>
      </c>
    </row>
    <row r="5" spans="1:19">
      <c r="A5" t="s">
        <v>28</v>
      </c>
      <c r="B5" t="s">
        <v>29</v>
      </c>
      <c r="C5" t="s">
        <v>30</v>
      </c>
      <c r="D5" t="s">
        <v>27</v>
      </c>
      <c r="E5" s="2">
        <v>32</v>
      </c>
      <c r="F5" t="s">
        <v>22</v>
      </c>
      <c r="G5" t="s">
        <v>31</v>
      </c>
      <c r="H5" s="2">
        <v>71</v>
      </c>
      <c r="I5" s="3">
        <v>5291</v>
      </c>
      <c r="J5" s="4">
        <v>19.579999999999998</v>
      </c>
      <c r="K5" s="2">
        <v>121</v>
      </c>
      <c r="L5" s="2">
        <v>3</v>
      </c>
      <c r="M5" s="3">
        <v>16385</v>
      </c>
      <c r="N5" t="str" cm="1">
        <f t="array" ref="N5">_xlfn.IFS(Table1_36[[#This Row],[Patient Satisfaction Score]]&gt;=83,"High",H5&lt;=75,"Low",TRUE,"Moderate")</f>
        <v>Low</v>
      </c>
      <c r="O5" t="str">
        <f t="shared" si="0"/>
        <v>Adult</v>
      </c>
    </row>
    <row r="6" spans="1:19">
      <c r="A6" t="s">
        <v>32</v>
      </c>
      <c r="B6" t="s">
        <v>33</v>
      </c>
      <c r="C6" t="s">
        <v>26</v>
      </c>
      <c r="D6" t="s">
        <v>27</v>
      </c>
      <c r="E6" s="2">
        <v>32</v>
      </c>
      <c r="F6" t="s">
        <v>34</v>
      </c>
      <c r="G6" t="s">
        <v>23</v>
      </c>
      <c r="H6" s="2">
        <v>84</v>
      </c>
      <c r="I6" s="3">
        <v>2199</v>
      </c>
      <c r="J6" s="4">
        <v>12.41</v>
      </c>
      <c r="K6" s="2">
        <v>39</v>
      </c>
      <c r="L6" s="2">
        <v>4</v>
      </c>
      <c r="M6" s="3">
        <v>5762</v>
      </c>
      <c r="N6" t="str" cm="1">
        <f t="array" ref="N6">_xlfn.IFS(Table1_36[[#This Row],[Patient Satisfaction Score]]&gt;=83,"High",H6&lt;=75,"Low",TRUE,"Moderate")</f>
        <v>High</v>
      </c>
      <c r="O6" t="str">
        <f t="shared" si="0"/>
        <v>Adult</v>
      </c>
    </row>
    <row r="7" spans="1:19">
      <c r="A7" t="s">
        <v>35</v>
      </c>
      <c r="B7" t="s">
        <v>36</v>
      </c>
      <c r="C7" t="s">
        <v>21</v>
      </c>
      <c r="D7" t="s">
        <v>27</v>
      </c>
      <c r="E7" s="2">
        <v>40</v>
      </c>
      <c r="F7" t="s">
        <v>17</v>
      </c>
      <c r="G7" t="s">
        <v>18</v>
      </c>
      <c r="H7" s="2">
        <v>87</v>
      </c>
      <c r="I7" s="3">
        <v>4855</v>
      </c>
      <c r="J7" s="4">
        <v>19.37</v>
      </c>
      <c r="K7" s="2">
        <v>97</v>
      </c>
      <c r="L7" s="2">
        <v>5</v>
      </c>
      <c r="M7" s="3">
        <v>15278</v>
      </c>
      <c r="N7" t="str" cm="1">
        <f t="array" ref="N7">_xlfn.IFS(Table1_36[[#This Row],[Patient Satisfaction Score]]&gt;=83,"High",H7&lt;=75,"Low",TRUE,"Moderate")</f>
        <v>High</v>
      </c>
      <c r="O7" t="str">
        <f t="shared" si="0"/>
        <v>Adult</v>
      </c>
      <c r="S7"/>
    </row>
    <row r="8" spans="1:19">
      <c r="A8" t="s">
        <v>37</v>
      </c>
      <c r="B8" t="s">
        <v>38</v>
      </c>
      <c r="C8" t="s">
        <v>39</v>
      </c>
      <c r="D8" t="s">
        <v>27</v>
      </c>
      <c r="E8" s="2">
        <v>10</v>
      </c>
      <c r="F8" t="s">
        <v>17</v>
      </c>
      <c r="G8" t="s">
        <v>40</v>
      </c>
      <c r="H8" s="2">
        <v>76</v>
      </c>
      <c r="I8" s="3">
        <v>2930</v>
      </c>
      <c r="J8" s="4">
        <v>6.8</v>
      </c>
      <c r="K8" s="2">
        <v>63</v>
      </c>
      <c r="L8" s="2">
        <v>4</v>
      </c>
      <c r="M8" s="3">
        <v>15823</v>
      </c>
      <c r="N8" t="str" cm="1">
        <f t="array" ref="N8">_xlfn.IFS(Table1_36[[#This Row],[Patient Satisfaction Score]]&gt;=83,"High",H8&lt;=75,"Low",TRUE,"Moderate")</f>
        <v>Moderate</v>
      </c>
      <c r="O8" t="str">
        <f t="shared" si="0"/>
        <v>Pediatric</v>
      </c>
      <c r="S8"/>
    </row>
    <row r="9" spans="1:19">
      <c r="A9" t="s">
        <v>41</v>
      </c>
      <c r="B9" t="s">
        <v>42</v>
      </c>
      <c r="C9" t="s">
        <v>39</v>
      </c>
      <c r="D9" t="s">
        <v>27</v>
      </c>
      <c r="E9" s="2">
        <v>18</v>
      </c>
      <c r="F9" t="s">
        <v>17</v>
      </c>
      <c r="G9" t="s">
        <v>31</v>
      </c>
      <c r="H9" s="2">
        <v>88</v>
      </c>
      <c r="I9" s="3">
        <v>2321</v>
      </c>
      <c r="J9" s="4">
        <v>8.5399999999999991</v>
      </c>
      <c r="K9" s="2">
        <v>42</v>
      </c>
      <c r="L9" s="2">
        <v>5</v>
      </c>
      <c r="M9" s="3">
        <v>11724</v>
      </c>
      <c r="N9" t="str" cm="1">
        <f t="array" ref="N9">_xlfn.IFS(Table1_36[[#This Row],[Patient Satisfaction Score]]&gt;=83,"High",H9&lt;=75,"Low",TRUE,"Moderate")</f>
        <v>High</v>
      </c>
      <c r="O9" t="str">
        <f t="shared" si="0"/>
        <v>Pediatric</v>
      </c>
      <c r="S9"/>
    </row>
    <row r="10" spans="1:19">
      <c r="A10" t="s">
        <v>43</v>
      </c>
      <c r="B10" t="s">
        <v>44</v>
      </c>
      <c r="C10" t="s">
        <v>45</v>
      </c>
      <c r="D10" t="s">
        <v>27</v>
      </c>
      <c r="E10" s="2">
        <v>28</v>
      </c>
      <c r="F10" t="s">
        <v>34</v>
      </c>
      <c r="G10" t="s">
        <v>23</v>
      </c>
      <c r="H10" s="2">
        <v>71</v>
      </c>
      <c r="I10" s="3">
        <v>9596</v>
      </c>
      <c r="J10" s="4">
        <v>20.9</v>
      </c>
      <c r="K10" s="2">
        <v>88</v>
      </c>
      <c r="L10" s="2">
        <v>3</v>
      </c>
      <c r="M10" s="3">
        <v>34434</v>
      </c>
      <c r="N10" t="str" cm="1">
        <f t="array" ref="N10">_xlfn.IFS(Table1_36[[#This Row],[Patient Satisfaction Score]]&gt;=83,"High",H10&lt;=75,"Low",TRUE,"Moderate")</f>
        <v>Low</v>
      </c>
      <c r="O10" t="str">
        <f t="shared" si="0"/>
        <v>Adult</v>
      </c>
      <c r="S10"/>
    </row>
    <row r="11" spans="1:19">
      <c r="A11" t="s">
        <v>46</v>
      </c>
      <c r="B11" t="s">
        <v>47</v>
      </c>
      <c r="C11" t="s">
        <v>48</v>
      </c>
      <c r="D11" t="s">
        <v>16</v>
      </c>
      <c r="E11" s="2">
        <v>68</v>
      </c>
      <c r="F11" t="s">
        <v>34</v>
      </c>
      <c r="G11" t="s">
        <v>49</v>
      </c>
      <c r="H11" s="2">
        <v>76</v>
      </c>
      <c r="I11" s="3">
        <v>7001</v>
      </c>
      <c r="J11" s="4">
        <v>13.19</v>
      </c>
      <c r="K11" s="2">
        <v>57</v>
      </c>
      <c r="L11" s="2">
        <v>4</v>
      </c>
      <c r="M11" s="3">
        <v>34979</v>
      </c>
      <c r="N11" t="str" cm="1">
        <f t="array" ref="N11">_xlfn.IFS(Table1_36[[#This Row],[Patient Satisfaction Score]]&gt;=83,"High",H11&lt;=75,"Low",TRUE,"Moderate")</f>
        <v>Moderate</v>
      </c>
      <c r="O11" t="str">
        <f t="shared" si="0"/>
        <v>Adult</v>
      </c>
      <c r="S11"/>
    </row>
    <row r="12" spans="1:19">
      <c r="A12" t="s">
        <v>50</v>
      </c>
      <c r="B12" t="s">
        <v>51</v>
      </c>
      <c r="C12" t="s">
        <v>52</v>
      </c>
      <c r="D12" t="s">
        <v>27</v>
      </c>
      <c r="E12" s="2">
        <v>52</v>
      </c>
      <c r="F12" t="s">
        <v>17</v>
      </c>
      <c r="G12" t="s">
        <v>40</v>
      </c>
      <c r="H12" s="2">
        <v>58</v>
      </c>
      <c r="I12" s="3">
        <v>7942</v>
      </c>
      <c r="J12" s="4">
        <v>20.260000000000002</v>
      </c>
      <c r="K12" s="2">
        <v>110</v>
      </c>
      <c r="L12" s="2">
        <v>3</v>
      </c>
      <c r="M12" s="3">
        <v>20561</v>
      </c>
      <c r="N12" t="str" cm="1">
        <f t="array" ref="N12">_xlfn.IFS(Table1_36[[#This Row],[Patient Satisfaction Score]]&gt;=83,"High",H12&lt;=75,"Low",TRUE,"Moderate")</f>
        <v>Low</v>
      </c>
      <c r="O12" t="str">
        <f t="shared" si="0"/>
        <v>Adult</v>
      </c>
      <c r="S12"/>
    </row>
    <row r="13" spans="1:19">
      <c r="A13" t="s">
        <v>53</v>
      </c>
      <c r="B13" t="s">
        <v>54</v>
      </c>
      <c r="C13" t="s">
        <v>15</v>
      </c>
      <c r="D13" t="s">
        <v>16</v>
      </c>
      <c r="E13" s="2">
        <v>16</v>
      </c>
      <c r="F13" t="s">
        <v>34</v>
      </c>
      <c r="G13" t="s">
        <v>40</v>
      </c>
      <c r="H13" s="2">
        <v>71</v>
      </c>
      <c r="I13" s="3">
        <v>8264</v>
      </c>
      <c r="J13" s="4">
        <v>16.079999999999998</v>
      </c>
      <c r="K13" s="2">
        <v>105</v>
      </c>
      <c r="L13" s="2">
        <v>3</v>
      </c>
      <c r="M13" s="3">
        <v>42513</v>
      </c>
      <c r="N13" t="str" cm="1">
        <f t="array" ref="N13">_xlfn.IFS(Table1_36[[#This Row],[Patient Satisfaction Score]]&gt;=83,"High",H13&lt;=75,"Low",TRUE,"Moderate")</f>
        <v>Low</v>
      </c>
      <c r="O13" t="str">
        <f t="shared" si="0"/>
        <v>Pediatric</v>
      </c>
      <c r="S13"/>
    </row>
    <row r="14" spans="1:19">
      <c r="A14" t="s">
        <v>55</v>
      </c>
      <c r="B14" t="s">
        <v>56</v>
      </c>
      <c r="C14" t="s">
        <v>45</v>
      </c>
      <c r="D14" t="s">
        <v>27</v>
      </c>
      <c r="E14" s="2">
        <v>28</v>
      </c>
      <c r="F14" t="s">
        <v>34</v>
      </c>
      <c r="G14" t="s">
        <v>18</v>
      </c>
      <c r="H14" s="2">
        <v>73</v>
      </c>
      <c r="I14" s="3">
        <v>10647</v>
      </c>
      <c r="J14" s="4">
        <v>18.32</v>
      </c>
      <c r="K14" s="2">
        <v>84</v>
      </c>
      <c r="L14" s="2">
        <v>4</v>
      </c>
      <c r="M14" s="3">
        <v>59878</v>
      </c>
      <c r="N14" t="str" cm="1">
        <f t="array" ref="N14">_xlfn.IFS(Table1_36[[#This Row],[Patient Satisfaction Score]]&gt;=83,"High",H14&lt;=75,"Low",TRUE,"Moderate")</f>
        <v>Low</v>
      </c>
      <c r="O14" t="str">
        <f t="shared" si="0"/>
        <v>Adult</v>
      </c>
      <c r="S14"/>
    </row>
    <row r="15" spans="1:19">
      <c r="A15" t="s">
        <v>57</v>
      </c>
      <c r="B15" t="s">
        <v>58</v>
      </c>
      <c r="C15" t="s">
        <v>48</v>
      </c>
      <c r="D15" t="s">
        <v>16</v>
      </c>
      <c r="E15" s="2">
        <v>72</v>
      </c>
      <c r="F15" t="s">
        <v>17</v>
      </c>
      <c r="G15" t="s">
        <v>49</v>
      </c>
      <c r="H15" s="2">
        <v>77</v>
      </c>
      <c r="I15" s="3">
        <v>5628</v>
      </c>
      <c r="J15" s="4">
        <v>14.69</v>
      </c>
      <c r="K15" s="2">
        <v>78</v>
      </c>
      <c r="L15" s="2">
        <v>4</v>
      </c>
      <c r="M15" s="3">
        <v>22483</v>
      </c>
      <c r="N15" t="str" cm="1">
        <f t="array" ref="N15">_xlfn.IFS(Table1_36[[#This Row],[Patient Satisfaction Score]]&gt;=83,"High",H15&lt;=75,"Low",TRUE,"Moderate")</f>
        <v>Moderate</v>
      </c>
      <c r="O15" t="str">
        <f t="shared" si="0"/>
        <v>Adult</v>
      </c>
      <c r="S15"/>
    </row>
    <row r="16" spans="1:19">
      <c r="A16" t="s">
        <v>59</v>
      </c>
      <c r="B16" t="s">
        <v>60</v>
      </c>
      <c r="C16" t="s">
        <v>52</v>
      </c>
      <c r="D16" t="s">
        <v>27</v>
      </c>
      <c r="E16" s="2">
        <v>50</v>
      </c>
      <c r="F16" t="s">
        <v>34</v>
      </c>
      <c r="G16" t="s">
        <v>31</v>
      </c>
      <c r="H16" s="2">
        <v>71</v>
      </c>
      <c r="I16" s="3">
        <v>8008</v>
      </c>
      <c r="J16" s="4">
        <v>13.06</v>
      </c>
      <c r="K16" s="2">
        <v>85</v>
      </c>
      <c r="L16" s="2">
        <v>3</v>
      </c>
      <c r="M16" s="3">
        <v>23379</v>
      </c>
      <c r="N16" t="str" cm="1">
        <f t="array" ref="N16">_xlfn.IFS(Table1_36[[#This Row],[Patient Satisfaction Score]]&gt;=83,"High",H16&lt;=75,"Low",TRUE,"Moderate")</f>
        <v>Low</v>
      </c>
      <c r="O16" t="str">
        <f t="shared" si="0"/>
        <v>Adult</v>
      </c>
      <c r="S16"/>
    </row>
    <row r="17" spans="1:19">
      <c r="A17" t="s">
        <v>61</v>
      </c>
      <c r="B17" t="s">
        <v>62</v>
      </c>
      <c r="C17" t="s">
        <v>52</v>
      </c>
      <c r="D17" t="s">
        <v>16</v>
      </c>
      <c r="E17" s="2">
        <v>54</v>
      </c>
      <c r="F17" t="s">
        <v>17</v>
      </c>
      <c r="G17" t="s">
        <v>18</v>
      </c>
      <c r="H17" s="2">
        <v>78</v>
      </c>
      <c r="I17" s="3">
        <v>8343</v>
      </c>
      <c r="J17" s="4">
        <v>5.91</v>
      </c>
      <c r="K17" s="2">
        <v>76</v>
      </c>
      <c r="L17" s="2">
        <v>4</v>
      </c>
      <c r="M17" s="3">
        <v>49234</v>
      </c>
      <c r="N17" t="str" cm="1">
        <f t="array" ref="N17">_xlfn.IFS(Table1_36[[#This Row],[Patient Satisfaction Score]]&gt;=83,"High",H17&lt;=75,"Low",TRUE,"Moderate")</f>
        <v>Moderate</v>
      </c>
      <c r="O17" t="str">
        <f t="shared" si="0"/>
        <v>Adult</v>
      </c>
      <c r="S17"/>
    </row>
    <row r="18" spans="1:19">
      <c r="A18" t="s">
        <v>63</v>
      </c>
      <c r="B18" t="s">
        <v>64</v>
      </c>
      <c r="C18" t="s">
        <v>30</v>
      </c>
      <c r="D18" t="s">
        <v>27</v>
      </c>
      <c r="E18" s="2">
        <v>6</v>
      </c>
      <c r="F18" t="s">
        <v>17</v>
      </c>
      <c r="G18" t="s">
        <v>18</v>
      </c>
      <c r="H18" s="2">
        <v>66</v>
      </c>
      <c r="I18" s="3">
        <v>3542</v>
      </c>
      <c r="J18" s="4">
        <v>27.85</v>
      </c>
      <c r="K18" s="2">
        <v>109</v>
      </c>
      <c r="L18" s="2">
        <v>3</v>
      </c>
      <c r="M18" s="3">
        <v>10651</v>
      </c>
      <c r="N18" t="str" cm="1">
        <f t="array" ref="N18">_xlfn.IFS(Table1_36[[#This Row],[Patient Satisfaction Score]]&gt;=83,"High",H18&lt;=75,"Low",TRUE,"Moderate")</f>
        <v>Low</v>
      </c>
      <c r="O18" t="str">
        <f t="shared" si="0"/>
        <v>Pediatric</v>
      </c>
    </row>
    <row r="19" spans="1:19">
      <c r="A19" t="s">
        <v>65</v>
      </c>
      <c r="B19" t="s">
        <v>66</v>
      </c>
      <c r="C19" t="s">
        <v>39</v>
      </c>
      <c r="D19" t="s">
        <v>16</v>
      </c>
      <c r="E19" s="2">
        <v>12</v>
      </c>
      <c r="F19" t="s">
        <v>34</v>
      </c>
      <c r="G19" t="s">
        <v>31</v>
      </c>
      <c r="H19" s="2">
        <v>82</v>
      </c>
      <c r="I19" s="3">
        <v>3460</v>
      </c>
      <c r="J19" s="4">
        <v>3.4</v>
      </c>
      <c r="K19" s="2">
        <v>59</v>
      </c>
      <c r="L19" s="2">
        <v>4</v>
      </c>
      <c r="M19" s="3">
        <v>17468</v>
      </c>
      <c r="N19" t="str" cm="1">
        <f t="array" ref="N19">_xlfn.IFS(Table1_36[[#This Row],[Patient Satisfaction Score]]&gt;=83,"High",H19&lt;=75,"Low",TRUE,"Moderate")</f>
        <v>Moderate</v>
      </c>
      <c r="O19" t="str">
        <f t="shared" si="0"/>
        <v>Pediatric</v>
      </c>
    </row>
    <row r="20" spans="1:19">
      <c r="A20" t="s">
        <v>67</v>
      </c>
      <c r="B20" t="s">
        <v>68</v>
      </c>
      <c r="C20" t="s">
        <v>45</v>
      </c>
      <c r="D20" t="s">
        <v>27</v>
      </c>
      <c r="E20" s="2">
        <v>73</v>
      </c>
      <c r="F20" t="s">
        <v>17</v>
      </c>
      <c r="G20" t="s">
        <v>31</v>
      </c>
      <c r="H20" s="2">
        <v>69</v>
      </c>
      <c r="I20" s="3">
        <v>10056</v>
      </c>
      <c r="J20" s="4">
        <v>25.76</v>
      </c>
      <c r="K20" s="2">
        <v>66</v>
      </c>
      <c r="L20" s="2">
        <v>3</v>
      </c>
      <c r="M20" s="3">
        <v>26575</v>
      </c>
      <c r="N20" t="str" cm="1">
        <f t="array" ref="N20">_xlfn.IFS(Table1_36[[#This Row],[Patient Satisfaction Score]]&gt;=83,"High",H20&lt;=75,"Low",TRUE,"Moderate")</f>
        <v>Low</v>
      </c>
      <c r="O20" t="str">
        <f t="shared" si="0"/>
        <v>Adult</v>
      </c>
    </row>
    <row r="21" spans="1:19">
      <c r="A21" t="s">
        <v>69</v>
      </c>
      <c r="B21" t="s">
        <v>47</v>
      </c>
      <c r="C21" t="s">
        <v>48</v>
      </c>
      <c r="D21" t="s">
        <v>27</v>
      </c>
      <c r="E21" s="2">
        <v>79</v>
      </c>
      <c r="F21" t="s">
        <v>22</v>
      </c>
      <c r="G21" t="s">
        <v>70</v>
      </c>
      <c r="H21" s="2">
        <v>81</v>
      </c>
      <c r="I21" s="3">
        <v>6010</v>
      </c>
      <c r="J21" s="4">
        <v>10.54</v>
      </c>
      <c r="K21" s="2">
        <v>92</v>
      </c>
      <c r="L21" s="2">
        <v>4</v>
      </c>
      <c r="M21" s="3">
        <v>18692</v>
      </c>
      <c r="N21" t="str" cm="1">
        <f t="array" ref="N21">_xlfn.IFS(Table1_36[[#This Row],[Patient Satisfaction Score]]&gt;=83,"High",H21&lt;=75,"Low",TRUE,"Moderate")</f>
        <v>Moderate</v>
      </c>
      <c r="O21" t="str">
        <f t="shared" si="0"/>
        <v>Adult</v>
      </c>
    </row>
    <row r="22" spans="1:19">
      <c r="A22" t="s">
        <v>71</v>
      </c>
      <c r="B22" t="s">
        <v>66</v>
      </c>
      <c r="C22" t="s">
        <v>39</v>
      </c>
      <c r="D22" t="s">
        <v>72</v>
      </c>
      <c r="E22" s="2">
        <v>18</v>
      </c>
      <c r="F22" t="s">
        <v>17</v>
      </c>
      <c r="G22" t="s">
        <v>49</v>
      </c>
      <c r="H22" s="2">
        <v>84</v>
      </c>
      <c r="I22" s="3">
        <v>2530</v>
      </c>
      <c r="J22" s="4">
        <v>6.71</v>
      </c>
      <c r="K22" s="2">
        <v>90</v>
      </c>
      <c r="L22" s="2">
        <v>4</v>
      </c>
      <c r="M22" s="3">
        <v>13561</v>
      </c>
      <c r="N22" t="str" cm="1">
        <f t="array" ref="N22">_xlfn.IFS(Table1_36[[#This Row],[Patient Satisfaction Score]]&gt;=83,"High",H22&lt;=75,"Low",TRUE,"Moderate")</f>
        <v>High</v>
      </c>
      <c r="O22" t="str">
        <f t="shared" si="0"/>
        <v>Pediatric</v>
      </c>
    </row>
    <row r="23" spans="1:19">
      <c r="A23" t="s">
        <v>73</v>
      </c>
      <c r="B23" t="s">
        <v>74</v>
      </c>
      <c r="C23" t="s">
        <v>45</v>
      </c>
      <c r="D23" t="s">
        <v>16</v>
      </c>
      <c r="E23" s="2">
        <v>72</v>
      </c>
      <c r="F23" t="s">
        <v>17</v>
      </c>
      <c r="G23" t="s">
        <v>18</v>
      </c>
      <c r="H23" s="2">
        <v>62</v>
      </c>
      <c r="I23" s="3">
        <v>8415</v>
      </c>
      <c r="J23" s="4">
        <v>16.18</v>
      </c>
      <c r="K23" s="2">
        <v>145</v>
      </c>
      <c r="L23" s="2">
        <v>4</v>
      </c>
      <c r="M23" s="3">
        <v>31322</v>
      </c>
      <c r="N23" t="str" cm="1">
        <f t="array" ref="N23">_xlfn.IFS(Table1_36[[#This Row],[Patient Satisfaction Score]]&gt;=83,"High",H23&lt;=75,"Low",TRUE,"Moderate")</f>
        <v>Low</v>
      </c>
      <c r="O23" t="str">
        <f t="shared" si="0"/>
        <v>Adult</v>
      </c>
    </row>
    <row r="24" spans="1:19">
      <c r="A24" t="s">
        <v>75</v>
      </c>
      <c r="B24" t="s">
        <v>36</v>
      </c>
      <c r="C24" t="s">
        <v>21</v>
      </c>
      <c r="D24" t="s">
        <v>16</v>
      </c>
      <c r="E24" s="2">
        <v>55</v>
      </c>
      <c r="F24" t="s">
        <v>34</v>
      </c>
      <c r="G24" t="s">
        <v>70</v>
      </c>
      <c r="H24" s="2">
        <v>72</v>
      </c>
      <c r="I24" s="3">
        <v>6825</v>
      </c>
      <c r="J24" s="4">
        <v>16.39</v>
      </c>
      <c r="K24" s="2">
        <v>95</v>
      </c>
      <c r="L24" s="2">
        <v>4</v>
      </c>
      <c r="M24" s="3">
        <v>20923</v>
      </c>
      <c r="N24" t="str" cm="1">
        <f t="array" ref="N24">_xlfn.IFS(Table1_36[[#This Row],[Patient Satisfaction Score]]&gt;=83,"High",H24&lt;=75,"Low",TRUE,"Moderate")</f>
        <v>Low</v>
      </c>
      <c r="O24" t="str">
        <f t="shared" si="0"/>
        <v>Adult</v>
      </c>
    </row>
    <row r="25" spans="1:19">
      <c r="A25" t="s">
        <v>76</v>
      </c>
      <c r="B25" t="s">
        <v>44</v>
      </c>
      <c r="C25" t="s">
        <v>45</v>
      </c>
      <c r="D25" t="s">
        <v>27</v>
      </c>
      <c r="E25" s="2">
        <v>49</v>
      </c>
      <c r="F25" t="s">
        <v>22</v>
      </c>
      <c r="G25" t="s">
        <v>23</v>
      </c>
      <c r="H25" s="2">
        <v>80</v>
      </c>
      <c r="I25" s="3">
        <v>9314</v>
      </c>
      <c r="J25" s="4">
        <v>12.13</v>
      </c>
      <c r="K25" s="2">
        <v>111</v>
      </c>
      <c r="L25" s="2">
        <v>5</v>
      </c>
      <c r="M25" s="3">
        <v>30595</v>
      </c>
      <c r="N25" t="str" cm="1">
        <f t="array" ref="N25">_xlfn.IFS(Table1_36[[#This Row],[Patient Satisfaction Score]]&gt;=83,"High",H25&lt;=75,"Low",TRUE,"Moderate")</f>
        <v>Moderate</v>
      </c>
      <c r="O25" t="str">
        <f t="shared" si="0"/>
        <v>Adult</v>
      </c>
    </row>
    <row r="26" spans="1:19">
      <c r="A26" t="s">
        <v>77</v>
      </c>
      <c r="B26" t="s">
        <v>78</v>
      </c>
      <c r="C26" t="s">
        <v>15</v>
      </c>
      <c r="D26" t="s">
        <v>16</v>
      </c>
      <c r="E26" s="2">
        <v>25</v>
      </c>
      <c r="F26" t="s">
        <v>22</v>
      </c>
      <c r="G26" t="s">
        <v>40</v>
      </c>
      <c r="H26" s="2">
        <v>81</v>
      </c>
      <c r="I26" s="3">
        <v>8622</v>
      </c>
      <c r="J26" s="4">
        <v>12.72</v>
      </c>
      <c r="K26" s="2">
        <v>100</v>
      </c>
      <c r="L26" s="2">
        <v>4</v>
      </c>
      <c r="M26" s="3">
        <v>41399</v>
      </c>
      <c r="N26" t="str" cm="1">
        <f t="array" ref="N26">_xlfn.IFS(Table1_36[[#This Row],[Patient Satisfaction Score]]&gt;=83,"High",H26&lt;=75,"Low",TRUE,"Moderate")</f>
        <v>Moderate</v>
      </c>
      <c r="O26" t="str">
        <f t="shared" si="0"/>
        <v>Adult</v>
      </c>
    </row>
    <row r="27" spans="1:19">
      <c r="A27" t="s">
        <v>79</v>
      </c>
      <c r="B27" t="s">
        <v>80</v>
      </c>
      <c r="C27" t="s">
        <v>15</v>
      </c>
      <c r="D27" t="s">
        <v>27</v>
      </c>
      <c r="E27" s="2">
        <v>27</v>
      </c>
      <c r="F27" t="s">
        <v>34</v>
      </c>
      <c r="G27" t="s">
        <v>23</v>
      </c>
      <c r="H27" s="2">
        <v>82</v>
      </c>
      <c r="I27" s="3">
        <v>5082</v>
      </c>
      <c r="J27" s="4">
        <v>12.91</v>
      </c>
      <c r="K27" s="2">
        <v>87</v>
      </c>
      <c r="L27" s="2">
        <v>4</v>
      </c>
      <c r="M27" s="3">
        <v>23931</v>
      </c>
      <c r="N27" t="str" cm="1">
        <f t="array" ref="N27">_xlfn.IFS(Table1_36[[#This Row],[Patient Satisfaction Score]]&gt;=83,"High",H27&lt;=75,"Low",TRUE,"Moderate")</f>
        <v>Moderate</v>
      </c>
      <c r="O27" t="str">
        <f t="shared" si="0"/>
        <v>Adult</v>
      </c>
    </row>
    <row r="28" spans="1:19">
      <c r="A28" t="s">
        <v>81</v>
      </c>
      <c r="B28" t="s">
        <v>47</v>
      </c>
      <c r="C28" t="s">
        <v>48</v>
      </c>
      <c r="D28" t="s">
        <v>16</v>
      </c>
      <c r="E28" s="2">
        <v>45</v>
      </c>
      <c r="F28" t="s">
        <v>22</v>
      </c>
      <c r="G28" t="s">
        <v>23</v>
      </c>
      <c r="H28" s="2">
        <v>74</v>
      </c>
      <c r="I28" s="3">
        <v>5682</v>
      </c>
      <c r="J28" s="4">
        <v>22.88</v>
      </c>
      <c r="K28" s="2">
        <v>104</v>
      </c>
      <c r="L28" s="2">
        <v>3</v>
      </c>
      <c r="M28" s="3">
        <v>19788</v>
      </c>
      <c r="N28" t="str" cm="1">
        <f t="array" ref="N28">_xlfn.IFS(Table1_36[[#This Row],[Patient Satisfaction Score]]&gt;=83,"High",H28&lt;=75,"Low",TRUE,"Moderate")</f>
        <v>Low</v>
      </c>
      <c r="O28" t="str">
        <f t="shared" si="0"/>
        <v>Adult</v>
      </c>
    </row>
    <row r="29" spans="1:19">
      <c r="A29" t="s">
        <v>82</v>
      </c>
      <c r="B29" t="s">
        <v>47</v>
      </c>
      <c r="C29" t="s">
        <v>48</v>
      </c>
      <c r="D29" t="s">
        <v>16</v>
      </c>
      <c r="E29" s="2">
        <v>45</v>
      </c>
      <c r="F29" t="s">
        <v>17</v>
      </c>
      <c r="G29" t="s">
        <v>40</v>
      </c>
      <c r="H29" s="2">
        <v>76</v>
      </c>
      <c r="I29" s="3">
        <v>5851</v>
      </c>
      <c r="J29" s="4">
        <v>14.96</v>
      </c>
      <c r="K29" s="2">
        <v>72</v>
      </c>
      <c r="L29" s="2">
        <v>4</v>
      </c>
      <c r="M29" s="3">
        <v>22513</v>
      </c>
      <c r="N29" t="str" cm="1">
        <f t="array" ref="N29">_xlfn.IFS(Table1_36[[#This Row],[Patient Satisfaction Score]]&gt;=83,"High",H29&lt;=75,"Low",TRUE,"Moderate")</f>
        <v>Moderate</v>
      </c>
      <c r="O29" t="str">
        <f t="shared" si="0"/>
        <v>Adult</v>
      </c>
    </row>
    <row r="30" spans="1:19">
      <c r="A30" t="s">
        <v>83</v>
      </c>
      <c r="B30" t="s">
        <v>84</v>
      </c>
      <c r="C30" t="s">
        <v>21</v>
      </c>
      <c r="D30" t="s">
        <v>16</v>
      </c>
      <c r="E30" s="2">
        <v>36</v>
      </c>
      <c r="F30" t="s">
        <v>22</v>
      </c>
      <c r="G30" t="s">
        <v>23</v>
      </c>
      <c r="H30" s="2">
        <v>77</v>
      </c>
      <c r="I30" s="3">
        <v>6778</v>
      </c>
      <c r="J30" s="4">
        <v>10.02</v>
      </c>
      <c r="K30" s="2">
        <v>107</v>
      </c>
      <c r="L30" s="2">
        <v>4</v>
      </c>
      <c r="M30" s="3">
        <v>30468</v>
      </c>
      <c r="N30" t="str" cm="1">
        <f t="array" ref="N30">_xlfn.IFS(Table1_36[[#This Row],[Patient Satisfaction Score]]&gt;=83,"High",H30&lt;=75,"Low",TRUE,"Moderate")</f>
        <v>Moderate</v>
      </c>
      <c r="O30" t="str">
        <f t="shared" si="0"/>
        <v>Adult</v>
      </c>
    </row>
    <row r="31" spans="1:19">
      <c r="A31" t="s">
        <v>85</v>
      </c>
      <c r="B31" t="s">
        <v>54</v>
      </c>
      <c r="C31" t="s">
        <v>39</v>
      </c>
      <c r="D31" t="s">
        <v>27</v>
      </c>
      <c r="E31" s="2">
        <v>13</v>
      </c>
      <c r="F31" t="s">
        <v>34</v>
      </c>
      <c r="G31" t="s">
        <v>40</v>
      </c>
      <c r="H31" s="2">
        <v>90</v>
      </c>
      <c r="I31" s="3">
        <v>3634</v>
      </c>
      <c r="J31" s="4">
        <v>8.2100000000000009</v>
      </c>
      <c r="K31" s="2">
        <v>43</v>
      </c>
      <c r="L31" s="2">
        <v>5</v>
      </c>
      <c r="M31" s="3">
        <v>18019</v>
      </c>
      <c r="N31" t="str" cm="1">
        <f t="array" ref="N31">_xlfn.IFS(Table1_36[[#This Row],[Patient Satisfaction Score]]&gt;=83,"High",H31&lt;=75,"Low",TRUE,"Moderate")</f>
        <v>High</v>
      </c>
      <c r="O31" t="str">
        <f t="shared" si="0"/>
        <v>Pediatric</v>
      </c>
    </row>
    <row r="32" spans="1:19">
      <c r="A32" t="s">
        <v>86</v>
      </c>
      <c r="B32" t="s">
        <v>51</v>
      </c>
      <c r="C32" t="s">
        <v>52</v>
      </c>
      <c r="D32" t="s">
        <v>27</v>
      </c>
      <c r="E32" s="2">
        <v>17</v>
      </c>
      <c r="F32" t="s">
        <v>22</v>
      </c>
      <c r="G32" t="s">
        <v>23</v>
      </c>
      <c r="H32" s="2">
        <v>82</v>
      </c>
      <c r="I32" s="3">
        <v>8824</v>
      </c>
      <c r="J32" s="4">
        <v>16.059999999999999</v>
      </c>
      <c r="K32" s="2">
        <v>61</v>
      </c>
      <c r="L32" s="2">
        <v>5</v>
      </c>
      <c r="M32" s="3">
        <v>46714</v>
      </c>
      <c r="N32" t="str" cm="1">
        <f t="array" ref="N32">_xlfn.IFS(Table1_36[[#This Row],[Patient Satisfaction Score]]&gt;=83,"High",H32&lt;=75,"Low",TRUE,"Moderate")</f>
        <v>Moderate</v>
      </c>
      <c r="O32" t="str">
        <f t="shared" si="0"/>
        <v>Pediatric</v>
      </c>
    </row>
    <row r="33" spans="1:15">
      <c r="A33" t="s">
        <v>87</v>
      </c>
      <c r="B33" t="s">
        <v>88</v>
      </c>
      <c r="C33" t="s">
        <v>15</v>
      </c>
      <c r="D33" t="s">
        <v>16</v>
      </c>
      <c r="E33" s="2">
        <v>71</v>
      </c>
      <c r="F33" t="s">
        <v>22</v>
      </c>
      <c r="G33" t="s">
        <v>18</v>
      </c>
      <c r="H33" s="2">
        <v>68</v>
      </c>
      <c r="I33" s="3">
        <v>7325</v>
      </c>
      <c r="J33" s="4">
        <v>16.7</v>
      </c>
      <c r="K33" s="2">
        <v>104</v>
      </c>
      <c r="L33" s="2">
        <v>3</v>
      </c>
      <c r="M33" s="3">
        <v>20721</v>
      </c>
      <c r="N33" t="str" cm="1">
        <f t="array" ref="N33">_xlfn.IFS(Table1_36[[#This Row],[Patient Satisfaction Score]]&gt;=83,"High",H33&lt;=75,"Low",TRUE,"Moderate")</f>
        <v>Low</v>
      </c>
      <c r="O33" t="str">
        <f t="shared" si="0"/>
        <v>Adult</v>
      </c>
    </row>
    <row r="34" spans="1:15">
      <c r="A34" t="s">
        <v>89</v>
      </c>
      <c r="B34" t="s">
        <v>36</v>
      </c>
      <c r="C34" t="s">
        <v>21</v>
      </c>
      <c r="D34" t="s">
        <v>16</v>
      </c>
      <c r="E34" s="2">
        <v>35</v>
      </c>
      <c r="F34" t="s">
        <v>17</v>
      </c>
      <c r="G34" t="s">
        <v>40</v>
      </c>
      <c r="H34" s="2">
        <v>83</v>
      </c>
      <c r="I34" s="3">
        <v>9509</v>
      </c>
      <c r="J34" s="4">
        <v>7.53</v>
      </c>
      <c r="K34" s="2">
        <v>91</v>
      </c>
      <c r="L34" s="2">
        <v>4</v>
      </c>
      <c r="M34" s="3">
        <v>24787</v>
      </c>
      <c r="N34" t="str" cm="1">
        <f t="array" ref="N34">_xlfn.IFS(Table1_36[[#This Row],[Patient Satisfaction Score]]&gt;=83,"High",H34&lt;=75,"Low",TRUE,"Moderate")</f>
        <v>High</v>
      </c>
      <c r="O34" t="str">
        <f t="shared" si="0"/>
        <v>Adult</v>
      </c>
    </row>
    <row r="35" spans="1:15">
      <c r="A35" t="s">
        <v>90</v>
      </c>
      <c r="B35" t="s">
        <v>33</v>
      </c>
      <c r="C35" t="s">
        <v>26</v>
      </c>
      <c r="D35" t="s">
        <v>16</v>
      </c>
      <c r="E35" s="2">
        <v>27</v>
      </c>
      <c r="F35" t="s">
        <v>22</v>
      </c>
      <c r="G35" t="s">
        <v>31</v>
      </c>
      <c r="H35" s="2">
        <v>90</v>
      </c>
      <c r="I35" s="3">
        <v>3280</v>
      </c>
      <c r="J35" s="4">
        <v>5.51</v>
      </c>
      <c r="K35" s="2">
        <v>38</v>
      </c>
      <c r="L35" s="2">
        <v>4</v>
      </c>
      <c r="M35" s="3">
        <v>9179</v>
      </c>
      <c r="N35" t="str" cm="1">
        <f t="array" ref="N35">_xlfn.IFS(Table1_36[[#This Row],[Patient Satisfaction Score]]&gt;=83,"High",H35&lt;=75,"Low",TRUE,"Moderate")</f>
        <v>High</v>
      </c>
      <c r="O35" t="str">
        <f t="shared" si="0"/>
        <v>Adult</v>
      </c>
    </row>
    <row r="36" spans="1:15">
      <c r="A36" t="s">
        <v>91</v>
      </c>
      <c r="B36" t="s">
        <v>62</v>
      </c>
      <c r="C36" t="s">
        <v>52</v>
      </c>
      <c r="D36" t="s">
        <v>27</v>
      </c>
      <c r="E36" s="2">
        <v>45</v>
      </c>
      <c r="F36" t="s">
        <v>22</v>
      </c>
      <c r="G36" t="s">
        <v>31</v>
      </c>
      <c r="H36" s="2">
        <v>68</v>
      </c>
      <c r="I36" s="3">
        <v>11430</v>
      </c>
      <c r="J36" s="4">
        <v>16.54</v>
      </c>
      <c r="K36" s="2">
        <v>66</v>
      </c>
      <c r="L36" s="2">
        <v>3</v>
      </c>
      <c r="M36" s="3">
        <v>60386</v>
      </c>
      <c r="N36" t="str" cm="1">
        <f t="array" ref="N36">_xlfn.IFS(Table1_36[[#This Row],[Patient Satisfaction Score]]&gt;=83,"High",H36&lt;=75,"Low",TRUE,"Moderate")</f>
        <v>Low</v>
      </c>
      <c r="O36" t="str">
        <f t="shared" si="0"/>
        <v>Adult</v>
      </c>
    </row>
    <row r="37" spans="1:15">
      <c r="A37" t="s">
        <v>92</v>
      </c>
      <c r="B37" t="s">
        <v>54</v>
      </c>
      <c r="C37" t="s">
        <v>39</v>
      </c>
      <c r="D37" t="s">
        <v>16</v>
      </c>
      <c r="E37" s="2">
        <v>12</v>
      </c>
      <c r="F37" t="s">
        <v>34</v>
      </c>
      <c r="G37" t="s">
        <v>23</v>
      </c>
      <c r="H37" s="2">
        <v>83</v>
      </c>
      <c r="I37" s="3">
        <v>2536</v>
      </c>
      <c r="J37" s="4">
        <v>14.65</v>
      </c>
      <c r="K37" s="2">
        <v>26</v>
      </c>
      <c r="L37" s="2">
        <v>4</v>
      </c>
      <c r="M37" s="3">
        <v>8561</v>
      </c>
      <c r="N37" t="str" cm="1">
        <f t="array" ref="N37">_xlfn.IFS(Table1_36[[#This Row],[Patient Satisfaction Score]]&gt;=83,"High",H37&lt;=75,"Low",TRUE,"Moderate")</f>
        <v>High</v>
      </c>
      <c r="O37" t="str">
        <f t="shared" si="0"/>
        <v>Pediatric</v>
      </c>
    </row>
    <row r="38" spans="1:15">
      <c r="A38" t="s">
        <v>93</v>
      </c>
      <c r="B38" t="s">
        <v>60</v>
      </c>
      <c r="C38" t="s">
        <v>52</v>
      </c>
      <c r="D38" t="s">
        <v>27</v>
      </c>
      <c r="E38" s="2">
        <v>80</v>
      </c>
      <c r="F38" t="s">
        <v>17</v>
      </c>
      <c r="G38" t="s">
        <v>49</v>
      </c>
      <c r="H38" s="2">
        <v>86</v>
      </c>
      <c r="I38" s="3">
        <v>5982</v>
      </c>
      <c r="J38" s="4">
        <v>17.670000000000002</v>
      </c>
      <c r="K38" s="2">
        <v>88</v>
      </c>
      <c r="L38" s="2">
        <v>5</v>
      </c>
      <c r="M38" s="3">
        <v>23740</v>
      </c>
      <c r="N38" t="str" cm="1">
        <f t="array" ref="N38">_xlfn.IFS(Table1_36[[#This Row],[Patient Satisfaction Score]]&gt;=83,"High",H38&lt;=75,"Low",TRUE,"Moderate")</f>
        <v>High</v>
      </c>
      <c r="O38" t="str">
        <f t="shared" si="0"/>
        <v>Adult</v>
      </c>
    </row>
    <row r="39" spans="1:15">
      <c r="A39" t="s">
        <v>94</v>
      </c>
      <c r="B39" t="s">
        <v>95</v>
      </c>
      <c r="C39" t="s">
        <v>52</v>
      </c>
      <c r="D39" t="s">
        <v>27</v>
      </c>
      <c r="E39" s="2">
        <v>30</v>
      </c>
      <c r="F39" t="s">
        <v>17</v>
      </c>
      <c r="G39" t="s">
        <v>31</v>
      </c>
      <c r="H39" s="2">
        <v>77</v>
      </c>
      <c r="I39" s="3">
        <v>7620</v>
      </c>
      <c r="J39" s="4">
        <v>21.49</v>
      </c>
      <c r="K39" s="2">
        <v>54</v>
      </c>
      <c r="L39" s="2">
        <v>3</v>
      </c>
      <c r="M39" s="3">
        <v>31677</v>
      </c>
      <c r="N39" t="str" cm="1">
        <f t="array" ref="N39">_xlfn.IFS(Table1_36[[#This Row],[Patient Satisfaction Score]]&gt;=83,"High",H39&lt;=75,"Low",TRUE,"Moderate")</f>
        <v>Moderate</v>
      </c>
      <c r="O39" t="str">
        <f t="shared" si="0"/>
        <v>Adult</v>
      </c>
    </row>
    <row r="40" spans="1:15">
      <c r="A40" t="s">
        <v>96</v>
      </c>
      <c r="B40" t="s">
        <v>97</v>
      </c>
      <c r="C40" t="s">
        <v>30</v>
      </c>
      <c r="D40" t="s">
        <v>27</v>
      </c>
      <c r="E40" s="2">
        <v>39</v>
      </c>
      <c r="F40" t="s">
        <v>17</v>
      </c>
      <c r="G40" t="s">
        <v>40</v>
      </c>
      <c r="H40" s="2">
        <v>76</v>
      </c>
      <c r="I40" s="3">
        <v>4642</v>
      </c>
      <c r="J40" s="4">
        <v>12.28</v>
      </c>
      <c r="K40" s="2">
        <v>85</v>
      </c>
      <c r="L40" s="2">
        <v>4</v>
      </c>
      <c r="M40" s="3">
        <v>17691</v>
      </c>
      <c r="N40" t="str" cm="1">
        <f t="array" ref="N40">_xlfn.IFS(Table1_36[[#This Row],[Patient Satisfaction Score]]&gt;=83,"High",H40&lt;=75,"Low",TRUE,"Moderate")</f>
        <v>Moderate</v>
      </c>
      <c r="O40" t="str">
        <f t="shared" si="0"/>
        <v>Adult</v>
      </c>
    </row>
    <row r="41" spans="1:15">
      <c r="A41" t="s">
        <v>98</v>
      </c>
      <c r="B41" t="s">
        <v>78</v>
      </c>
      <c r="C41" t="s">
        <v>15</v>
      </c>
      <c r="D41" t="s">
        <v>27</v>
      </c>
      <c r="E41" s="2">
        <v>46</v>
      </c>
      <c r="F41" t="s">
        <v>22</v>
      </c>
      <c r="G41" t="s">
        <v>70</v>
      </c>
      <c r="H41" s="2">
        <v>68</v>
      </c>
      <c r="I41" s="3">
        <v>7566</v>
      </c>
      <c r="J41" s="4">
        <v>19.64</v>
      </c>
      <c r="K41" s="2">
        <v>131</v>
      </c>
      <c r="L41" s="2">
        <v>3</v>
      </c>
      <c r="M41" s="3">
        <v>34426</v>
      </c>
      <c r="N41" t="str" cm="1">
        <f t="array" ref="N41">_xlfn.IFS(Table1_36[[#This Row],[Patient Satisfaction Score]]&gt;=83,"High",H41&lt;=75,"Low",TRUE,"Moderate")</f>
        <v>Low</v>
      </c>
      <c r="O41" t="str">
        <f t="shared" si="0"/>
        <v>Adult</v>
      </c>
    </row>
    <row r="42" spans="1:15">
      <c r="A42" t="s">
        <v>99</v>
      </c>
      <c r="B42" t="s">
        <v>95</v>
      </c>
      <c r="C42" t="s">
        <v>52</v>
      </c>
      <c r="D42" t="s">
        <v>27</v>
      </c>
      <c r="E42" s="2">
        <v>47</v>
      </c>
      <c r="F42" t="s">
        <v>22</v>
      </c>
      <c r="G42" t="s">
        <v>49</v>
      </c>
      <c r="H42" s="2">
        <v>90</v>
      </c>
      <c r="I42" s="3">
        <v>10537</v>
      </c>
      <c r="J42" s="4">
        <v>9.0500000000000007</v>
      </c>
      <c r="K42" s="2">
        <v>93</v>
      </c>
      <c r="L42" s="2">
        <v>4</v>
      </c>
      <c r="M42" s="3">
        <v>61063</v>
      </c>
      <c r="N42" t="str" cm="1">
        <f t="array" ref="N42">_xlfn.IFS(Table1_36[[#This Row],[Patient Satisfaction Score]]&gt;=83,"High",H42&lt;=75,"Low",TRUE,"Moderate")</f>
        <v>High</v>
      </c>
      <c r="O42" t="str">
        <f t="shared" si="0"/>
        <v>Adult</v>
      </c>
    </row>
    <row r="43" spans="1:15">
      <c r="A43" t="s">
        <v>100</v>
      </c>
      <c r="B43" t="s">
        <v>68</v>
      </c>
      <c r="C43" t="s">
        <v>45</v>
      </c>
      <c r="D43" t="s">
        <v>16</v>
      </c>
      <c r="E43" s="2">
        <v>53</v>
      </c>
      <c r="F43" t="s">
        <v>34</v>
      </c>
      <c r="G43" t="s">
        <v>18</v>
      </c>
      <c r="H43" s="2">
        <v>79</v>
      </c>
      <c r="I43" s="3">
        <v>8124</v>
      </c>
      <c r="J43" s="4">
        <v>17.829999999999998</v>
      </c>
      <c r="K43" s="2">
        <v>92</v>
      </c>
      <c r="L43" s="2">
        <v>4</v>
      </c>
      <c r="M43" s="3">
        <v>20971</v>
      </c>
      <c r="N43" t="str" cm="1">
        <f t="array" ref="N43">_xlfn.IFS(Table1_36[[#This Row],[Patient Satisfaction Score]]&gt;=83,"High",H43&lt;=75,"Low",TRUE,"Moderate")</f>
        <v>Moderate</v>
      </c>
      <c r="O43" t="str">
        <f t="shared" si="0"/>
        <v>Adult</v>
      </c>
    </row>
    <row r="44" spans="1:15">
      <c r="A44" t="s">
        <v>101</v>
      </c>
      <c r="B44" t="s">
        <v>14</v>
      </c>
      <c r="C44" t="s">
        <v>15</v>
      </c>
      <c r="D44" t="s">
        <v>16</v>
      </c>
      <c r="E44" s="2">
        <v>33</v>
      </c>
      <c r="F44" t="s">
        <v>34</v>
      </c>
      <c r="G44" t="s">
        <v>70</v>
      </c>
      <c r="H44" s="2">
        <v>80</v>
      </c>
      <c r="I44" s="3">
        <v>7499</v>
      </c>
      <c r="J44" s="4">
        <v>13.23</v>
      </c>
      <c r="K44" s="2">
        <v>101</v>
      </c>
      <c r="L44" s="2">
        <v>4</v>
      </c>
      <c r="M44" s="3">
        <v>38040</v>
      </c>
      <c r="N44" t="str" cm="1">
        <f t="array" ref="N44">_xlfn.IFS(Table1_36[[#This Row],[Patient Satisfaction Score]]&gt;=83,"High",H44&lt;=75,"Low",TRUE,"Moderate")</f>
        <v>Moderate</v>
      </c>
      <c r="O44" t="str">
        <f t="shared" si="0"/>
        <v>Adult</v>
      </c>
    </row>
    <row r="45" spans="1:15">
      <c r="A45" t="s">
        <v>102</v>
      </c>
      <c r="B45" t="s">
        <v>103</v>
      </c>
      <c r="C45" t="s">
        <v>26</v>
      </c>
      <c r="D45" t="s">
        <v>16</v>
      </c>
      <c r="E45" s="2">
        <v>32</v>
      </c>
      <c r="F45" t="s">
        <v>17</v>
      </c>
      <c r="G45" t="s">
        <v>31</v>
      </c>
      <c r="H45" s="2">
        <v>77</v>
      </c>
      <c r="I45" s="3">
        <v>2775</v>
      </c>
      <c r="J45" s="4">
        <v>2.16</v>
      </c>
      <c r="K45" s="2">
        <v>62</v>
      </c>
      <c r="L45" s="2">
        <v>3</v>
      </c>
      <c r="M45" s="3">
        <v>14478</v>
      </c>
      <c r="N45" t="str" cm="1">
        <f t="array" ref="N45">_xlfn.IFS(Table1_36[[#This Row],[Patient Satisfaction Score]]&gt;=83,"High",H45&lt;=75,"Low",TRUE,"Moderate")</f>
        <v>Moderate</v>
      </c>
      <c r="O45" t="str">
        <f t="shared" si="0"/>
        <v>Adult</v>
      </c>
    </row>
    <row r="46" spans="1:15">
      <c r="A46" t="s">
        <v>104</v>
      </c>
      <c r="B46" t="s">
        <v>14</v>
      </c>
      <c r="C46" t="s">
        <v>15</v>
      </c>
      <c r="D46" t="s">
        <v>27</v>
      </c>
      <c r="E46" s="2">
        <v>55</v>
      </c>
      <c r="F46" t="s">
        <v>34</v>
      </c>
      <c r="G46" t="s">
        <v>23</v>
      </c>
      <c r="H46" s="2">
        <v>79</v>
      </c>
      <c r="I46" s="3">
        <v>6695</v>
      </c>
      <c r="J46" s="4">
        <v>20.399999999999999</v>
      </c>
      <c r="K46" s="2">
        <v>80</v>
      </c>
      <c r="L46" s="2">
        <v>4</v>
      </c>
      <c r="M46" s="3">
        <v>19153</v>
      </c>
      <c r="N46" t="str" cm="1">
        <f t="array" ref="N46">_xlfn.IFS(Table1_36[[#This Row],[Patient Satisfaction Score]]&gt;=83,"High",H46&lt;=75,"Low",TRUE,"Moderate")</f>
        <v>Moderate</v>
      </c>
      <c r="O46" t="str">
        <f t="shared" si="0"/>
        <v>Adult</v>
      </c>
    </row>
    <row r="47" spans="1:15">
      <c r="A47" t="s">
        <v>105</v>
      </c>
      <c r="B47" t="s">
        <v>60</v>
      </c>
      <c r="C47" t="s">
        <v>52</v>
      </c>
      <c r="D47" t="s">
        <v>27</v>
      </c>
      <c r="E47" s="2">
        <v>45</v>
      </c>
      <c r="F47" t="s">
        <v>34</v>
      </c>
      <c r="G47" t="s">
        <v>18</v>
      </c>
      <c r="H47" s="2">
        <v>73</v>
      </c>
      <c r="I47" s="3">
        <v>7162</v>
      </c>
      <c r="J47" s="4">
        <v>17.8</v>
      </c>
      <c r="K47" s="2">
        <v>98</v>
      </c>
      <c r="L47" s="2">
        <v>4</v>
      </c>
      <c r="M47" s="3">
        <v>18176</v>
      </c>
      <c r="N47" t="str" cm="1">
        <f t="array" ref="N47">_xlfn.IFS(Table1_36[[#This Row],[Patient Satisfaction Score]]&gt;=83,"High",H47&lt;=75,"Low",TRUE,"Moderate")</f>
        <v>Low</v>
      </c>
      <c r="O47" t="str">
        <f t="shared" si="0"/>
        <v>Adult</v>
      </c>
    </row>
    <row r="48" spans="1:15">
      <c r="A48" t="s">
        <v>106</v>
      </c>
      <c r="B48" t="s">
        <v>33</v>
      </c>
      <c r="C48" t="s">
        <v>26</v>
      </c>
      <c r="D48" t="s">
        <v>27</v>
      </c>
      <c r="E48" s="2">
        <v>51</v>
      </c>
      <c r="F48" t="s">
        <v>17</v>
      </c>
      <c r="G48" t="s">
        <v>23</v>
      </c>
      <c r="H48" s="2">
        <v>82</v>
      </c>
      <c r="I48" s="3">
        <v>2548</v>
      </c>
      <c r="J48" s="4">
        <v>7.38</v>
      </c>
      <c r="K48" s="2">
        <v>42</v>
      </c>
      <c r="L48" s="2">
        <v>5</v>
      </c>
      <c r="M48" s="3">
        <v>8984</v>
      </c>
      <c r="N48" t="str" cm="1">
        <f t="array" ref="N48">_xlfn.IFS(Table1_36[[#This Row],[Patient Satisfaction Score]]&gt;=83,"High",H48&lt;=75,"Low",TRUE,"Moderate")</f>
        <v>Moderate</v>
      </c>
      <c r="O48" t="str">
        <f t="shared" si="0"/>
        <v>Adult</v>
      </c>
    </row>
    <row r="49" spans="1:15">
      <c r="A49" t="s">
        <v>107</v>
      </c>
      <c r="B49" t="s">
        <v>44</v>
      </c>
      <c r="C49" t="s">
        <v>45</v>
      </c>
      <c r="D49" t="s">
        <v>27</v>
      </c>
      <c r="E49" s="2">
        <v>69</v>
      </c>
      <c r="F49" t="s">
        <v>22</v>
      </c>
      <c r="G49" t="s">
        <v>49</v>
      </c>
      <c r="H49" s="2">
        <v>73</v>
      </c>
      <c r="I49" s="3">
        <v>10387</v>
      </c>
      <c r="J49" s="4">
        <v>19.670000000000002</v>
      </c>
      <c r="K49" s="2">
        <v>71</v>
      </c>
      <c r="L49" s="2">
        <v>4</v>
      </c>
      <c r="M49" s="3">
        <v>45945</v>
      </c>
      <c r="N49" t="str" cm="1">
        <f t="array" ref="N49">_xlfn.IFS(Table1_36[[#This Row],[Patient Satisfaction Score]]&gt;=83,"High",H49&lt;=75,"Low",TRUE,"Moderate")</f>
        <v>Low</v>
      </c>
      <c r="O49" t="str">
        <f t="shared" si="0"/>
        <v>Adult</v>
      </c>
    </row>
    <row r="50" spans="1:15">
      <c r="A50" t="s">
        <v>108</v>
      </c>
      <c r="B50" t="s">
        <v>109</v>
      </c>
      <c r="C50" t="s">
        <v>30</v>
      </c>
      <c r="D50" t="s">
        <v>16</v>
      </c>
      <c r="E50" s="2">
        <v>64</v>
      </c>
      <c r="F50" t="s">
        <v>17</v>
      </c>
      <c r="G50" t="s">
        <v>18</v>
      </c>
      <c r="H50" s="2">
        <v>75</v>
      </c>
      <c r="I50" s="3">
        <v>2922</v>
      </c>
      <c r="J50" s="4">
        <v>16.71</v>
      </c>
      <c r="K50" s="2">
        <v>107</v>
      </c>
      <c r="L50" s="2">
        <v>4</v>
      </c>
      <c r="M50" s="3">
        <v>13627</v>
      </c>
      <c r="N50" t="str" cm="1">
        <f t="array" ref="N50">_xlfn.IFS(Table1_36[[#This Row],[Patient Satisfaction Score]]&gt;=83,"High",H50&lt;=75,"Low",TRUE,"Moderate")</f>
        <v>Low</v>
      </c>
      <c r="O50" t="str">
        <f t="shared" si="0"/>
        <v>Adult</v>
      </c>
    </row>
    <row r="51" spans="1:15">
      <c r="A51" t="s">
        <v>110</v>
      </c>
      <c r="B51" t="s">
        <v>103</v>
      </c>
      <c r="C51" t="s">
        <v>26</v>
      </c>
      <c r="D51" t="s">
        <v>16</v>
      </c>
      <c r="E51" s="2">
        <v>36</v>
      </c>
      <c r="F51" t="s">
        <v>34</v>
      </c>
      <c r="G51" t="s">
        <v>23</v>
      </c>
      <c r="H51" s="2">
        <v>90</v>
      </c>
      <c r="I51" s="3">
        <v>2779</v>
      </c>
      <c r="J51" s="4">
        <v>8.49</v>
      </c>
      <c r="K51" s="2">
        <v>49</v>
      </c>
      <c r="L51" s="2">
        <v>4</v>
      </c>
      <c r="M51" s="3">
        <v>16160</v>
      </c>
      <c r="N51" t="str" cm="1">
        <f t="array" ref="N51">_xlfn.IFS(Table1_36[[#This Row],[Patient Satisfaction Score]]&gt;=83,"High",H51&lt;=75,"Low",TRUE,"Moderate")</f>
        <v>High</v>
      </c>
      <c r="O51" t="str">
        <f t="shared" si="0"/>
        <v>Adult</v>
      </c>
    </row>
    <row r="52" spans="1:15">
      <c r="A52" t="s">
        <v>111</v>
      </c>
      <c r="B52" t="s">
        <v>36</v>
      </c>
      <c r="C52" t="s">
        <v>21</v>
      </c>
      <c r="D52" t="s">
        <v>27</v>
      </c>
      <c r="E52" s="2">
        <v>30</v>
      </c>
      <c r="F52" t="s">
        <v>34</v>
      </c>
      <c r="G52" t="s">
        <v>40</v>
      </c>
      <c r="H52" s="2">
        <v>78</v>
      </c>
      <c r="I52" s="3">
        <v>6904</v>
      </c>
      <c r="J52" s="4">
        <v>20.9</v>
      </c>
      <c r="K52" s="2">
        <v>85</v>
      </c>
      <c r="L52" s="2">
        <v>4</v>
      </c>
      <c r="M52" s="3">
        <v>19946</v>
      </c>
      <c r="N52" t="str" cm="1">
        <f t="array" ref="N52">_xlfn.IFS(Table1_36[[#This Row],[Patient Satisfaction Score]]&gt;=83,"High",H52&lt;=75,"Low",TRUE,"Moderate")</f>
        <v>Moderate</v>
      </c>
      <c r="O52" t="str">
        <f t="shared" si="0"/>
        <v>Adult</v>
      </c>
    </row>
    <row r="53" spans="1:15">
      <c r="A53" t="s">
        <v>112</v>
      </c>
      <c r="B53" t="s">
        <v>56</v>
      </c>
      <c r="C53" t="s">
        <v>45</v>
      </c>
      <c r="D53" t="s">
        <v>27</v>
      </c>
      <c r="E53" s="2">
        <v>38</v>
      </c>
      <c r="F53" t="s">
        <v>22</v>
      </c>
      <c r="G53" t="s">
        <v>49</v>
      </c>
      <c r="H53" s="2">
        <v>81</v>
      </c>
      <c r="I53" s="3">
        <v>7771</v>
      </c>
      <c r="J53" s="4">
        <v>16.809999999999999</v>
      </c>
      <c r="K53" s="2">
        <v>94</v>
      </c>
      <c r="L53" s="2">
        <v>4</v>
      </c>
      <c r="M53" s="3">
        <v>35294</v>
      </c>
      <c r="N53" t="str" cm="1">
        <f t="array" ref="N53">_xlfn.IFS(Table1_36[[#This Row],[Patient Satisfaction Score]]&gt;=83,"High",H53&lt;=75,"Low",TRUE,"Moderate")</f>
        <v>Moderate</v>
      </c>
      <c r="O53" t="str">
        <f t="shared" si="0"/>
        <v>Adult</v>
      </c>
    </row>
    <row r="54" spans="1:15">
      <c r="A54" t="s">
        <v>113</v>
      </c>
      <c r="B54" t="s">
        <v>68</v>
      </c>
      <c r="C54" t="s">
        <v>45</v>
      </c>
      <c r="D54" t="s">
        <v>27</v>
      </c>
      <c r="E54" s="2">
        <v>42</v>
      </c>
      <c r="F54" t="s">
        <v>17</v>
      </c>
      <c r="G54" t="s">
        <v>23</v>
      </c>
      <c r="H54" s="2">
        <v>76</v>
      </c>
      <c r="I54" s="3">
        <v>10242</v>
      </c>
      <c r="J54" s="4">
        <v>15.4</v>
      </c>
      <c r="K54" s="2">
        <v>103</v>
      </c>
      <c r="L54" s="2">
        <v>4</v>
      </c>
      <c r="M54" s="3">
        <v>28250</v>
      </c>
      <c r="N54" t="str" cm="1">
        <f t="array" ref="N54">_xlfn.IFS(Table1_36[[#This Row],[Patient Satisfaction Score]]&gt;=83,"High",H54&lt;=75,"Low",TRUE,"Moderate")</f>
        <v>Moderate</v>
      </c>
      <c r="O54" t="str">
        <f t="shared" si="0"/>
        <v>Adult</v>
      </c>
    </row>
    <row r="55" spans="1:15">
      <c r="A55" t="s">
        <v>114</v>
      </c>
      <c r="B55" t="s">
        <v>64</v>
      </c>
      <c r="C55" t="s">
        <v>30</v>
      </c>
      <c r="D55" t="s">
        <v>27</v>
      </c>
      <c r="E55" s="2">
        <v>54</v>
      </c>
      <c r="F55" t="s">
        <v>22</v>
      </c>
      <c r="G55" t="s">
        <v>70</v>
      </c>
      <c r="H55" s="2">
        <v>69</v>
      </c>
      <c r="I55" s="3">
        <v>5093</v>
      </c>
      <c r="J55" s="4">
        <v>19.62</v>
      </c>
      <c r="K55" s="2">
        <v>111</v>
      </c>
      <c r="L55" s="2">
        <v>4</v>
      </c>
      <c r="M55" s="3">
        <v>23919</v>
      </c>
      <c r="N55" t="str" cm="1">
        <f t="array" ref="N55">_xlfn.IFS(Table1_36[[#This Row],[Patient Satisfaction Score]]&gt;=83,"High",H55&lt;=75,"Low",TRUE,"Moderate")</f>
        <v>Low</v>
      </c>
      <c r="O55" t="str">
        <f t="shared" si="0"/>
        <v>Adult</v>
      </c>
    </row>
    <row r="56" spans="1:15">
      <c r="A56" t="s">
        <v>115</v>
      </c>
      <c r="B56" t="s">
        <v>20</v>
      </c>
      <c r="C56" t="s">
        <v>21</v>
      </c>
      <c r="D56" t="s">
        <v>72</v>
      </c>
      <c r="E56" s="2">
        <v>62</v>
      </c>
      <c r="F56" t="s">
        <v>17</v>
      </c>
      <c r="G56" t="s">
        <v>18</v>
      </c>
      <c r="H56" s="2">
        <v>73</v>
      </c>
      <c r="I56" s="3">
        <v>9346</v>
      </c>
      <c r="J56" s="4">
        <v>11.77</v>
      </c>
      <c r="K56" s="2">
        <v>93</v>
      </c>
      <c r="L56" s="2">
        <v>3</v>
      </c>
      <c r="M56" s="3">
        <v>38533</v>
      </c>
      <c r="N56" t="str" cm="1">
        <f t="array" ref="N56">_xlfn.IFS(Table1_36[[#This Row],[Patient Satisfaction Score]]&gt;=83,"High",H56&lt;=75,"Low",TRUE,"Moderate")</f>
        <v>Low</v>
      </c>
      <c r="O56" t="str">
        <f t="shared" si="0"/>
        <v>Adult</v>
      </c>
    </row>
    <row r="57" spans="1:15">
      <c r="A57" t="s">
        <v>116</v>
      </c>
      <c r="B57" t="s">
        <v>78</v>
      </c>
      <c r="C57" t="s">
        <v>15</v>
      </c>
      <c r="D57" t="s">
        <v>27</v>
      </c>
      <c r="E57" s="2">
        <v>65</v>
      </c>
      <c r="F57" t="s">
        <v>17</v>
      </c>
      <c r="G57" t="s">
        <v>70</v>
      </c>
      <c r="H57" s="2">
        <v>83</v>
      </c>
      <c r="I57" s="3">
        <v>4322</v>
      </c>
      <c r="J57" s="4">
        <v>17.45</v>
      </c>
      <c r="K57" s="2">
        <v>48</v>
      </c>
      <c r="L57" s="2">
        <v>5</v>
      </c>
      <c r="M57" s="3">
        <v>13264</v>
      </c>
      <c r="N57" t="str" cm="1">
        <f t="array" ref="N57">_xlfn.IFS(Table1_36[[#This Row],[Patient Satisfaction Score]]&gt;=83,"High",H57&lt;=75,"Low",TRUE,"Moderate")</f>
        <v>High</v>
      </c>
      <c r="O57" t="str">
        <f t="shared" si="0"/>
        <v>Adult</v>
      </c>
    </row>
    <row r="58" spans="1:15">
      <c r="A58" t="s">
        <v>117</v>
      </c>
      <c r="B58" t="s">
        <v>78</v>
      </c>
      <c r="C58" t="s">
        <v>15</v>
      </c>
      <c r="D58" t="s">
        <v>27</v>
      </c>
      <c r="E58" s="2">
        <v>18</v>
      </c>
      <c r="F58" t="s">
        <v>22</v>
      </c>
      <c r="G58" t="s">
        <v>23</v>
      </c>
      <c r="H58" s="2">
        <v>64</v>
      </c>
      <c r="I58" s="3">
        <v>8651</v>
      </c>
      <c r="J58" s="4">
        <v>14.12</v>
      </c>
      <c r="K58" s="2">
        <v>121</v>
      </c>
      <c r="L58" s="2">
        <v>4</v>
      </c>
      <c r="M58" s="3">
        <v>50995</v>
      </c>
      <c r="N58" t="str" cm="1">
        <f t="array" ref="N58">_xlfn.IFS(Table1_36[[#This Row],[Patient Satisfaction Score]]&gt;=83,"High",H58&lt;=75,"Low",TRUE,"Moderate")</f>
        <v>Low</v>
      </c>
      <c r="O58" t="str">
        <f t="shared" si="0"/>
        <v>Pediatric</v>
      </c>
    </row>
    <row r="59" spans="1:15">
      <c r="A59" t="s">
        <v>118</v>
      </c>
      <c r="B59" t="s">
        <v>88</v>
      </c>
      <c r="C59" t="s">
        <v>15</v>
      </c>
      <c r="D59" t="s">
        <v>16</v>
      </c>
      <c r="E59" s="2">
        <v>50</v>
      </c>
      <c r="F59" t="s">
        <v>22</v>
      </c>
      <c r="G59" t="s">
        <v>49</v>
      </c>
      <c r="H59" s="2">
        <v>77</v>
      </c>
      <c r="I59" s="3">
        <v>3566</v>
      </c>
      <c r="J59" s="4">
        <v>12.39</v>
      </c>
      <c r="K59" s="2">
        <v>90</v>
      </c>
      <c r="L59" s="2">
        <v>4</v>
      </c>
      <c r="M59" s="3">
        <v>19707</v>
      </c>
      <c r="N59" t="str" cm="1">
        <f t="array" ref="N59">_xlfn.IFS(Table1_36[[#This Row],[Patient Satisfaction Score]]&gt;=83,"High",H59&lt;=75,"Low",TRUE,"Moderate")</f>
        <v>Moderate</v>
      </c>
      <c r="O59" t="str">
        <f t="shared" si="0"/>
        <v>Adult</v>
      </c>
    </row>
    <row r="60" spans="1:15">
      <c r="A60" t="s">
        <v>119</v>
      </c>
      <c r="B60" t="s">
        <v>25</v>
      </c>
      <c r="C60" t="s">
        <v>39</v>
      </c>
      <c r="D60" t="s">
        <v>27</v>
      </c>
      <c r="E60" s="2">
        <v>9</v>
      </c>
      <c r="F60" t="s">
        <v>22</v>
      </c>
      <c r="G60" t="s">
        <v>40</v>
      </c>
      <c r="H60" s="2">
        <v>77</v>
      </c>
      <c r="I60" s="3">
        <v>2729</v>
      </c>
      <c r="J60" s="4">
        <v>10.49</v>
      </c>
      <c r="K60" s="2">
        <v>60</v>
      </c>
      <c r="L60" s="2">
        <v>4</v>
      </c>
      <c r="M60" s="3">
        <v>15935</v>
      </c>
      <c r="N60" t="str" cm="1">
        <f t="array" ref="N60">_xlfn.IFS(Table1_36[[#This Row],[Patient Satisfaction Score]]&gt;=83,"High",H60&lt;=75,"Low",TRUE,"Moderate")</f>
        <v>Moderate</v>
      </c>
      <c r="O60" t="str">
        <f t="shared" si="0"/>
        <v>Pediatric</v>
      </c>
    </row>
    <row r="61" spans="1:15">
      <c r="A61" t="s">
        <v>120</v>
      </c>
      <c r="B61" t="s">
        <v>62</v>
      </c>
      <c r="C61" t="s">
        <v>52</v>
      </c>
      <c r="D61" t="s">
        <v>27</v>
      </c>
      <c r="E61" s="2">
        <v>17</v>
      </c>
      <c r="F61" t="s">
        <v>22</v>
      </c>
      <c r="G61" t="s">
        <v>31</v>
      </c>
      <c r="H61" s="2">
        <v>70</v>
      </c>
      <c r="I61" s="3">
        <v>9696</v>
      </c>
      <c r="J61" s="4">
        <v>20.170000000000002</v>
      </c>
      <c r="K61" s="2">
        <v>90</v>
      </c>
      <c r="L61" s="2">
        <v>3</v>
      </c>
      <c r="M61" s="3">
        <v>47030</v>
      </c>
      <c r="N61" t="str" cm="1">
        <f t="array" ref="N61">_xlfn.IFS(Table1_36[[#This Row],[Patient Satisfaction Score]]&gt;=83,"High",H61&lt;=75,"Low",TRUE,"Moderate")</f>
        <v>Low</v>
      </c>
      <c r="O61" t="str">
        <f t="shared" si="0"/>
        <v>Pediatric</v>
      </c>
    </row>
    <row r="62" spans="1:15">
      <c r="A62" t="s">
        <v>121</v>
      </c>
      <c r="B62" t="s">
        <v>122</v>
      </c>
      <c r="C62" t="s">
        <v>48</v>
      </c>
      <c r="D62" t="s">
        <v>27</v>
      </c>
      <c r="E62" s="2">
        <v>76</v>
      </c>
      <c r="F62" t="s">
        <v>17</v>
      </c>
      <c r="G62" t="s">
        <v>23</v>
      </c>
      <c r="H62" s="2">
        <v>90</v>
      </c>
      <c r="I62" s="3">
        <v>7415</v>
      </c>
      <c r="J62" s="4">
        <v>12.27</v>
      </c>
      <c r="K62" s="2">
        <v>77</v>
      </c>
      <c r="L62" s="2">
        <v>5</v>
      </c>
      <c r="M62" s="3">
        <v>41288</v>
      </c>
      <c r="N62" t="str" cm="1">
        <f t="array" ref="N62">_xlfn.IFS(Table1_36[[#This Row],[Patient Satisfaction Score]]&gt;=83,"High",H62&lt;=75,"Low",TRUE,"Moderate")</f>
        <v>High</v>
      </c>
      <c r="O62" t="str">
        <f t="shared" si="0"/>
        <v>Adult</v>
      </c>
    </row>
    <row r="63" spans="1:15">
      <c r="A63" t="s">
        <v>123</v>
      </c>
      <c r="B63" t="s">
        <v>44</v>
      </c>
      <c r="C63" t="s">
        <v>45</v>
      </c>
      <c r="D63" t="s">
        <v>72</v>
      </c>
      <c r="E63" s="2">
        <v>24</v>
      </c>
      <c r="F63" t="s">
        <v>17</v>
      </c>
      <c r="G63" t="s">
        <v>23</v>
      </c>
      <c r="H63" s="2">
        <v>71</v>
      </c>
      <c r="I63" s="3">
        <v>11680</v>
      </c>
      <c r="J63" s="4">
        <v>20.51</v>
      </c>
      <c r="K63" s="2">
        <v>89</v>
      </c>
      <c r="L63" s="2">
        <v>3</v>
      </c>
      <c r="M63" s="3">
        <v>29794</v>
      </c>
      <c r="N63" t="str" cm="1">
        <f t="array" ref="N63">_xlfn.IFS(Table1_36[[#This Row],[Patient Satisfaction Score]]&gt;=83,"High",H63&lt;=75,"Low",TRUE,"Moderate")</f>
        <v>Low</v>
      </c>
      <c r="O63" t="str">
        <f t="shared" si="0"/>
        <v>Adult</v>
      </c>
    </row>
    <row r="64" spans="1:15">
      <c r="A64" t="s">
        <v>124</v>
      </c>
      <c r="B64" t="s">
        <v>95</v>
      </c>
      <c r="C64" t="s">
        <v>52</v>
      </c>
      <c r="D64" t="s">
        <v>27</v>
      </c>
      <c r="E64" s="2">
        <v>66</v>
      </c>
      <c r="F64" t="s">
        <v>34</v>
      </c>
      <c r="G64" t="s">
        <v>23</v>
      </c>
      <c r="H64" s="2">
        <v>85</v>
      </c>
      <c r="I64" s="3">
        <v>6106</v>
      </c>
      <c r="J64" s="4">
        <v>5.84</v>
      </c>
      <c r="K64" s="2">
        <v>44</v>
      </c>
      <c r="L64" s="2">
        <v>5</v>
      </c>
      <c r="M64" s="3">
        <v>26249</v>
      </c>
      <c r="N64" t="str" cm="1">
        <f t="array" ref="N64">_xlfn.IFS(Table1_36[[#This Row],[Patient Satisfaction Score]]&gt;=83,"High",H64&lt;=75,"Low",TRUE,"Moderate")</f>
        <v>High</v>
      </c>
      <c r="O64" t="str">
        <f t="shared" si="0"/>
        <v>Adult</v>
      </c>
    </row>
    <row r="65" spans="1:15">
      <c r="A65" t="s">
        <v>125</v>
      </c>
      <c r="B65" t="s">
        <v>62</v>
      </c>
      <c r="C65" t="s">
        <v>52</v>
      </c>
      <c r="D65" t="s">
        <v>27</v>
      </c>
      <c r="E65" s="2">
        <v>35</v>
      </c>
      <c r="F65" t="s">
        <v>34</v>
      </c>
      <c r="G65" t="s">
        <v>49</v>
      </c>
      <c r="H65" s="2">
        <v>74</v>
      </c>
      <c r="I65" s="3">
        <v>9570</v>
      </c>
      <c r="J65" s="4">
        <v>15.32</v>
      </c>
      <c r="K65" s="2">
        <v>106</v>
      </c>
      <c r="L65" s="2">
        <v>4</v>
      </c>
      <c r="M65" s="3">
        <v>32574</v>
      </c>
      <c r="N65" t="str" cm="1">
        <f t="array" ref="N65">_xlfn.IFS(Table1_36[[#This Row],[Patient Satisfaction Score]]&gt;=83,"High",H65&lt;=75,"Low",TRUE,"Moderate")</f>
        <v>Low</v>
      </c>
      <c r="O65" t="str">
        <f t="shared" si="0"/>
        <v>Adult</v>
      </c>
    </row>
    <row r="66" spans="1:15">
      <c r="A66" t="s">
        <v>126</v>
      </c>
      <c r="B66" t="s">
        <v>47</v>
      </c>
      <c r="C66" t="s">
        <v>48</v>
      </c>
      <c r="D66" t="s">
        <v>72</v>
      </c>
      <c r="E66" s="2">
        <v>52</v>
      </c>
      <c r="F66" t="s">
        <v>22</v>
      </c>
      <c r="G66" t="s">
        <v>49</v>
      </c>
      <c r="H66" s="2">
        <v>73</v>
      </c>
      <c r="I66" s="3">
        <v>3519</v>
      </c>
      <c r="J66" s="4">
        <v>11.64</v>
      </c>
      <c r="K66" s="2">
        <v>74</v>
      </c>
      <c r="L66" s="2">
        <v>4</v>
      </c>
      <c r="M66" s="3">
        <v>9731</v>
      </c>
      <c r="N66" t="str" cm="1">
        <f t="array" ref="N66">_xlfn.IFS(Table1_36[[#This Row],[Patient Satisfaction Score]]&gt;=83,"High",H66&lt;=75,"Low",TRUE,"Moderate")</f>
        <v>Low</v>
      </c>
      <c r="O66" t="str">
        <f t="shared" ref="O66:O129" si="1">IF(E66&lt;19,"Pediatric","Adult")</f>
        <v>Adult</v>
      </c>
    </row>
    <row r="67" spans="1:15">
      <c r="A67" t="s">
        <v>127</v>
      </c>
      <c r="B67" t="s">
        <v>29</v>
      </c>
      <c r="C67" t="s">
        <v>30</v>
      </c>
      <c r="D67" t="s">
        <v>27</v>
      </c>
      <c r="E67" s="2">
        <v>22</v>
      </c>
      <c r="F67" t="s">
        <v>22</v>
      </c>
      <c r="G67" t="s">
        <v>23</v>
      </c>
      <c r="H67" s="2">
        <v>82</v>
      </c>
      <c r="I67" s="3">
        <v>4023</v>
      </c>
      <c r="J67" s="4">
        <v>16.84</v>
      </c>
      <c r="K67" s="2">
        <v>119</v>
      </c>
      <c r="L67" s="2">
        <v>4</v>
      </c>
      <c r="M67" s="3">
        <v>12483</v>
      </c>
      <c r="N67" t="str" cm="1">
        <f t="array" ref="N67">_xlfn.IFS(Table1_36[[#This Row],[Patient Satisfaction Score]]&gt;=83,"High",H67&lt;=75,"Low",TRUE,"Moderate")</f>
        <v>Moderate</v>
      </c>
      <c r="O67" t="str">
        <f t="shared" si="1"/>
        <v>Adult</v>
      </c>
    </row>
    <row r="68" spans="1:15">
      <c r="A68" t="s">
        <v>128</v>
      </c>
      <c r="B68" t="s">
        <v>129</v>
      </c>
      <c r="C68" t="s">
        <v>21</v>
      </c>
      <c r="D68" t="s">
        <v>27</v>
      </c>
      <c r="E68" s="2">
        <v>34</v>
      </c>
      <c r="F68" t="s">
        <v>17</v>
      </c>
      <c r="G68" t="s">
        <v>31</v>
      </c>
      <c r="H68" s="2">
        <v>78</v>
      </c>
      <c r="I68" s="3">
        <v>6360</v>
      </c>
      <c r="J68" s="4">
        <v>10.86</v>
      </c>
      <c r="K68" s="2">
        <v>74</v>
      </c>
      <c r="L68" s="2">
        <v>3</v>
      </c>
      <c r="M68" s="3">
        <v>27106</v>
      </c>
      <c r="N68" t="str" cm="1">
        <f t="array" ref="N68">_xlfn.IFS(Table1_36[[#This Row],[Patient Satisfaction Score]]&gt;=83,"High",H68&lt;=75,"Low",TRUE,"Moderate")</f>
        <v>Moderate</v>
      </c>
      <c r="O68" t="str">
        <f t="shared" si="1"/>
        <v>Adult</v>
      </c>
    </row>
    <row r="69" spans="1:15">
      <c r="A69" t="s">
        <v>130</v>
      </c>
      <c r="B69" t="s">
        <v>129</v>
      </c>
      <c r="C69" t="s">
        <v>21</v>
      </c>
      <c r="D69" t="s">
        <v>27</v>
      </c>
      <c r="E69" s="2">
        <v>42</v>
      </c>
      <c r="F69" t="s">
        <v>17</v>
      </c>
      <c r="G69" t="s">
        <v>31</v>
      </c>
      <c r="H69" s="2">
        <v>78</v>
      </c>
      <c r="I69" s="3">
        <v>7168</v>
      </c>
      <c r="J69" s="4">
        <v>19.82</v>
      </c>
      <c r="K69" s="2">
        <v>90</v>
      </c>
      <c r="L69" s="2">
        <v>4</v>
      </c>
      <c r="M69" s="3">
        <v>36692</v>
      </c>
      <c r="N69" t="str" cm="1">
        <f t="array" ref="N69">_xlfn.IFS(Table1_36[[#This Row],[Patient Satisfaction Score]]&gt;=83,"High",H69&lt;=75,"Low",TRUE,"Moderate")</f>
        <v>Moderate</v>
      </c>
      <c r="O69" t="str">
        <f t="shared" si="1"/>
        <v>Adult</v>
      </c>
    </row>
    <row r="70" spans="1:15">
      <c r="A70" t="s">
        <v>131</v>
      </c>
      <c r="B70" t="s">
        <v>66</v>
      </c>
      <c r="C70" t="s">
        <v>39</v>
      </c>
      <c r="D70" t="s">
        <v>16</v>
      </c>
      <c r="E70" s="2">
        <v>17</v>
      </c>
      <c r="F70" t="s">
        <v>34</v>
      </c>
      <c r="G70" t="s">
        <v>49</v>
      </c>
      <c r="H70" s="2">
        <v>81</v>
      </c>
      <c r="I70" s="3">
        <v>2834</v>
      </c>
      <c r="J70" s="4">
        <v>0</v>
      </c>
      <c r="K70" s="2">
        <v>48</v>
      </c>
      <c r="L70" s="2">
        <v>5</v>
      </c>
      <c r="M70" s="3">
        <v>11672</v>
      </c>
      <c r="N70" t="str" cm="1">
        <f t="array" ref="N70">_xlfn.IFS(Table1_36[[#This Row],[Patient Satisfaction Score]]&gt;=83,"High",H70&lt;=75,"Low",TRUE,"Moderate")</f>
        <v>Moderate</v>
      </c>
      <c r="O70" t="str">
        <f t="shared" si="1"/>
        <v>Pediatric</v>
      </c>
    </row>
    <row r="71" spans="1:15">
      <c r="A71" t="s">
        <v>132</v>
      </c>
      <c r="B71" t="s">
        <v>56</v>
      </c>
      <c r="C71" t="s">
        <v>45</v>
      </c>
      <c r="D71" t="s">
        <v>16</v>
      </c>
      <c r="E71" s="2">
        <v>62</v>
      </c>
      <c r="F71" t="s">
        <v>17</v>
      </c>
      <c r="G71" t="s">
        <v>23</v>
      </c>
      <c r="H71" s="2">
        <v>70</v>
      </c>
      <c r="I71" s="3">
        <v>9051</v>
      </c>
      <c r="J71" s="4">
        <v>20.87</v>
      </c>
      <c r="K71" s="2">
        <v>75</v>
      </c>
      <c r="L71" s="2">
        <v>4</v>
      </c>
      <c r="M71" s="3">
        <v>36800</v>
      </c>
      <c r="N71" t="str" cm="1">
        <f t="array" ref="N71">_xlfn.IFS(Table1_36[[#This Row],[Patient Satisfaction Score]]&gt;=83,"High",H71&lt;=75,"Low",TRUE,"Moderate")</f>
        <v>Low</v>
      </c>
      <c r="O71" t="str">
        <f t="shared" si="1"/>
        <v>Adult</v>
      </c>
    </row>
    <row r="72" spans="1:15">
      <c r="A72" t="s">
        <v>133</v>
      </c>
      <c r="B72" t="s">
        <v>25</v>
      </c>
      <c r="C72" t="s">
        <v>26</v>
      </c>
      <c r="D72" t="s">
        <v>27</v>
      </c>
      <c r="E72" s="2">
        <v>12</v>
      </c>
      <c r="F72" t="s">
        <v>34</v>
      </c>
      <c r="G72" t="s">
        <v>18</v>
      </c>
      <c r="H72" s="2">
        <v>86</v>
      </c>
      <c r="I72" s="3">
        <v>2121</v>
      </c>
      <c r="J72" s="4">
        <v>0</v>
      </c>
      <c r="K72" s="2">
        <v>49</v>
      </c>
      <c r="L72" s="2">
        <v>4</v>
      </c>
      <c r="M72" s="3">
        <v>6191</v>
      </c>
      <c r="N72" t="str" cm="1">
        <f t="array" ref="N72">_xlfn.IFS(Table1_36[[#This Row],[Patient Satisfaction Score]]&gt;=83,"High",H72&lt;=75,"Low",TRUE,"Moderate")</f>
        <v>High</v>
      </c>
      <c r="O72" t="str">
        <f t="shared" si="1"/>
        <v>Pediatric</v>
      </c>
    </row>
    <row r="73" spans="1:15">
      <c r="A73" t="s">
        <v>134</v>
      </c>
      <c r="B73" t="s">
        <v>135</v>
      </c>
      <c r="C73" t="s">
        <v>48</v>
      </c>
      <c r="D73" t="s">
        <v>16</v>
      </c>
      <c r="E73" s="2">
        <v>49</v>
      </c>
      <c r="F73" t="s">
        <v>22</v>
      </c>
      <c r="G73" t="s">
        <v>31</v>
      </c>
      <c r="H73" s="2">
        <v>72</v>
      </c>
      <c r="I73" s="3">
        <v>7266</v>
      </c>
      <c r="J73" s="4">
        <v>14.61</v>
      </c>
      <c r="K73" s="2">
        <v>93</v>
      </c>
      <c r="L73" s="2">
        <v>4</v>
      </c>
      <c r="M73" s="3">
        <v>31824</v>
      </c>
      <c r="N73" t="str" cm="1">
        <f t="array" ref="N73">_xlfn.IFS(Table1_36[[#This Row],[Patient Satisfaction Score]]&gt;=83,"High",H73&lt;=75,"Low",TRUE,"Moderate")</f>
        <v>Low</v>
      </c>
      <c r="O73" t="str">
        <f t="shared" si="1"/>
        <v>Adult</v>
      </c>
    </row>
    <row r="74" spans="1:15">
      <c r="A74" t="s">
        <v>136</v>
      </c>
      <c r="B74" t="s">
        <v>137</v>
      </c>
      <c r="C74" t="s">
        <v>26</v>
      </c>
      <c r="D74" t="s">
        <v>27</v>
      </c>
      <c r="E74" s="2">
        <v>75</v>
      </c>
      <c r="F74" t="s">
        <v>17</v>
      </c>
      <c r="G74" t="s">
        <v>31</v>
      </c>
      <c r="H74" s="2">
        <v>82</v>
      </c>
      <c r="I74" s="3">
        <v>1981</v>
      </c>
      <c r="J74" s="4">
        <v>4.24</v>
      </c>
      <c r="K74" s="2">
        <v>55</v>
      </c>
      <c r="L74" s="2">
        <v>4</v>
      </c>
      <c r="M74" s="3">
        <v>9430</v>
      </c>
      <c r="N74" t="str" cm="1">
        <f t="array" ref="N74">_xlfn.IFS(Table1_36[[#This Row],[Patient Satisfaction Score]]&gt;=83,"High",H74&lt;=75,"Low",TRUE,"Moderate")</f>
        <v>Moderate</v>
      </c>
      <c r="O74" t="str">
        <f t="shared" si="1"/>
        <v>Adult</v>
      </c>
    </row>
    <row r="75" spans="1:15">
      <c r="A75" t="s">
        <v>138</v>
      </c>
      <c r="B75" t="s">
        <v>84</v>
      </c>
      <c r="C75" t="s">
        <v>21</v>
      </c>
      <c r="D75" t="s">
        <v>27</v>
      </c>
      <c r="E75" s="2">
        <v>6</v>
      </c>
      <c r="F75" t="s">
        <v>34</v>
      </c>
      <c r="G75" t="s">
        <v>49</v>
      </c>
      <c r="H75" s="2">
        <v>72</v>
      </c>
      <c r="I75" s="3">
        <v>6535</v>
      </c>
      <c r="J75" s="4">
        <v>15.51</v>
      </c>
      <c r="K75" s="2">
        <v>108</v>
      </c>
      <c r="L75" s="2">
        <v>4</v>
      </c>
      <c r="M75" s="3">
        <v>19833</v>
      </c>
      <c r="N75" t="str" cm="1">
        <f t="array" ref="N75">_xlfn.IFS(Table1_36[[#This Row],[Patient Satisfaction Score]]&gt;=83,"High",H75&lt;=75,"Low",TRUE,"Moderate")</f>
        <v>Low</v>
      </c>
      <c r="O75" t="str">
        <f t="shared" si="1"/>
        <v>Pediatric</v>
      </c>
    </row>
    <row r="76" spans="1:15">
      <c r="A76" t="s">
        <v>139</v>
      </c>
      <c r="B76" t="s">
        <v>36</v>
      </c>
      <c r="C76" t="s">
        <v>21</v>
      </c>
      <c r="D76" t="s">
        <v>27</v>
      </c>
      <c r="E76" s="2">
        <v>31</v>
      </c>
      <c r="F76" t="s">
        <v>34</v>
      </c>
      <c r="G76" t="s">
        <v>40</v>
      </c>
      <c r="H76" s="2">
        <v>79</v>
      </c>
      <c r="I76" s="3">
        <v>5729</v>
      </c>
      <c r="J76" s="4">
        <v>11.54</v>
      </c>
      <c r="K76" s="2">
        <v>80</v>
      </c>
      <c r="L76" s="2">
        <v>4</v>
      </c>
      <c r="M76" s="3">
        <v>22551</v>
      </c>
      <c r="N76" t="str" cm="1">
        <f t="array" ref="N76">_xlfn.IFS(Table1_36[[#This Row],[Patient Satisfaction Score]]&gt;=83,"High",H76&lt;=75,"Low",TRUE,"Moderate")</f>
        <v>Moderate</v>
      </c>
      <c r="O76" t="str">
        <f t="shared" si="1"/>
        <v>Adult</v>
      </c>
    </row>
    <row r="77" spans="1:15">
      <c r="A77" t="s">
        <v>140</v>
      </c>
      <c r="B77" t="s">
        <v>64</v>
      </c>
      <c r="C77" t="s">
        <v>30</v>
      </c>
      <c r="D77" t="s">
        <v>27</v>
      </c>
      <c r="E77" s="2">
        <v>52</v>
      </c>
      <c r="F77" t="s">
        <v>17</v>
      </c>
      <c r="G77" t="s">
        <v>31</v>
      </c>
      <c r="H77" s="2">
        <v>68</v>
      </c>
      <c r="I77" s="3">
        <v>3666</v>
      </c>
      <c r="J77" s="4">
        <v>19.09</v>
      </c>
      <c r="K77" s="2">
        <v>108</v>
      </c>
      <c r="L77" s="2">
        <v>3</v>
      </c>
      <c r="M77" s="3">
        <v>17744</v>
      </c>
      <c r="N77" t="str" cm="1">
        <f t="array" ref="N77">_xlfn.IFS(Table1_36[[#This Row],[Patient Satisfaction Score]]&gt;=83,"High",H77&lt;=75,"Low",TRUE,"Moderate")</f>
        <v>Low</v>
      </c>
      <c r="O77" t="str">
        <f t="shared" si="1"/>
        <v>Adult</v>
      </c>
    </row>
    <row r="78" spans="1:15">
      <c r="A78" t="s">
        <v>141</v>
      </c>
      <c r="B78" t="s">
        <v>80</v>
      </c>
      <c r="C78" t="s">
        <v>15</v>
      </c>
      <c r="D78" t="s">
        <v>16</v>
      </c>
      <c r="E78" s="2">
        <v>46</v>
      </c>
      <c r="F78" t="s">
        <v>34</v>
      </c>
      <c r="G78" t="s">
        <v>49</v>
      </c>
      <c r="H78" s="2">
        <v>70</v>
      </c>
      <c r="I78" s="3">
        <v>4662</v>
      </c>
      <c r="J78" s="4">
        <v>18.170000000000002</v>
      </c>
      <c r="K78" s="2">
        <v>100</v>
      </c>
      <c r="L78" s="2">
        <v>4</v>
      </c>
      <c r="M78" s="3">
        <v>16936</v>
      </c>
      <c r="N78" t="str" cm="1">
        <f t="array" ref="N78">_xlfn.IFS(Table1_36[[#This Row],[Patient Satisfaction Score]]&gt;=83,"High",H78&lt;=75,"Low",TRUE,"Moderate")</f>
        <v>Low</v>
      </c>
      <c r="O78" t="str">
        <f t="shared" si="1"/>
        <v>Adult</v>
      </c>
    </row>
    <row r="79" spans="1:15">
      <c r="A79" t="s">
        <v>142</v>
      </c>
      <c r="B79" t="s">
        <v>143</v>
      </c>
      <c r="C79" t="s">
        <v>21</v>
      </c>
      <c r="D79" t="s">
        <v>16</v>
      </c>
      <c r="E79" s="2">
        <v>50</v>
      </c>
      <c r="F79" t="s">
        <v>17</v>
      </c>
      <c r="G79" t="s">
        <v>70</v>
      </c>
      <c r="H79" s="2">
        <v>76</v>
      </c>
      <c r="I79" s="3">
        <v>5903</v>
      </c>
      <c r="J79" s="4">
        <v>13.77</v>
      </c>
      <c r="K79" s="2">
        <v>35</v>
      </c>
      <c r="L79" s="2">
        <v>4</v>
      </c>
      <c r="M79" s="3">
        <v>26766</v>
      </c>
      <c r="N79" t="str" cm="1">
        <f t="array" ref="N79">_xlfn.IFS(Table1_36[[#This Row],[Patient Satisfaction Score]]&gt;=83,"High",H79&lt;=75,"Low",TRUE,"Moderate")</f>
        <v>Moderate</v>
      </c>
      <c r="O79" t="str">
        <f t="shared" si="1"/>
        <v>Adult</v>
      </c>
    </row>
    <row r="80" spans="1:15">
      <c r="A80" t="s">
        <v>144</v>
      </c>
      <c r="B80" t="s">
        <v>97</v>
      </c>
      <c r="C80" t="s">
        <v>30</v>
      </c>
      <c r="D80" t="s">
        <v>16</v>
      </c>
      <c r="E80" s="2">
        <v>43</v>
      </c>
      <c r="F80" t="s">
        <v>34</v>
      </c>
      <c r="G80" t="s">
        <v>70</v>
      </c>
      <c r="H80" s="2">
        <v>71</v>
      </c>
      <c r="I80" s="3">
        <v>3043</v>
      </c>
      <c r="J80" s="4">
        <v>18.190000000000001</v>
      </c>
      <c r="K80" s="2">
        <v>85</v>
      </c>
      <c r="L80" s="2">
        <v>3</v>
      </c>
      <c r="M80" s="3">
        <v>8282</v>
      </c>
      <c r="N80" t="str" cm="1">
        <f t="array" ref="N80">_xlfn.IFS(Table1_36[[#This Row],[Patient Satisfaction Score]]&gt;=83,"High",H80&lt;=75,"Low",TRUE,"Moderate")</f>
        <v>Low</v>
      </c>
      <c r="O80" t="str">
        <f t="shared" si="1"/>
        <v>Adult</v>
      </c>
    </row>
    <row r="81" spans="1:15">
      <c r="A81" t="s">
        <v>145</v>
      </c>
      <c r="B81" t="s">
        <v>62</v>
      </c>
      <c r="C81" t="s">
        <v>52</v>
      </c>
      <c r="D81" t="s">
        <v>27</v>
      </c>
      <c r="E81" s="2">
        <v>32</v>
      </c>
      <c r="F81" t="s">
        <v>22</v>
      </c>
      <c r="G81" t="s">
        <v>23</v>
      </c>
      <c r="H81" s="2">
        <v>71</v>
      </c>
      <c r="I81" s="3">
        <v>9770</v>
      </c>
      <c r="J81" s="4">
        <v>17.09</v>
      </c>
      <c r="K81" s="2">
        <v>95</v>
      </c>
      <c r="L81" s="2">
        <v>5</v>
      </c>
      <c r="M81" s="3">
        <v>38507</v>
      </c>
      <c r="N81" t="str" cm="1">
        <f t="array" ref="N81">_xlfn.IFS(Table1_36[[#This Row],[Patient Satisfaction Score]]&gt;=83,"High",H81&lt;=75,"Low",TRUE,"Moderate")</f>
        <v>Low</v>
      </c>
      <c r="O81" t="str">
        <f t="shared" si="1"/>
        <v>Adult</v>
      </c>
    </row>
    <row r="82" spans="1:15">
      <c r="A82" t="s">
        <v>146</v>
      </c>
      <c r="B82" t="s">
        <v>25</v>
      </c>
      <c r="C82" t="s">
        <v>26</v>
      </c>
      <c r="D82" t="s">
        <v>16</v>
      </c>
      <c r="E82" s="2">
        <v>56</v>
      </c>
      <c r="F82" t="s">
        <v>17</v>
      </c>
      <c r="G82" t="s">
        <v>18</v>
      </c>
      <c r="H82" s="2">
        <v>89</v>
      </c>
      <c r="I82" s="3">
        <v>2685</v>
      </c>
      <c r="J82" s="4">
        <v>2.58</v>
      </c>
      <c r="K82" s="2">
        <v>40</v>
      </c>
      <c r="L82" s="2">
        <v>4</v>
      </c>
      <c r="M82" s="3">
        <v>12111</v>
      </c>
      <c r="N82" t="str" cm="1">
        <f t="array" ref="N82">_xlfn.IFS(Table1_36[[#This Row],[Patient Satisfaction Score]]&gt;=83,"High",H82&lt;=75,"Low",TRUE,"Moderate")</f>
        <v>High</v>
      </c>
      <c r="O82" t="str">
        <f t="shared" si="1"/>
        <v>Adult</v>
      </c>
    </row>
    <row r="83" spans="1:15">
      <c r="A83" t="s">
        <v>147</v>
      </c>
      <c r="B83" t="s">
        <v>56</v>
      </c>
      <c r="C83" t="s">
        <v>45</v>
      </c>
      <c r="D83" t="s">
        <v>27</v>
      </c>
      <c r="E83" s="2">
        <v>42</v>
      </c>
      <c r="F83" t="s">
        <v>17</v>
      </c>
      <c r="G83" t="s">
        <v>18</v>
      </c>
      <c r="H83" s="2">
        <v>72</v>
      </c>
      <c r="I83" s="3">
        <v>7929</v>
      </c>
      <c r="J83" s="4">
        <v>19.350000000000001</v>
      </c>
      <c r="K83" s="2">
        <v>97</v>
      </c>
      <c r="L83" s="2">
        <v>3</v>
      </c>
      <c r="M83" s="3">
        <v>42428</v>
      </c>
      <c r="N83" t="str" cm="1">
        <f t="array" ref="N83">_xlfn.IFS(Table1_36[[#This Row],[Patient Satisfaction Score]]&gt;=83,"High",H83&lt;=75,"Low",TRUE,"Moderate")</f>
        <v>Low</v>
      </c>
      <c r="O83" t="str">
        <f t="shared" si="1"/>
        <v>Adult</v>
      </c>
    </row>
    <row r="84" spans="1:15">
      <c r="A84" t="s">
        <v>148</v>
      </c>
      <c r="B84" t="s">
        <v>97</v>
      </c>
      <c r="C84" t="s">
        <v>30</v>
      </c>
      <c r="D84" t="s">
        <v>27</v>
      </c>
      <c r="E84" s="2">
        <v>50</v>
      </c>
      <c r="F84" t="s">
        <v>34</v>
      </c>
      <c r="G84" t="s">
        <v>23</v>
      </c>
      <c r="H84" s="2">
        <v>74</v>
      </c>
      <c r="I84" s="3">
        <v>4109</v>
      </c>
      <c r="J84" s="4">
        <v>16.7</v>
      </c>
      <c r="K84" s="2">
        <v>151</v>
      </c>
      <c r="L84" s="2">
        <v>4</v>
      </c>
      <c r="M84" s="3">
        <v>16587</v>
      </c>
      <c r="N84" t="str" cm="1">
        <f t="array" ref="N84">_xlfn.IFS(Table1_36[[#This Row],[Patient Satisfaction Score]]&gt;=83,"High",H84&lt;=75,"Low",TRUE,"Moderate")</f>
        <v>Low</v>
      </c>
      <c r="O84" t="str">
        <f t="shared" si="1"/>
        <v>Adult</v>
      </c>
    </row>
    <row r="85" spans="1:15">
      <c r="A85" t="s">
        <v>149</v>
      </c>
      <c r="B85" t="s">
        <v>150</v>
      </c>
      <c r="C85" t="s">
        <v>48</v>
      </c>
      <c r="D85" t="s">
        <v>16</v>
      </c>
      <c r="E85" s="2">
        <v>31</v>
      </c>
      <c r="F85" t="s">
        <v>34</v>
      </c>
      <c r="G85" t="s">
        <v>31</v>
      </c>
      <c r="H85" s="2">
        <v>79</v>
      </c>
      <c r="I85" s="3">
        <v>7261</v>
      </c>
      <c r="J85" s="4">
        <v>8.6300000000000008</v>
      </c>
      <c r="K85" s="2">
        <v>30</v>
      </c>
      <c r="L85" s="2">
        <v>4</v>
      </c>
      <c r="M85" s="3">
        <v>41013</v>
      </c>
      <c r="N85" t="str" cm="1">
        <f t="array" ref="N85">_xlfn.IFS(Table1_36[[#This Row],[Patient Satisfaction Score]]&gt;=83,"High",H85&lt;=75,"Low",TRUE,"Moderate")</f>
        <v>Moderate</v>
      </c>
      <c r="O85" t="str">
        <f t="shared" si="1"/>
        <v>Adult</v>
      </c>
    </row>
    <row r="86" spans="1:15">
      <c r="A86" t="s">
        <v>151</v>
      </c>
      <c r="B86" t="s">
        <v>38</v>
      </c>
      <c r="C86" t="s">
        <v>39</v>
      </c>
      <c r="D86" t="s">
        <v>27</v>
      </c>
      <c r="E86" s="2">
        <v>9</v>
      </c>
      <c r="F86" t="s">
        <v>34</v>
      </c>
      <c r="G86" t="s">
        <v>18</v>
      </c>
      <c r="H86" s="2">
        <v>80</v>
      </c>
      <c r="I86" s="3">
        <v>3141</v>
      </c>
      <c r="J86" s="4">
        <v>11.08</v>
      </c>
      <c r="K86" s="2">
        <v>15</v>
      </c>
      <c r="L86" s="2">
        <v>4</v>
      </c>
      <c r="M86" s="3">
        <v>9383</v>
      </c>
      <c r="N86" t="str" cm="1">
        <f t="array" ref="N86">_xlfn.IFS(Table1_36[[#This Row],[Patient Satisfaction Score]]&gt;=83,"High",H86&lt;=75,"Low",TRUE,"Moderate")</f>
        <v>Moderate</v>
      </c>
      <c r="O86" t="str">
        <f t="shared" si="1"/>
        <v>Pediatric</v>
      </c>
    </row>
    <row r="87" spans="1:15">
      <c r="A87" t="s">
        <v>152</v>
      </c>
      <c r="B87" t="s">
        <v>58</v>
      </c>
      <c r="C87" t="s">
        <v>48</v>
      </c>
      <c r="D87" t="s">
        <v>27</v>
      </c>
      <c r="E87" s="2">
        <v>55</v>
      </c>
      <c r="F87" t="s">
        <v>34</v>
      </c>
      <c r="G87" t="s">
        <v>40</v>
      </c>
      <c r="H87" s="2">
        <v>74</v>
      </c>
      <c r="I87" s="3">
        <v>7159</v>
      </c>
      <c r="J87" s="4">
        <v>12.33</v>
      </c>
      <c r="K87" s="2">
        <v>99</v>
      </c>
      <c r="L87" s="2">
        <v>4</v>
      </c>
      <c r="M87" s="3">
        <v>25708</v>
      </c>
      <c r="N87" t="str" cm="1">
        <f t="array" ref="N87">_xlfn.IFS(Table1_36[[#This Row],[Patient Satisfaction Score]]&gt;=83,"High",H87&lt;=75,"Low",TRUE,"Moderate")</f>
        <v>Low</v>
      </c>
      <c r="O87" t="str">
        <f t="shared" si="1"/>
        <v>Adult</v>
      </c>
    </row>
    <row r="88" spans="1:15">
      <c r="A88" t="s">
        <v>153</v>
      </c>
      <c r="B88" t="s">
        <v>54</v>
      </c>
      <c r="C88" t="s">
        <v>39</v>
      </c>
      <c r="D88" t="s">
        <v>16</v>
      </c>
      <c r="E88" s="2">
        <v>15</v>
      </c>
      <c r="F88" t="s">
        <v>22</v>
      </c>
      <c r="G88" t="s">
        <v>23</v>
      </c>
      <c r="H88" s="2">
        <v>89</v>
      </c>
      <c r="I88" s="3">
        <v>3042</v>
      </c>
      <c r="J88" s="4">
        <v>6.09</v>
      </c>
      <c r="K88" s="2">
        <v>42</v>
      </c>
      <c r="L88" s="2">
        <v>5</v>
      </c>
      <c r="M88" s="3">
        <v>11247</v>
      </c>
      <c r="N88" t="str" cm="1">
        <f t="array" ref="N88">_xlfn.IFS(Table1_36[[#This Row],[Patient Satisfaction Score]]&gt;=83,"High",H88&lt;=75,"Low",TRUE,"Moderate")</f>
        <v>High</v>
      </c>
      <c r="O88" t="str">
        <f t="shared" si="1"/>
        <v>Pediatric</v>
      </c>
    </row>
    <row r="89" spans="1:15">
      <c r="A89" t="s">
        <v>154</v>
      </c>
      <c r="B89" t="s">
        <v>137</v>
      </c>
      <c r="C89" t="s">
        <v>26</v>
      </c>
      <c r="D89" t="s">
        <v>27</v>
      </c>
      <c r="E89" s="2">
        <v>70</v>
      </c>
      <c r="F89" t="s">
        <v>17</v>
      </c>
      <c r="G89" t="s">
        <v>31</v>
      </c>
      <c r="H89" s="2">
        <v>94</v>
      </c>
      <c r="I89" s="3">
        <v>2286</v>
      </c>
      <c r="J89" s="4">
        <v>2.79</v>
      </c>
      <c r="K89" s="2">
        <v>36</v>
      </c>
      <c r="L89" s="2">
        <v>5</v>
      </c>
      <c r="M89" s="3">
        <v>10844</v>
      </c>
      <c r="N89" t="str" cm="1">
        <f t="array" ref="N89">_xlfn.IFS(Table1_36[[#This Row],[Patient Satisfaction Score]]&gt;=83,"High",H89&lt;=75,"Low",TRUE,"Moderate")</f>
        <v>High</v>
      </c>
      <c r="O89" t="str">
        <f t="shared" si="1"/>
        <v>Adult</v>
      </c>
    </row>
    <row r="90" spans="1:15">
      <c r="A90" t="s">
        <v>155</v>
      </c>
      <c r="B90" t="s">
        <v>25</v>
      </c>
      <c r="C90" t="s">
        <v>26</v>
      </c>
      <c r="D90" t="s">
        <v>16</v>
      </c>
      <c r="E90" s="2">
        <v>53</v>
      </c>
      <c r="F90" t="s">
        <v>22</v>
      </c>
      <c r="G90" t="s">
        <v>31</v>
      </c>
      <c r="H90" s="2">
        <v>76</v>
      </c>
      <c r="I90" s="3">
        <v>2113</v>
      </c>
      <c r="J90" s="4">
        <v>0.02</v>
      </c>
      <c r="K90" s="2">
        <v>82</v>
      </c>
      <c r="L90" s="2">
        <v>4</v>
      </c>
      <c r="M90" s="3">
        <v>8699</v>
      </c>
      <c r="N90" t="str" cm="1">
        <f t="array" ref="N90">_xlfn.IFS(Table1_36[[#This Row],[Patient Satisfaction Score]]&gt;=83,"High",H90&lt;=75,"Low",TRUE,"Moderate")</f>
        <v>Moderate</v>
      </c>
      <c r="O90" t="str">
        <f t="shared" si="1"/>
        <v>Adult</v>
      </c>
    </row>
    <row r="91" spans="1:15">
      <c r="A91" t="s">
        <v>156</v>
      </c>
      <c r="B91" t="s">
        <v>62</v>
      </c>
      <c r="C91" t="s">
        <v>52</v>
      </c>
      <c r="D91" t="s">
        <v>27</v>
      </c>
      <c r="E91" s="2">
        <v>48</v>
      </c>
      <c r="F91" t="s">
        <v>22</v>
      </c>
      <c r="G91" t="s">
        <v>40</v>
      </c>
      <c r="H91" s="2">
        <v>80</v>
      </c>
      <c r="I91" s="3">
        <v>7675</v>
      </c>
      <c r="J91" s="4">
        <v>14.19</v>
      </c>
      <c r="K91" s="2">
        <v>132</v>
      </c>
      <c r="L91" s="2">
        <v>4</v>
      </c>
      <c r="M91" s="3">
        <v>43968</v>
      </c>
      <c r="N91" t="str" cm="1">
        <f t="array" ref="N91">_xlfn.IFS(Table1_36[[#This Row],[Patient Satisfaction Score]]&gt;=83,"High",H91&lt;=75,"Low",TRUE,"Moderate")</f>
        <v>Moderate</v>
      </c>
      <c r="O91" t="str">
        <f t="shared" si="1"/>
        <v>Adult</v>
      </c>
    </row>
    <row r="92" spans="1:15">
      <c r="A92" t="s">
        <v>157</v>
      </c>
      <c r="B92" t="s">
        <v>38</v>
      </c>
      <c r="C92" t="s">
        <v>39</v>
      </c>
      <c r="D92" t="s">
        <v>16</v>
      </c>
      <c r="E92" s="2">
        <v>16</v>
      </c>
      <c r="F92" t="s">
        <v>34</v>
      </c>
      <c r="G92" t="s">
        <v>49</v>
      </c>
      <c r="H92" s="2">
        <v>88</v>
      </c>
      <c r="I92" s="3">
        <v>4129</v>
      </c>
      <c r="J92" s="4">
        <v>13.38</v>
      </c>
      <c r="K92" s="2">
        <v>69</v>
      </c>
      <c r="L92" s="2">
        <v>4</v>
      </c>
      <c r="M92" s="3">
        <v>23825</v>
      </c>
      <c r="N92" t="str" cm="1">
        <f t="array" ref="N92">_xlfn.IFS(Table1_36[[#This Row],[Patient Satisfaction Score]]&gt;=83,"High",H92&lt;=75,"Low",TRUE,"Moderate")</f>
        <v>High</v>
      </c>
      <c r="O92" t="str">
        <f t="shared" si="1"/>
        <v>Pediatric</v>
      </c>
    </row>
    <row r="93" spans="1:15">
      <c r="A93" t="s">
        <v>158</v>
      </c>
      <c r="B93" t="s">
        <v>122</v>
      </c>
      <c r="C93" t="s">
        <v>48</v>
      </c>
      <c r="D93" t="s">
        <v>27</v>
      </c>
      <c r="E93" s="2">
        <v>43</v>
      </c>
      <c r="F93" t="s">
        <v>22</v>
      </c>
      <c r="G93" t="s">
        <v>40</v>
      </c>
      <c r="H93" s="2">
        <v>74</v>
      </c>
      <c r="I93" s="3">
        <v>9046</v>
      </c>
      <c r="J93" s="4">
        <v>14.1</v>
      </c>
      <c r="K93" s="2">
        <v>90</v>
      </c>
      <c r="L93" s="2">
        <v>4</v>
      </c>
      <c r="M93" s="3">
        <v>33227</v>
      </c>
      <c r="N93" t="str" cm="1">
        <f t="array" ref="N93">_xlfn.IFS(Table1_36[[#This Row],[Patient Satisfaction Score]]&gt;=83,"High",H93&lt;=75,"Low",TRUE,"Moderate")</f>
        <v>Low</v>
      </c>
      <c r="O93" t="str">
        <f t="shared" si="1"/>
        <v>Adult</v>
      </c>
    </row>
    <row r="94" spans="1:15">
      <c r="A94" t="s">
        <v>159</v>
      </c>
      <c r="B94" t="s">
        <v>143</v>
      </c>
      <c r="C94" t="s">
        <v>21</v>
      </c>
      <c r="D94" t="s">
        <v>27</v>
      </c>
      <c r="E94" s="2">
        <v>24</v>
      </c>
      <c r="F94" t="s">
        <v>34</v>
      </c>
      <c r="G94" t="s">
        <v>31</v>
      </c>
      <c r="H94" s="2">
        <v>74</v>
      </c>
      <c r="I94" s="3">
        <v>7570</v>
      </c>
      <c r="J94" s="4">
        <v>15.29</v>
      </c>
      <c r="K94" s="2">
        <v>56</v>
      </c>
      <c r="L94" s="2">
        <v>3</v>
      </c>
      <c r="M94" s="3">
        <v>38465</v>
      </c>
      <c r="N94" t="str" cm="1">
        <f t="array" ref="N94">_xlfn.IFS(Table1_36[[#This Row],[Patient Satisfaction Score]]&gt;=83,"High",H94&lt;=75,"Low",TRUE,"Moderate")</f>
        <v>Low</v>
      </c>
      <c r="O94" t="str">
        <f t="shared" si="1"/>
        <v>Adult</v>
      </c>
    </row>
    <row r="95" spans="1:15">
      <c r="A95" t="s">
        <v>160</v>
      </c>
      <c r="B95" t="s">
        <v>84</v>
      </c>
      <c r="C95" t="s">
        <v>21</v>
      </c>
      <c r="D95" t="s">
        <v>16</v>
      </c>
      <c r="E95" s="2">
        <v>14</v>
      </c>
      <c r="F95" t="s">
        <v>34</v>
      </c>
      <c r="G95" t="s">
        <v>49</v>
      </c>
      <c r="H95" s="2">
        <v>77</v>
      </c>
      <c r="I95" s="3">
        <v>5036</v>
      </c>
      <c r="J95" s="4">
        <v>14.4</v>
      </c>
      <c r="K95" s="2">
        <v>84</v>
      </c>
      <c r="L95" s="2">
        <v>3</v>
      </c>
      <c r="M95" s="3">
        <v>19973</v>
      </c>
      <c r="N95" t="str" cm="1">
        <f t="array" ref="N95">_xlfn.IFS(Table1_36[[#This Row],[Patient Satisfaction Score]]&gt;=83,"High",H95&lt;=75,"Low",TRUE,"Moderate")</f>
        <v>Moderate</v>
      </c>
      <c r="O95" t="str">
        <f t="shared" si="1"/>
        <v>Pediatric</v>
      </c>
    </row>
    <row r="96" spans="1:15">
      <c r="A96" t="s">
        <v>161</v>
      </c>
      <c r="B96" t="s">
        <v>64</v>
      </c>
      <c r="C96" t="s">
        <v>30</v>
      </c>
      <c r="D96" t="s">
        <v>27</v>
      </c>
      <c r="E96" s="2">
        <v>40</v>
      </c>
      <c r="F96" t="s">
        <v>34</v>
      </c>
      <c r="G96" t="s">
        <v>49</v>
      </c>
      <c r="H96" s="2">
        <v>67</v>
      </c>
      <c r="I96" s="3">
        <v>4794</v>
      </c>
      <c r="J96" s="4">
        <v>22.51</v>
      </c>
      <c r="K96" s="2">
        <v>123</v>
      </c>
      <c r="L96" s="2">
        <v>3</v>
      </c>
      <c r="M96" s="3">
        <v>13417</v>
      </c>
      <c r="N96" t="str" cm="1">
        <f t="array" ref="N96">_xlfn.IFS(Table1_36[[#This Row],[Patient Satisfaction Score]]&gt;=83,"High",H96&lt;=75,"Low",TRUE,"Moderate")</f>
        <v>Low</v>
      </c>
      <c r="O96" t="str">
        <f t="shared" si="1"/>
        <v>Adult</v>
      </c>
    </row>
    <row r="97" spans="1:15">
      <c r="A97" t="s">
        <v>162</v>
      </c>
      <c r="B97" t="s">
        <v>54</v>
      </c>
      <c r="C97" t="s">
        <v>39</v>
      </c>
      <c r="D97" t="s">
        <v>27</v>
      </c>
      <c r="E97" s="2">
        <v>7</v>
      </c>
      <c r="F97" t="s">
        <v>22</v>
      </c>
      <c r="G97" t="s">
        <v>18</v>
      </c>
      <c r="H97" s="2">
        <v>79</v>
      </c>
      <c r="I97" s="3">
        <v>2593</v>
      </c>
      <c r="J97" s="4">
        <v>8.6</v>
      </c>
      <c r="K97" s="2">
        <v>63</v>
      </c>
      <c r="L97" s="2">
        <v>4</v>
      </c>
      <c r="M97" s="3">
        <v>14632</v>
      </c>
      <c r="N97" t="str" cm="1">
        <f t="array" ref="N97">_xlfn.IFS(Table1_36[[#This Row],[Patient Satisfaction Score]]&gt;=83,"High",H97&lt;=75,"Low",TRUE,"Moderate")</f>
        <v>Moderate</v>
      </c>
      <c r="O97" t="str">
        <f t="shared" si="1"/>
        <v>Pediatric</v>
      </c>
    </row>
    <row r="98" spans="1:15">
      <c r="A98" t="s">
        <v>163</v>
      </c>
      <c r="B98" t="s">
        <v>68</v>
      </c>
      <c r="C98" t="s">
        <v>45</v>
      </c>
      <c r="D98" t="s">
        <v>16</v>
      </c>
      <c r="E98" s="2">
        <v>33</v>
      </c>
      <c r="F98" t="s">
        <v>34</v>
      </c>
      <c r="G98" t="s">
        <v>49</v>
      </c>
      <c r="H98" s="2">
        <v>74</v>
      </c>
      <c r="I98" s="3">
        <v>8941</v>
      </c>
      <c r="J98" s="4">
        <v>14.83</v>
      </c>
      <c r="K98" s="2">
        <v>84</v>
      </c>
      <c r="L98" s="2">
        <v>4</v>
      </c>
      <c r="M98" s="3">
        <v>46621</v>
      </c>
      <c r="N98" t="str" cm="1">
        <f t="array" ref="N98">_xlfn.IFS(Table1_36[[#This Row],[Patient Satisfaction Score]]&gt;=83,"High",H98&lt;=75,"Low",TRUE,"Moderate")</f>
        <v>Low</v>
      </c>
      <c r="O98" t="str">
        <f t="shared" si="1"/>
        <v>Adult</v>
      </c>
    </row>
    <row r="99" spans="1:15">
      <c r="A99" t="s">
        <v>164</v>
      </c>
      <c r="B99" t="s">
        <v>38</v>
      </c>
      <c r="C99" t="s">
        <v>39</v>
      </c>
      <c r="D99" t="s">
        <v>16</v>
      </c>
      <c r="E99" s="2">
        <v>8</v>
      </c>
      <c r="F99" t="s">
        <v>17</v>
      </c>
      <c r="G99" t="s">
        <v>31</v>
      </c>
      <c r="H99" s="2">
        <v>87</v>
      </c>
      <c r="I99" s="3">
        <v>1752</v>
      </c>
      <c r="J99" s="4">
        <v>3.04</v>
      </c>
      <c r="K99" s="2">
        <v>6</v>
      </c>
      <c r="L99" s="2">
        <v>4</v>
      </c>
      <c r="M99" s="3">
        <v>5495</v>
      </c>
      <c r="N99" t="str" cm="1">
        <f t="array" ref="N99">_xlfn.IFS(Table1_36[[#This Row],[Patient Satisfaction Score]]&gt;=83,"High",H99&lt;=75,"Low",TRUE,"Moderate")</f>
        <v>High</v>
      </c>
      <c r="O99" t="str">
        <f t="shared" si="1"/>
        <v>Pediatric</v>
      </c>
    </row>
    <row r="100" spans="1:15">
      <c r="A100" t="s">
        <v>165</v>
      </c>
      <c r="B100" t="s">
        <v>135</v>
      </c>
      <c r="C100" t="s">
        <v>48</v>
      </c>
      <c r="D100" t="s">
        <v>16</v>
      </c>
      <c r="E100" s="2">
        <v>16</v>
      </c>
      <c r="F100" t="s">
        <v>17</v>
      </c>
      <c r="G100" t="s">
        <v>23</v>
      </c>
      <c r="H100" s="2">
        <v>83</v>
      </c>
      <c r="I100" s="3">
        <v>4667</v>
      </c>
      <c r="J100" s="4">
        <v>19.010000000000002</v>
      </c>
      <c r="K100" s="2">
        <v>59</v>
      </c>
      <c r="L100" s="2">
        <v>5</v>
      </c>
      <c r="M100" s="3">
        <v>12110</v>
      </c>
      <c r="N100" t="str" cm="1">
        <f t="array" ref="N100">_xlfn.IFS(Table1_36[[#This Row],[Patient Satisfaction Score]]&gt;=83,"High",H100&lt;=75,"Low",TRUE,"Moderate")</f>
        <v>High</v>
      </c>
      <c r="O100" t="str">
        <f t="shared" si="1"/>
        <v>Pediatric</v>
      </c>
    </row>
    <row r="101" spans="1:15">
      <c r="A101" t="s">
        <v>166</v>
      </c>
      <c r="B101" t="s">
        <v>97</v>
      </c>
      <c r="C101" t="s">
        <v>30</v>
      </c>
      <c r="D101" t="s">
        <v>72</v>
      </c>
      <c r="E101" s="2">
        <v>30</v>
      </c>
      <c r="F101" t="s">
        <v>22</v>
      </c>
      <c r="G101" t="s">
        <v>23</v>
      </c>
      <c r="H101" s="2">
        <v>77</v>
      </c>
      <c r="I101" s="3">
        <v>3569</v>
      </c>
      <c r="J101" s="4">
        <v>17.48</v>
      </c>
      <c r="K101" s="2">
        <v>95</v>
      </c>
      <c r="L101" s="2">
        <v>3</v>
      </c>
      <c r="M101" s="3">
        <v>11897</v>
      </c>
      <c r="N101" t="str" cm="1">
        <f t="array" ref="N101">_xlfn.IFS(Table1_36[[#This Row],[Patient Satisfaction Score]]&gt;=83,"High",H101&lt;=75,"Low",TRUE,"Moderate")</f>
        <v>Moderate</v>
      </c>
      <c r="O101" t="str">
        <f t="shared" si="1"/>
        <v>Adult</v>
      </c>
    </row>
    <row r="102" spans="1:15">
      <c r="A102" t="s">
        <v>167</v>
      </c>
      <c r="B102" t="s">
        <v>168</v>
      </c>
      <c r="C102" t="s">
        <v>45</v>
      </c>
      <c r="D102" t="s">
        <v>16</v>
      </c>
      <c r="E102" s="2">
        <v>40</v>
      </c>
      <c r="F102" t="s">
        <v>22</v>
      </c>
      <c r="G102" t="s">
        <v>18</v>
      </c>
      <c r="H102" s="2">
        <v>73</v>
      </c>
      <c r="I102" s="3">
        <v>10279</v>
      </c>
      <c r="J102" s="4">
        <v>18.78</v>
      </c>
      <c r="K102" s="2">
        <v>87</v>
      </c>
      <c r="L102" s="2">
        <v>4</v>
      </c>
      <c r="M102" s="3">
        <v>49732</v>
      </c>
      <c r="N102" t="str" cm="1">
        <f t="array" ref="N102">_xlfn.IFS(Table1_36[[#This Row],[Patient Satisfaction Score]]&gt;=83,"High",H102&lt;=75,"Low",TRUE,"Moderate")</f>
        <v>Low</v>
      </c>
      <c r="O102" t="str">
        <f t="shared" si="1"/>
        <v>Adult</v>
      </c>
    </row>
    <row r="103" spans="1:15">
      <c r="A103" t="s">
        <v>169</v>
      </c>
      <c r="B103" t="s">
        <v>103</v>
      </c>
      <c r="C103" t="s">
        <v>26</v>
      </c>
      <c r="D103" t="s">
        <v>27</v>
      </c>
      <c r="E103" s="2">
        <v>31</v>
      </c>
      <c r="F103" t="s">
        <v>17</v>
      </c>
      <c r="G103" t="s">
        <v>31</v>
      </c>
      <c r="H103" s="2">
        <v>80</v>
      </c>
      <c r="I103" s="3">
        <v>1665</v>
      </c>
      <c r="J103" s="4">
        <v>12.06</v>
      </c>
      <c r="K103" s="2">
        <v>26</v>
      </c>
      <c r="L103" s="2">
        <v>4</v>
      </c>
      <c r="M103" s="3">
        <v>6375</v>
      </c>
      <c r="N103" t="str" cm="1">
        <f t="array" ref="N103">_xlfn.IFS(Table1_36[[#This Row],[Patient Satisfaction Score]]&gt;=83,"High",H103&lt;=75,"Low",TRUE,"Moderate")</f>
        <v>Moderate</v>
      </c>
      <c r="O103" t="str">
        <f t="shared" si="1"/>
        <v>Adult</v>
      </c>
    </row>
    <row r="104" spans="1:15">
      <c r="A104" t="s">
        <v>170</v>
      </c>
      <c r="B104" t="s">
        <v>109</v>
      </c>
      <c r="C104" t="s">
        <v>30</v>
      </c>
      <c r="D104" t="s">
        <v>16</v>
      </c>
      <c r="E104" s="2">
        <v>13</v>
      </c>
      <c r="F104" t="s">
        <v>17</v>
      </c>
      <c r="G104" t="s">
        <v>18</v>
      </c>
      <c r="H104" s="2">
        <v>57</v>
      </c>
      <c r="I104" s="3">
        <v>2603</v>
      </c>
      <c r="J104" s="4">
        <v>25.02</v>
      </c>
      <c r="K104" s="2">
        <v>122</v>
      </c>
      <c r="L104" s="2">
        <v>4</v>
      </c>
      <c r="M104" s="3">
        <v>9190</v>
      </c>
      <c r="N104" t="str" cm="1">
        <f t="array" ref="N104">_xlfn.IFS(Table1_36[[#This Row],[Patient Satisfaction Score]]&gt;=83,"High",H104&lt;=75,"Low",TRUE,"Moderate")</f>
        <v>Low</v>
      </c>
      <c r="O104" t="str">
        <f t="shared" si="1"/>
        <v>Pediatric</v>
      </c>
    </row>
    <row r="105" spans="1:15">
      <c r="A105" t="s">
        <v>171</v>
      </c>
      <c r="B105" t="s">
        <v>74</v>
      </c>
      <c r="C105" t="s">
        <v>45</v>
      </c>
      <c r="D105" t="s">
        <v>16</v>
      </c>
      <c r="E105" s="2">
        <v>64</v>
      </c>
      <c r="F105" t="s">
        <v>17</v>
      </c>
      <c r="G105" t="s">
        <v>70</v>
      </c>
      <c r="H105" s="2">
        <v>83</v>
      </c>
      <c r="I105" s="3">
        <v>8395</v>
      </c>
      <c r="J105" s="4">
        <v>22.38</v>
      </c>
      <c r="K105" s="2">
        <v>94</v>
      </c>
      <c r="L105" s="2">
        <v>4</v>
      </c>
      <c r="M105" s="3">
        <v>28564</v>
      </c>
      <c r="N105" t="str" cm="1">
        <f t="array" ref="N105">_xlfn.IFS(Table1_36[[#This Row],[Patient Satisfaction Score]]&gt;=83,"High",H105&lt;=75,"Low",TRUE,"Moderate")</f>
        <v>High</v>
      </c>
      <c r="O105" t="str">
        <f t="shared" si="1"/>
        <v>Adult</v>
      </c>
    </row>
    <row r="106" spans="1:15">
      <c r="A106" t="s">
        <v>172</v>
      </c>
      <c r="B106" t="s">
        <v>36</v>
      </c>
      <c r="C106" t="s">
        <v>21</v>
      </c>
      <c r="D106" t="s">
        <v>16</v>
      </c>
      <c r="E106" s="2">
        <v>48</v>
      </c>
      <c r="F106" t="s">
        <v>22</v>
      </c>
      <c r="G106" t="s">
        <v>49</v>
      </c>
      <c r="H106" s="2">
        <v>73</v>
      </c>
      <c r="I106" s="3">
        <v>6523</v>
      </c>
      <c r="J106" s="4">
        <v>16.39</v>
      </c>
      <c r="K106" s="2">
        <v>86</v>
      </c>
      <c r="L106" s="2">
        <v>3</v>
      </c>
      <c r="M106" s="3">
        <v>16727</v>
      </c>
      <c r="N106" t="str" cm="1">
        <f t="array" ref="N106">_xlfn.IFS(Table1_36[[#This Row],[Patient Satisfaction Score]]&gt;=83,"High",H106&lt;=75,"Low",TRUE,"Moderate")</f>
        <v>Low</v>
      </c>
      <c r="O106" t="str">
        <f t="shared" si="1"/>
        <v>Adult</v>
      </c>
    </row>
    <row r="107" spans="1:15">
      <c r="A107" t="s">
        <v>173</v>
      </c>
      <c r="B107" t="s">
        <v>54</v>
      </c>
      <c r="C107" t="s">
        <v>39</v>
      </c>
      <c r="D107" t="s">
        <v>16</v>
      </c>
      <c r="E107" s="2">
        <v>12</v>
      </c>
      <c r="F107" t="s">
        <v>22</v>
      </c>
      <c r="G107" t="s">
        <v>49</v>
      </c>
      <c r="H107" s="2">
        <v>78</v>
      </c>
      <c r="I107" s="3">
        <v>4203</v>
      </c>
      <c r="J107" s="4">
        <v>10.87</v>
      </c>
      <c r="K107" s="2">
        <v>71</v>
      </c>
      <c r="L107" s="2">
        <v>4</v>
      </c>
      <c r="M107" s="3">
        <v>10669</v>
      </c>
      <c r="N107" t="str" cm="1">
        <f t="array" ref="N107">_xlfn.IFS(Table1_36[[#This Row],[Patient Satisfaction Score]]&gt;=83,"High",H107&lt;=75,"Low",TRUE,"Moderate")</f>
        <v>Moderate</v>
      </c>
      <c r="O107" t="str">
        <f t="shared" si="1"/>
        <v>Pediatric</v>
      </c>
    </row>
    <row r="108" spans="1:15">
      <c r="A108" t="s">
        <v>174</v>
      </c>
      <c r="B108" t="s">
        <v>137</v>
      </c>
      <c r="C108" t="s">
        <v>26</v>
      </c>
      <c r="D108" t="s">
        <v>27</v>
      </c>
      <c r="E108" s="2">
        <v>50</v>
      </c>
      <c r="F108" t="s">
        <v>17</v>
      </c>
      <c r="G108" t="s">
        <v>31</v>
      </c>
      <c r="H108" s="2">
        <v>73</v>
      </c>
      <c r="I108" s="3">
        <v>3332</v>
      </c>
      <c r="J108" s="4">
        <v>9.06</v>
      </c>
      <c r="K108" s="2">
        <v>64</v>
      </c>
      <c r="L108" s="2">
        <v>3</v>
      </c>
      <c r="M108" s="3">
        <v>14381</v>
      </c>
      <c r="N108" t="str" cm="1">
        <f t="array" ref="N108">_xlfn.IFS(Table1_36[[#This Row],[Patient Satisfaction Score]]&gt;=83,"High",H108&lt;=75,"Low",TRUE,"Moderate")</f>
        <v>Low</v>
      </c>
      <c r="O108" t="str">
        <f t="shared" si="1"/>
        <v>Adult</v>
      </c>
    </row>
    <row r="109" spans="1:15">
      <c r="A109" t="s">
        <v>175</v>
      </c>
      <c r="B109" t="s">
        <v>168</v>
      </c>
      <c r="C109" t="s">
        <v>45</v>
      </c>
      <c r="D109" t="s">
        <v>27</v>
      </c>
      <c r="E109" s="2">
        <v>38</v>
      </c>
      <c r="F109" t="s">
        <v>17</v>
      </c>
      <c r="G109" t="s">
        <v>31</v>
      </c>
      <c r="H109" s="2">
        <v>65</v>
      </c>
      <c r="I109" s="3">
        <v>6418</v>
      </c>
      <c r="J109" s="4">
        <v>19.32</v>
      </c>
      <c r="K109" s="2">
        <v>98</v>
      </c>
      <c r="L109" s="2">
        <v>3</v>
      </c>
      <c r="M109" s="3">
        <v>24034</v>
      </c>
      <c r="N109" t="str" cm="1">
        <f t="array" ref="N109">_xlfn.IFS(Table1_36[[#This Row],[Patient Satisfaction Score]]&gt;=83,"High",H109&lt;=75,"Low",TRUE,"Moderate")</f>
        <v>Low</v>
      </c>
      <c r="O109" t="str">
        <f t="shared" si="1"/>
        <v>Adult</v>
      </c>
    </row>
    <row r="110" spans="1:15">
      <c r="A110" t="s">
        <v>176</v>
      </c>
      <c r="B110" t="s">
        <v>47</v>
      </c>
      <c r="C110" t="s">
        <v>48</v>
      </c>
      <c r="D110" t="s">
        <v>16</v>
      </c>
      <c r="E110" s="2">
        <v>25</v>
      </c>
      <c r="F110" t="s">
        <v>17</v>
      </c>
      <c r="G110" t="s">
        <v>40</v>
      </c>
      <c r="H110" s="2">
        <v>74</v>
      </c>
      <c r="I110" s="3">
        <v>4860</v>
      </c>
      <c r="J110" s="4">
        <v>22.53</v>
      </c>
      <c r="K110" s="2">
        <v>96</v>
      </c>
      <c r="L110" s="2">
        <v>4</v>
      </c>
      <c r="M110" s="3">
        <v>24611</v>
      </c>
      <c r="N110" t="str" cm="1">
        <f t="array" ref="N110">_xlfn.IFS(Table1_36[[#This Row],[Patient Satisfaction Score]]&gt;=83,"High",H110&lt;=75,"Low",TRUE,"Moderate")</f>
        <v>Low</v>
      </c>
      <c r="O110" t="str">
        <f t="shared" si="1"/>
        <v>Adult</v>
      </c>
    </row>
    <row r="111" spans="1:15">
      <c r="A111" t="s">
        <v>177</v>
      </c>
      <c r="B111" t="s">
        <v>74</v>
      </c>
      <c r="C111" t="s">
        <v>45</v>
      </c>
      <c r="D111" t="s">
        <v>16</v>
      </c>
      <c r="E111" s="2">
        <v>57</v>
      </c>
      <c r="F111" t="s">
        <v>17</v>
      </c>
      <c r="G111" t="s">
        <v>40</v>
      </c>
      <c r="H111" s="2">
        <v>71</v>
      </c>
      <c r="I111" s="3">
        <v>8990</v>
      </c>
      <c r="J111" s="4">
        <v>14.36</v>
      </c>
      <c r="K111" s="2">
        <v>64</v>
      </c>
      <c r="L111" s="2">
        <v>4</v>
      </c>
      <c r="M111" s="3">
        <v>46731</v>
      </c>
      <c r="N111" t="str" cm="1">
        <f t="array" ref="N111">_xlfn.IFS(Table1_36[[#This Row],[Patient Satisfaction Score]]&gt;=83,"High",H111&lt;=75,"Low",TRUE,"Moderate")</f>
        <v>Low</v>
      </c>
      <c r="O111" t="str">
        <f t="shared" si="1"/>
        <v>Adult</v>
      </c>
    </row>
    <row r="112" spans="1:15">
      <c r="A112" t="s">
        <v>178</v>
      </c>
      <c r="B112" t="s">
        <v>25</v>
      </c>
      <c r="C112" t="s">
        <v>39</v>
      </c>
      <c r="D112" t="s">
        <v>16</v>
      </c>
      <c r="E112" s="2">
        <v>6</v>
      </c>
      <c r="F112" t="s">
        <v>17</v>
      </c>
      <c r="G112" t="s">
        <v>18</v>
      </c>
      <c r="H112" s="2">
        <v>79</v>
      </c>
      <c r="I112" s="3">
        <v>2623</v>
      </c>
      <c r="J112" s="4">
        <v>15.25</v>
      </c>
      <c r="K112" s="2">
        <v>95</v>
      </c>
      <c r="L112" s="2">
        <v>4</v>
      </c>
      <c r="M112" s="3">
        <v>13896</v>
      </c>
      <c r="N112" t="str" cm="1">
        <f t="array" ref="N112">_xlfn.IFS(Table1_36[[#This Row],[Patient Satisfaction Score]]&gt;=83,"High",H112&lt;=75,"Low",TRUE,"Moderate")</f>
        <v>Moderate</v>
      </c>
      <c r="O112" t="str">
        <f t="shared" si="1"/>
        <v>Pediatric</v>
      </c>
    </row>
    <row r="113" spans="1:15">
      <c r="A113" t="s">
        <v>179</v>
      </c>
      <c r="B113" t="s">
        <v>143</v>
      </c>
      <c r="C113" t="s">
        <v>21</v>
      </c>
      <c r="D113" t="s">
        <v>27</v>
      </c>
      <c r="E113" s="2">
        <v>23</v>
      </c>
      <c r="F113" t="s">
        <v>17</v>
      </c>
      <c r="G113" t="s">
        <v>31</v>
      </c>
      <c r="H113" s="2">
        <v>65</v>
      </c>
      <c r="I113" s="3">
        <v>4208</v>
      </c>
      <c r="J113" s="4">
        <v>19.579999999999998</v>
      </c>
      <c r="K113" s="2">
        <v>108</v>
      </c>
      <c r="L113" s="2">
        <v>3</v>
      </c>
      <c r="M113" s="3">
        <v>18501</v>
      </c>
      <c r="N113" t="str" cm="1">
        <f t="array" ref="N113">_xlfn.IFS(Table1_36[[#This Row],[Patient Satisfaction Score]]&gt;=83,"High",H113&lt;=75,"Low",TRUE,"Moderate")</f>
        <v>Low</v>
      </c>
      <c r="O113" t="str">
        <f t="shared" si="1"/>
        <v>Adult</v>
      </c>
    </row>
    <row r="114" spans="1:15">
      <c r="A114" t="s">
        <v>180</v>
      </c>
      <c r="B114" t="s">
        <v>51</v>
      </c>
      <c r="C114" t="s">
        <v>52</v>
      </c>
      <c r="D114" t="s">
        <v>27</v>
      </c>
      <c r="E114" s="2">
        <v>52</v>
      </c>
      <c r="F114" t="s">
        <v>34</v>
      </c>
      <c r="G114" t="s">
        <v>49</v>
      </c>
      <c r="H114" s="2">
        <v>79</v>
      </c>
      <c r="I114" s="3">
        <v>8895</v>
      </c>
      <c r="J114" s="4">
        <v>18.32</v>
      </c>
      <c r="K114" s="2">
        <v>92</v>
      </c>
      <c r="L114" s="2">
        <v>4</v>
      </c>
      <c r="M114" s="3">
        <v>30010</v>
      </c>
      <c r="N114" t="str" cm="1">
        <f t="array" ref="N114">_xlfn.IFS(Table1_36[[#This Row],[Patient Satisfaction Score]]&gt;=83,"High",H114&lt;=75,"Low",TRUE,"Moderate")</f>
        <v>Moderate</v>
      </c>
      <c r="O114" t="str">
        <f t="shared" si="1"/>
        <v>Adult</v>
      </c>
    </row>
    <row r="115" spans="1:15">
      <c r="A115" t="s">
        <v>181</v>
      </c>
      <c r="B115" t="s">
        <v>168</v>
      </c>
      <c r="C115" t="s">
        <v>45</v>
      </c>
      <c r="D115" t="s">
        <v>27</v>
      </c>
      <c r="E115" s="2">
        <v>14</v>
      </c>
      <c r="F115" t="s">
        <v>34</v>
      </c>
      <c r="G115" t="s">
        <v>70</v>
      </c>
      <c r="H115" s="2">
        <v>77</v>
      </c>
      <c r="I115" s="3">
        <v>10473</v>
      </c>
      <c r="J115" s="4">
        <v>17.54</v>
      </c>
      <c r="K115" s="2">
        <v>93</v>
      </c>
      <c r="L115" s="2">
        <v>4</v>
      </c>
      <c r="M115" s="3">
        <v>61777</v>
      </c>
      <c r="N115" t="str" cm="1">
        <f t="array" ref="N115">_xlfn.IFS(Table1_36[[#This Row],[Patient Satisfaction Score]]&gt;=83,"High",H115&lt;=75,"Low",TRUE,"Moderate")</f>
        <v>Moderate</v>
      </c>
      <c r="O115" t="str">
        <f t="shared" si="1"/>
        <v>Pediatric</v>
      </c>
    </row>
    <row r="116" spans="1:15">
      <c r="A116" t="s">
        <v>182</v>
      </c>
      <c r="B116" t="s">
        <v>29</v>
      </c>
      <c r="C116" t="s">
        <v>30</v>
      </c>
      <c r="D116" t="s">
        <v>27</v>
      </c>
      <c r="E116" s="2">
        <v>44</v>
      </c>
      <c r="F116" t="s">
        <v>17</v>
      </c>
      <c r="G116" t="s">
        <v>40</v>
      </c>
      <c r="H116" s="2">
        <v>75</v>
      </c>
      <c r="I116" s="3">
        <v>3519</v>
      </c>
      <c r="J116" s="4">
        <v>18.12</v>
      </c>
      <c r="K116" s="2">
        <v>123</v>
      </c>
      <c r="L116" s="2">
        <v>4</v>
      </c>
      <c r="M116" s="3">
        <v>9253</v>
      </c>
      <c r="N116" t="str" cm="1">
        <f t="array" ref="N116">_xlfn.IFS(Table1_36[[#This Row],[Patient Satisfaction Score]]&gt;=83,"High",H116&lt;=75,"Low",TRUE,"Moderate")</f>
        <v>Low</v>
      </c>
      <c r="O116" t="str">
        <f t="shared" si="1"/>
        <v>Adult</v>
      </c>
    </row>
    <row r="117" spans="1:15">
      <c r="A117" t="s">
        <v>183</v>
      </c>
      <c r="B117" t="s">
        <v>122</v>
      </c>
      <c r="C117" t="s">
        <v>48</v>
      </c>
      <c r="D117" t="s">
        <v>16</v>
      </c>
      <c r="E117" s="2">
        <v>16</v>
      </c>
      <c r="F117" t="s">
        <v>34</v>
      </c>
      <c r="G117" t="s">
        <v>49</v>
      </c>
      <c r="H117" s="2">
        <v>75</v>
      </c>
      <c r="I117" s="3">
        <v>4749</v>
      </c>
      <c r="J117" s="4">
        <v>17.11</v>
      </c>
      <c r="K117" s="2">
        <v>85</v>
      </c>
      <c r="L117" s="2">
        <v>4</v>
      </c>
      <c r="M117" s="3">
        <v>17113</v>
      </c>
      <c r="N117" t="str" cm="1">
        <f t="array" ref="N117">_xlfn.IFS(Table1_36[[#This Row],[Patient Satisfaction Score]]&gt;=83,"High",H117&lt;=75,"Low",TRUE,"Moderate")</f>
        <v>Low</v>
      </c>
      <c r="O117" t="str">
        <f t="shared" si="1"/>
        <v>Pediatric</v>
      </c>
    </row>
    <row r="118" spans="1:15">
      <c r="A118" t="s">
        <v>184</v>
      </c>
      <c r="B118" t="s">
        <v>185</v>
      </c>
      <c r="C118" t="s">
        <v>52</v>
      </c>
      <c r="D118" t="s">
        <v>27</v>
      </c>
      <c r="E118" s="2">
        <v>73</v>
      </c>
      <c r="F118" t="s">
        <v>34</v>
      </c>
      <c r="G118" t="s">
        <v>70</v>
      </c>
      <c r="H118" s="2">
        <v>82</v>
      </c>
      <c r="I118" s="3">
        <v>9650</v>
      </c>
      <c r="J118" s="4">
        <v>8.06</v>
      </c>
      <c r="K118" s="2">
        <v>83</v>
      </c>
      <c r="L118" s="2">
        <v>4</v>
      </c>
      <c r="M118" s="3">
        <v>31993</v>
      </c>
      <c r="N118" t="str" cm="1">
        <f t="array" ref="N118">_xlfn.IFS(Table1_36[[#This Row],[Patient Satisfaction Score]]&gt;=83,"High",H118&lt;=75,"Low",TRUE,"Moderate")</f>
        <v>Moderate</v>
      </c>
      <c r="O118" t="str">
        <f t="shared" si="1"/>
        <v>Adult</v>
      </c>
    </row>
    <row r="119" spans="1:15">
      <c r="A119" t="s">
        <v>186</v>
      </c>
      <c r="B119" t="s">
        <v>187</v>
      </c>
      <c r="C119" t="s">
        <v>30</v>
      </c>
      <c r="D119" t="s">
        <v>27</v>
      </c>
      <c r="E119" s="2">
        <v>59</v>
      </c>
      <c r="F119" t="s">
        <v>22</v>
      </c>
      <c r="G119" t="s">
        <v>70</v>
      </c>
      <c r="H119" s="2">
        <v>71</v>
      </c>
      <c r="I119" s="3">
        <v>4356</v>
      </c>
      <c r="J119" s="4">
        <v>15.27</v>
      </c>
      <c r="K119" s="2">
        <v>110</v>
      </c>
      <c r="L119" s="2">
        <v>3</v>
      </c>
      <c r="M119" s="3">
        <v>20456</v>
      </c>
      <c r="N119" t="str" cm="1">
        <f t="array" ref="N119">_xlfn.IFS(Table1_36[[#This Row],[Patient Satisfaction Score]]&gt;=83,"High",H119&lt;=75,"Low",TRUE,"Moderate")</f>
        <v>Low</v>
      </c>
      <c r="O119" t="str">
        <f t="shared" si="1"/>
        <v>Adult</v>
      </c>
    </row>
    <row r="120" spans="1:15">
      <c r="A120" t="s">
        <v>188</v>
      </c>
      <c r="B120" t="s">
        <v>36</v>
      </c>
      <c r="C120" t="s">
        <v>21</v>
      </c>
      <c r="D120" t="s">
        <v>16</v>
      </c>
      <c r="E120" s="2">
        <v>36</v>
      </c>
      <c r="F120" t="s">
        <v>22</v>
      </c>
      <c r="G120" t="s">
        <v>49</v>
      </c>
      <c r="H120" s="2">
        <v>72</v>
      </c>
      <c r="I120" s="3">
        <v>8553</v>
      </c>
      <c r="J120" s="4">
        <v>12.91</v>
      </c>
      <c r="K120" s="2">
        <v>119</v>
      </c>
      <c r="L120" s="2">
        <v>3</v>
      </c>
      <c r="M120" s="3">
        <v>31998</v>
      </c>
      <c r="N120" t="str" cm="1">
        <f t="array" ref="N120">_xlfn.IFS(Table1_36[[#This Row],[Patient Satisfaction Score]]&gt;=83,"High",H120&lt;=75,"Low",TRUE,"Moderate")</f>
        <v>Low</v>
      </c>
      <c r="O120" t="str">
        <f t="shared" si="1"/>
        <v>Adult</v>
      </c>
    </row>
    <row r="121" spans="1:15">
      <c r="A121" t="s">
        <v>189</v>
      </c>
      <c r="B121" t="s">
        <v>187</v>
      </c>
      <c r="C121" t="s">
        <v>30</v>
      </c>
      <c r="D121" t="s">
        <v>16</v>
      </c>
      <c r="E121" s="2">
        <v>24</v>
      </c>
      <c r="F121" t="s">
        <v>22</v>
      </c>
      <c r="G121" t="s">
        <v>23</v>
      </c>
      <c r="H121" s="2">
        <v>72</v>
      </c>
      <c r="I121" s="3">
        <v>2146</v>
      </c>
      <c r="J121" s="4">
        <v>13.17</v>
      </c>
      <c r="K121" s="2">
        <v>88</v>
      </c>
      <c r="L121" s="2">
        <v>4</v>
      </c>
      <c r="M121" s="3">
        <v>12500</v>
      </c>
      <c r="N121" t="str" cm="1">
        <f t="array" ref="N121">_xlfn.IFS(Table1_36[[#This Row],[Patient Satisfaction Score]]&gt;=83,"High",H121&lt;=75,"Low",TRUE,"Moderate")</f>
        <v>Low</v>
      </c>
      <c r="O121" t="str">
        <f t="shared" si="1"/>
        <v>Adult</v>
      </c>
    </row>
    <row r="122" spans="1:15">
      <c r="A122" t="s">
        <v>190</v>
      </c>
      <c r="B122" t="s">
        <v>88</v>
      </c>
      <c r="C122" t="s">
        <v>15</v>
      </c>
      <c r="D122" t="s">
        <v>27</v>
      </c>
      <c r="E122" s="2">
        <v>64</v>
      </c>
      <c r="F122" t="s">
        <v>34</v>
      </c>
      <c r="G122" t="s">
        <v>18</v>
      </c>
      <c r="H122" s="2">
        <v>70</v>
      </c>
      <c r="I122" s="3">
        <v>6930</v>
      </c>
      <c r="J122" s="4">
        <v>18.7</v>
      </c>
      <c r="K122" s="2">
        <v>80</v>
      </c>
      <c r="L122" s="2">
        <v>4</v>
      </c>
      <c r="M122" s="3">
        <v>41365</v>
      </c>
      <c r="N122" t="str" cm="1">
        <f t="array" ref="N122">_xlfn.IFS(Table1_36[[#This Row],[Patient Satisfaction Score]]&gt;=83,"High",H122&lt;=75,"Low",TRUE,"Moderate")</f>
        <v>Low</v>
      </c>
      <c r="O122" t="str">
        <f t="shared" si="1"/>
        <v>Adult</v>
      </c>
    </row>
    <row r="123" spans="1:15">
      <c r="A123" t="s">
        <v>191</v>
      </c>
      <c r="B123" t="s">
        <v>64</v>
      </c>
      <c r="C123" t="s">
        <v>30</v>
      </c>
      <c r="D123" t="s">
        <v>27</v>
      </c>
      <c r="E123" s="2">
        <v>68</v>
      </c>
      <c r="F123" t="s">
        <v>17</v>
      </c>
      <c r="G123" t="s">
        <v>70</v>
      </c>
      <c r="H123" s="2">
        <v>66</v>
      </c>
      <c r="I123" s="3">
        <v>2401</v>
      </c>
      <c r="J123" s="4">
        <v>18.3</v>
      </c>
      <c r="K123" s="2">
        <v>142</v>
      </c>
      <c r="L123" s="2">
        <v>3</v>
      </c>
      <c r="M123" s="3">
        <v>7569</v>
      </c>
      <c r="N123" t="str" cm="1">
        <f t="array" ref="N123">_xlfn.IFS(Table1_36[[#This Row],[Patient Satisfaction Score]]&gt;=83,"High",H123&lt;=75,"Low",TRUE,"Moderate")</f>
        <v>Low</v>
      </c>
      <c r="O123" t="str">
        <f t="shared" si="1"/>
        <v>Adult</v>
      </c>
    </row>
    <row r="124" spans="1:15">
      <c r="A124" t="s">
        <v>192</v>
      </c>
      <c r="B124" t="s">
        <v>25</v>
      </c>
      <c r="C124" t="s">
        <v>39</v>
      </c>
      <c r="D124" t="s">
        <v>16</v>
      </c>
      <c r="E124" s="2">
        <v>8</v>
      </c>
      <c r="F124" t="s">
        <v>34</v>
      </c>
      <c r="G124" t="s">
        <v>40</v>
      </c>
      <c r="H124" s="2">
        <v>78</v>
      </c>
      <c r="I124" s="3">
        <v>3852</v>
      </c>
      <c r="J124" s="4">
        <v>5.72</v>
      </c>
      <c r="K124" s="2">
        <v>83</v>
      </c>
      <c r="L124" s="2">
        <v>4</v>
      </c>
      <c r="M124" s="3">
        <v>20629</v>
      </c>
      <c r="N124" t="str" cm="1">
        <f t="array" ref="N124">_xlfn.IFS(Table1_36[[#This Row],[Patient Satisfaction Score]]&gt;=83,"High",H124&lt;=75,"Low",TRUE,"Moderate")</f>
        <v>Moderate</v>
      </c>
      <c r="O124" t="str">
        <f t="shared" si="1"/>
        <v>Pediatric</v>
      </c>
    </row>
    <row r="125" spans="1:15">
      <c r="A125" t="s">
        <v>193</v>
      </c>
      <c r="B125" t="s">
        <v>25</v>
      </c>
      <c r="C125" t="s">
        <v>26</v>
      </c>
      <c r="D125" t="s">
        <v>16</v>
      </c>
      <c r="E125" s="2">
        <v>30</v>
      </c>
      <c r="F125" t="s">
        <v>34</v>
      </c>
      <c r="G125" t="s">
        <v>23</v>
      </c>
      <c r="H125" s="2">
        <v>83</v>
      </c>
      <c r="I125" s="3">
        <v>3678</v>
      </c>
      <c r="J125" s="4">
        <v>8.75</v>
      </c>
      <c r="K125" s="2">
        <v>30</v>
      </c>
      <c r="L125" s="2">
        <v>4</v>
      </c>
      <c r="M125" s="3">
        <v>20490</v>
      </c>
      <c r="N125" t="str" cm="1">
        <f t="array" ref="N125">_xlfn.IFS(Table1_36[[#This Row],[Patient Satisfaction Score]]&gt;=83,"High",H125&lt;=75,"Low",TRUE,"Moderate")</f>
        <v>High</v>
      </c>
      <c r="O125" t="str">
        <f t="shared" si="1"/>
        <v>Adult</v>
      </c>
    </row>
    <row r="126" spans="1:15">
      <c r="A126" t="s">
        <v>194</v>
      </c>
      <c r="B126" t="s">
        <v>64</v>
      </c>
      <c r="C126" t="s">
        <v>30</v>
      </c>
      <c r="D126" t="s">
        <v>27</v>
      </c>
      <c r="E126" s="2">
        <v>32</v>
      </c>
      <c r="F126" t="s">
        <v>17</v>
      </c>
      <c r="G126" t="s">
        <v>31</v>
      </c>
      <c r="H126" s="2">
        <v>76</v>
      </c>
      <c r="I126" s="3">
        <v>3700</v>
      </c>
      <c r="J126" s="4">
        <v>19.34</v>
      </c>
      <c r="K126" s="2">
        <v>102</v>
      </c>
      <c r="L126" s="2">
        <v>5</v>
      </c>
      <c r="M126" s="3">
        <v>10376</v>
      </c>
      <c r="N126" t="str" cm="1">
        <f t="array" ref="N126">_xlfn.IFS(Table1_36[[#This Row],[Patient Satisfaction Score]]&gt;=83,"High",H126&lt;=75,"Low",TRUE,"Moderate")</f>
        <v>Moderate</v>
      </c>
      <c r="O126" t="str">
        <f t="shared" si="1"/>
        <v>Adult</v>
      </c>
    </row>
    <row r="127" spans="1:15">
      <c r="A127" t="s">
        <v>195</v>
      </c>
      <c r="B127" t="s">
        <v>109</v>
      </c>
      <c r="C127" t="s">
        <v>30</v>
      </c>
      <c r="D127" t="s">
        <v>16</v>
      </c>
      <c r="E127" s="2">
        <v>10</v>
      </c>
      <c r="F127" t="s">
        <v>17</v>
      </c>
      <c r="G127" t="s">
        <v>23</v>
      </c>
      <c r="H127" s="2">
        <v>73</v>
      </c>
      <c r="I127" s="3">
        <v>4118</v>
      </c>
      <c r="J127" s="4">
        <v>14.2</v>
      </c>
      <c r="K127" s="2">
        <v>84</v>
      </c>
      <c r="L127" s="2">
        <v>4</v>
      </c>
      <c r="M127" s="3">
        <v>13468</v>
      </c>
      <c r="N127" t="str" cm="1">
        <f t="array" ref="N127">_xlfn.IFS(Table1_36[[#This Row],[Patient Satisfaction Score]]&gt;=83,"High",H127&lt;=75,"Low",TRUE,"Moderate")</f>
        <v>Low</v>
      </c>
      <c r="O127" t="str">
        <f t="shared" si="1"/>
        <v>Pediatric</v>
      </c>
    </row>
    <row r="128" spans="1:15">
      <c r="A128" t="s">
        <v>196</v>
      </c>
      <c r="B128" t="s">
        <v>143</v>
      </c>
      <c r="C128" t="s">
        <v>21</v>
      </c>
      <c r="D128" t="s">
        <v>27</v>
      </c>
      <c r="E128" s="2">
        <v>34</v>
      </c>
      <c r="F128" t="s">
        <v>22</v>
      </c>
      <c r="G128" t="s">
        <v>23</v>
      </c>
      <c r="H128" s="2">
        <v>86</v>
      </c>
      <c r="I128" s="3">
        <v>6478</v>
      </c>
      <c r="J128" s="4">
        <v>19.75</v>
      </c>
      <c r="K128" s="2">
        <v>94</v>
      </c>
      <c r="L128" s="2">
        <v>4</v>
      </c>
      <c r="M128" s="3">
        <v>34892</v>
      </c>
      <c r="N128" t="str" cm="1">
        <f t="array" ref="N128">_xlfn.IFS(Table1_36[[#This Row],[Patient Satisfaction Score]]&gt;=83,"High",H128&lt;=75,"Low",TRUE,"Moderate")</f>
        <v>High</v>
      </c>
      <c r="O128" t="str">
        <f t="shared" si="1"/>
        <v>Adult</v>
      </c>
    </row>
    <row r="129" spans="1:15">
      <c r="A129" t="s">
        <v>197</v>
      </c>
      <c r="B129" t="s">
        <v>185</v>
      </c>
      <c r="C129" t="s">
        <v>52</v>
      </c>
      <c r="D129" t="s">
        <v>16</v>
      </c>
      <c r="E129" s="2">
        <v>71</v>
      </c>
      <c r="F129" t="s">
        <v>34</v>
      </c>
      <c r="G129" t="s">
        <v>18</v>
      </c>
      <c r="H129" s="2">
        <v>81</v>
      </c>
      <c r="I129" s="3">
        <v>5376</v>
      </c>
      <c r="J129" s="4">
        <v>15.85</v>
      </c>
      <c r="K129" s="2">
        <v>57</v>
      </c>
      <c r="L129" s="2">
        <v>4</v>
      </c>
      <c r="M129" s="3">
        <v>25829</v>
      </c>
      <c r="N129" t="str" cm="1">
        <f t="array" ref="N129">_xlfn.IFS(Table1_36[[#This Row],[Patient Satisfaction Score]]&gt;=83,"High",H129&lt;=75,"Low",TRUE,"Moderate")</f>
        <v>Moderate</v>
      </c>
      <c r="O129" t="str">
        <f t="shared" si="1"/>
        <v>Adult</v>
      </c>
    </row>
    <row r="130" spans="1:15">
      <c r="A130" t="s">
        <v>198</v>
      </c>
      <c r="B130" t="s">
        <v>54</v>
      </c>
      <c r="C130" t="s">
        <v>15</v>
      </c>
      <c r="D130" t="s">
        <v>72</v>
      </c>
      <c r="E130" s="2">
        <v>61</v>
      </c>
      <c r="F130" t="s">
        <v>17</v>
      </c>
      <c r="G130" t="s">
        <v>49</v>
      </c>
      <c r="H130" s="2">
        <v>80</v>
      </c>
      <c r="I130" s="3">
        <v>8493</v>
      </c>
      <c r="J130" s="4">
        <v>20.68</v>
      </c>
      <c r="K130" s="2">
        <v>95</v>
      </c>
      <c r="L130" s="2">
        <v>4</v>
      </c>
      <c r="M130" s="3">
        <v>25947</v>
      </c>
      <c r="N130" t="str" cm="1">
        <f t="array" ref="N130">_xlfn.IFS(Table1_36[[#This Row],[Patient Satisfaction Score]]&gt;=83,"High",H130&lt;=75,"Low",TRUE,"Moderate")</f>
        <v>Moderate</v>
      </c>
      <c r="O130" t="str">
        <f t="shared" ref="O130:O193" si="2">IF(E130&lt;19,"Pediatric","Adult")</f>
        <v>Adult</v>
      </c>
    </row>
    <row r="131" spans="1:15">
      <c r="A131" t="s">
        <v>199</v>
      </c>
      <c r="B131" t="s">
        <v>64</v>
      </c>
      <c r="C131" t="s">
        <v>30</v>
      </c>
      <c r="D131" t="s">
        <v>16</v>
      </c>
      <c r="E131" s="2">
        <v>37</v>
      </c>
      <c r="F131" t="s">
        <v>34</v>
      </c>
      <c r="G131" t="s">
        <v>70</v>
      </c>
      <c r="H131" s="2">
        <v>75</v>
      </c>
      <c r="I131" s="3">
        <v>3017</v>
      </c>
      <c r="J131" s="4">
        <v>19.98</v>
      </c>
      <c r="K131" s="2">
        <v>93</v>
      </c>
      <c r="L131" s="2">
        <v>4</v>
      </c>
      <c r="M131" s="3">
        <v>12901</v>
      </c>
      <c r="N131" t="str" cm="1">
        <f t="array" ref="N131">_xlfn.IFS(Table1_36[[#This Row],[Patient Satisfaction Score]]&gt;=83,"High",H131&lt;=75,"Low",TRUE,"Moderate")</f>
        <v>Low</v>
      </c>
      <c r="O131" t="str">
        <f t="shared" si="2"/>
        <v>Adult</v>
      </c>
    </row>
    <row r="132" spans="1:15">
      <c r="A132" t="s">
        <v>200</v>
      </c>
      <c r="B132" t="s">
        <v>51</v>
      </c>
      <c r="C132" t="s">
        <v>52</v>
      </c>
      <c r="D132" t="s">
        <v>16</v>
      </c>
      <c r="E132" s="2">
        <v>48</v>
      </c>
      <c r="F132" t="s">
        <v>22</v>
      </c>
      <c r="G132" t="s">
        <v>18</v>
      </c>
      <c r="H132" s="2">
        <v>80</v>
      </c>
      <c r="I132" s="3">
        <v>5824</v>
      </c>
      <c r="J132" s="4">
        <v>16.989999999999998</v>
      </c>
      <c r="K132" s="2">
        <v>80</v>
      </c>
      <c r="L132" s="2">
        <v>5</v>
      </c>
      <c r="M132" s="3">
        <v>30456</v>
      </c>
      <c r="N132" t="str" cm="1">
        <f t="array" ref="N132">_xlfn.IFS(Table1_36[[#This Row],[Patient Satisfaction Score]]&gt;=83,"High",H132&lt;=75,"Low",TRUE,"Moderate")</f>
        <v>Moderate</v>
      </c>
      <c r="O132" t="str">
        <f t="shared" si="2"/>
        <v>Adult</v>
      </c>
    </row>
    <row r="133" spans="1:15">
      <c r="A133" t="s">
        <v>201</v>
      </c>
      <c r="B133" t="s">
        <v>80</v>
      </c>
      <c r="C133" t="s">
        <v>15</v>
      </c>
      <c r="D133" t="s">
        <v>16</v>
      </c>
      <c r="E133" s="2">
        <v>50</v>
      </c>
      <c r="F133" t="s">
        <v>22</v>
      </c>
      <c r="G133" t="s">
        <v>23</v>
      </c>
      <c r="H133" s="2">
        <v>83</v>
      </c>
      <c r="I133" s="3">
        <v>7753</v>
      </c>
      <c r="J133" s="4">
        <v>16.190000000000001</v>
      </c>
      <c r="K133" s="2">
        <v>76</v>
      </c>
      <c r="L133" s="2">
        <v>4</v>
      </c>
      <c r="M133" s="3">
        <v>44673</v>
      </c>
      <c r="N133" t="str" cm="1">
        <f t="array" ref="N133">_xlfn.IFS(Table1_36[[#This Row],[Patient Satisfaction Score]]&gt;=83,"High",H133&lt;=75,"Low",TRUE,"Moderate")</f>
        <v>High</v>
      </c>
      <c r="O133" t="str">
        <f t="shared" si="2"/>
        <v>Adult</v>
      </c>
    </row>
    <row r="134" spans="1:15">
      <c r="A134" t="s">
        <v>202</v>
      </c>
      <c r="B134" t="s">
        <v>64</v>
      </c>
      <c r="C134" t="s">
        <v>30</v>
      </c>
      <c r="D134" t="s">
        <v>16</v>
      </c>
      <c r="E134" s="2">
        <v>36</v>
      </c>
      <c r="F134" t="s">
        <v>22</v>
      </c>
      <c r="G134" t="s">
        <v>40</v>
      </c>
      <c r="H134" s="2">
        <v>75</v>
      </c>
      <c r="I134" s="3">
        <v>4251</v>
      </c>
      <c r="J134" s="4">
        <v>13.89</v>
      </c>
      <c r="K134" s="2">
        <v>113</v>
      </c>
      <c r="L134" s="2">
        <v>3</v>
      </c>
      <c r="M134" s="3">
        <v>15773</v>
      </c>
      <c r="N134" t="str" cm="1">
        <f t="array" ref="N134">_xlfn.IFS(Table1_36[[#This Row],[Patient Satisfaction Score]]&gt;=83,"High",H134&lt;=75,"Low",TRUE,"Moderate")</f>
        <v>Low</v>
      </c>
      <c r="O134" t="str">
        <f t="shared" si="2"/>
        <v>Adult</v>
      </c>
    </row>
    <row r="135" spans="1:15">
      <c r="A135" t="s">
        <v>203</v>
      </c>
      <c r="B135" t="s">
        <v>78</v>
      </c>
      <c r="C135" t="s">
        <v>15</v>
      </c>
      <c r="D135" t="s">
        <v>16</v>
      </c>
      <c r="E135" s="2">
        <v>35</v>
      </c>
      <c r="F135" t="s">
        <v>17</v>
      </c>
      <c r="G135" t="s">
        <v>70</v>
      </c>
      <c r="H135" s="2">
        <v>77</v>
      </c>
      <c r="I135" s="3">
        <v>7513</v>
      </c>
      <c r="J135" s="4">
        <v>13.9</v>
      </c>
      <c r="K135" s="2">
        <v>87</v>
      </c>
      <c r="L135" s="2">
        <v>3</v>
      </c>
      <c r="M135" s="3">
        <v>39040</v>
      </c>
      <c r="N135" t="str" cm="1">
        <f t="array" ref="N135">_xlfn.IFS(Table1_36[[#This Row],[Patient Satisfaction Score]]&gt;=83,"High",H135&lt;=75,"Low",TRUE,"Moderate")</f>
        <v>Moderate</v>
      </c>
      <c r="O135" t="str">
        <f t="shared" si="2"/>
        <v>Adult</v>
      </c>
    </row>
    <row r="136" spans="1:15">
      <c r="A136" t="s">
        <v>204</v>
      </c>
      <c r="B136" t="s">
        <v>74</v>
      </c>
      <c r="C136" t="s">
        <v>45</v>
      </c>
      <c r="D136" t="s">
        <v>27</v>
      </c>
      <c r="E136" s="2">
        <v>33</v>
      </c>
      <c r="F136" t="s">
        <v>34</v>
      </c>
      <c r="G136" t="s">
        <v>31</v>
      </c>
      <c r="H136" s="2">
        <v>77</v>
      </c>
      <c r="I136" s="3">
        <v>6393</v>
      </c>
      <c r="J136" s="4">
        <v>8.1999999999999993</v>
      </c>
      <c r="K136" s="2">
        <v>132</v>
      </c>
      <c r="L136" s="2">
        <v>4</v>
      </c>
      <c r="M136" s="3">
        <v>31503</v>
      </c>
      <c r="N136" t="str" cm="1">
        <f t="array" ref="N136">_xlfn.IFS(Table1_36[[#This Row],[Patient Satisfaction Score]]&gt;=83,"High",H136&lt;=75,"Low",TRUE,"Moderate")</f>
        <v>Moderate</v>
      </c>
      <c r="O136" t="str">
        <f t="shared" si="2"/>
        <v>Adult</v>
      </c>
    </row>
    <row r="137" spans="1:15">
      <c r="A137" t="s">
        <v>205</v>
      </c>
      <c r="B137" t="s">
        <v>68</v>
      </c>
      <c r="C137" t="s">
        <v>45</v>
      </c>
      <c r="D137" t="s">
        <v>27</v>
      </c>
      <c r="E137" s="2">
        <v>67</v>
      </c>
      <c r="F137" t="s">
        <v>22</v>
      </c>
      <c r="G137" t="s">
        <v>49</v>
      </c>
      <c r="H137" s="2">
        <v>73</v>
      </c>
      <c r="I137" s="3">
        <v>8599</v>
      </c>
      <c r="J137" s="4">
        <v>12.41</v>
      </c>
      <c r="K137" s="2">
        <v>121</v>
      </c>
      <c r="L137" s="2">
        <v>4</v>
      </c>
      <c r="M137" s="3">
        <v>40714</v>
      </c>
      <c r="N137" t="str" cm="1">
        <f t="array" ref="N137">_xlfn.IFS(Table1_36[[#This Row],[Patient Satisfaction Score]]&gt;=83,"High",H137&lt;=75,"Low",TRUE,"Moderate")</f>
        <v>Low</v>
      </c>
      <c r="O137" t="str">
        <f t="shared" si="2"/>
        <v>Adult</v>
      </c>
    </row>
    <row r="138" spans="1:15">
      <c r="A138" t="s">
        <v>206</v>
      </c>
      <c r="B138" t="s">
        <v>47</v>
      </c>
      <c r="C138" t="s">
        <v>48</v>
      </c>
      <c r="D138" t="s">
        <v>16</v>
      </c>
      <c r="E138" s="2">
        <v>14</v>
      </c>
      <c r="F138" t="s">
        <v>22</v>
      </c>
      <c r="G138" t="s">
        <v>70</v>
      </c>
      <c r="H138" s="2">
        <v>80</v>
      </c>
      <c r="I138" s="3">
        <v>5945</v>
      </c>
      <c r="J138" s="4">
        <v>12.97</v>
      </c>
      <c r="K138" s="2">
        <v>61</v>
      </c>
      <c r="L138" s="2">
        <v>4</v>
      </c>
      <c r="M138" s="3">
        <v>19296</v>
      </c>
      <c r="N138" t="str" cm="1">
        <f t="array" ref="N138">_xlfn.IFS(Table1_36[[#This Row],[Patient Satisfaction Score]]&gt;=83,"High",H138&lt;=75,"Low",TRUE,"Moderate")</f>
        <v>Moderate</v>
      </c>
      <c r="O138" t="str">
        <f t="shared" si="2"/>
        <v>Pediatric</v>
      </c>
    </row>
    <row r="139" spans="1:15">
      <c r="A139" t="s">
        <v>207</v>
      </c>
      <c r="B139" t="s">
        <v>168</v>
      </c>
      <c r="C139" t="s">
        <v>45</v>
      </c>
      <c r="D139" t="s">
        <v>16</v>
      </c>
      <c r="E139" s="2">
        <v>46</v>
      </c>
      <c r="F139" t="s">
        <v>22</v>
      </c>
      <c r="G139" t="s">
        <v>40</v>
      </c>
      <c r="H139" s="2">
        <v>78</v>
      </c>
      <c r="I139" s="3">
        <v>10710</v>
      </c>
      <c r="J139" s="4">
        <v>15.63</v>
      </c>
      <c r="K139" s="2">
        <v>90</v>
      </c>
      <c r="L139" s="2">
        <v>4</v>
      </c>
      <c r="M139" s="3">
        <v>33729</v>
      </c>
      <c r="N139" t="str" cm="1">
        <f t="array" ref="N139">_xlfn.IFS(Table1_36[[#This Row],[Patient Satisfaction Score]]&gt;=83,"High",H139&lt;=75,"Low",TRUE,"Moderate")</f>
        <v>Moderate</v>
      </c>
      <c r="O139" t="str">
        <f t="shared" si="2"/>
        <v>Adult</v>
      </c>
    </row>
    <row r="140" spans="1:15">
      <c r="A140" t="s">
        <v>208</v>
      </c>
      <c r="B140" t="s">
        <v>66</v>
      </c>
      <c r="C140" t="s">
        <v>39</v>
      </c>
      <c r="D140" t="s">
        <v>16</v>
      </c>
      <c r="E140" s="2">
        <v>7</v>
      </c>
      <c r="F140" t="s">
        <v>17</v>
      </c>
      <c r="G140" t="s">
        <v>40</v>
      </c>
      <c r="H140" s="2">
        <v>85</v>
      </c>
      <c r="I140" s="3">
        <v>3341</v>
      </c>
      <c r="J140" s="4">
        <v>9.7899999999999991</v>
      </c>
      <c r="K140" s="2">
        <v>69</v>
      </c>
      <c r="L140" s="2">
        <v>5</v>
      </c>
      <c r="M140" s="3">
        <v>9887</v>
      </c>
      <c r="N140" t="str" cm="1">
        <f t="array" ref="N140">_xlfn.IFS(Table1_36[[#This Row],[Patient Satisfaction Score]]&gt;=83,"High",H140&lt;=75,"Low",TRUE,"Moderate")</f>
        <v>High</v>
      </c>
      <c r="O140" t="str">
        <f t="shared" si="2"/>
        <v>Pediatric</v>
      </c>
    </row>
    <row r="141" spans="1:15">
      <c r="A141" t="s">
        <v>209</v>
      </c>
      <c r="B141" t="s">
        <v>68</v>
      </c>
      <c r="C141" t="s">
        <v>45</v>
      </c>
      <c r="D141" t="s">
        <v>16</v>
      </c>
      <c r="E141" s="2">
        <v>69</v>
      </c>
      <c r="F141" t="s">
        <v>22</v>
      </c>
      <c r="G141" t="s">
        <v>49</v>
      </c>
      <c r="H141" s="2">
        <v>75</v>
      </c>
      <c r="I141" s="3">
        <v>7144</v>
      </c>
      <c r="J141" s="4">
        <v>16.8</v>
      </c>
      <c r="K141" s="2">
        <v>104</v>
      </c>
      <c r="L141" s="2">
        <v>3</v>
      </c>
      <c r="M141" s="3">
        <v>28619</v>
      </c>
      <c r="N141" t="str" cm="1">
        <f t="array" ref="N141">_xlfn.IFS(Table1_36[[#This Row],[Patient Satisfaction Score]]&gt;=83,"High",H141&lt;=75,"Low",TRUE,"Moderate")</f>
        <v>Low</v>
      </c>
      <c r="O141" t="str">
        <f t="shared" si="2"/>
        <v>Adult</v>
      </c>
    </row>
    <row r="142" spans="1:15">
      <c r="A142" t="s">
        <v>210</v>
      </c>
      <c r="B142" t="s">
        <v>25</v>
      </c>
      <c r="C142" t="s">
        <v>26</v>
      </c>
      <c r="D142" t="s">
        <v>27</v>
      </c>
      <c r="E142" s="2">
        <v>44</v>
      </c>
      <c r="F142" t="s">
        <v>34</v>
      </c>
      <c r="G142" t="s">
        <v>18</v>
      </c>
      <c r="H142" s="2">
        <v>96</v>
      </c>
      <c r="I142" s="3">
        <v>2564</v>
      </c>
      <c r="J142" s="4">
        <v>2.2799999999999998</v>
      </c>
      <c r="K142" s="2">
        <v>16</v>
      </c>
      <c r="L142" s="2">
        <v>5</v>
      </c>
      <c r="M142" s="3">
        <v>9195</v>
      </c>
      <c r="N142" t="str" cm="1">
        <f t="array" ref="N142">_xlfn.IFS(Table1_36[[#This Row],[Patient Satisfaction Score]]&gt;=83,"High",H142&lt;=75,"Low",TRUE,"Moderate")</f>
        <v>High</v>
      </c>
      <c r="O142" t="str">
        <f t="shared" si="2"/>
        <v>Adult</v>
      </c>
    </row>
    <row r="143" spans="1:15">
      <c r="A143" t="s">
        <v>211</v>
      </c>
      <c r="B143" t="s">
        <v>68</v>
      </c>
      <c r="C143" t="s">
        <v>45</v>
      </c>
      <c r="D143" t="s">
        <v>27</v>
      </c>
      <c r="E143" s="2">
        <v>39</v>
      </c>
      <c r="F143" t="s">
        <v>34</v>
      </c>
      <c r="G143" t="s">
        <v>40</v>
      </c>
      <c r="H143" s="2">
        <v>88</v>
      </c>
      <c r="I143" s="3">
        <v>8688</v>
      </c>
      <c r="J143" s="4">
        <v>14.25</v>
      </c>
      <c r="K143" s="2">
        <v>94</v>
      </c>
      <c r="L143" s="2">
        <v>4</v>
      </c>
      <c r="M143" s="3">
        <v>30588</v>
      </c>
      <c r="N143" t="str" cm="1">
        <f t="array" ref="N143">_xlfn.IFS(Table1_36[[#This Row],[Patient Satisfaction Score]]&gt;=83,"High",H143&lt;=75,"Low",TRUE,"Moderate")</f>
        <v>High</v>
      </c>
      <c r="O143" t="str">
        <f t="shared" si="2"/>
        <v>Adult</v>
      </c>
    </row>
    <row r="144" spans="1:15">
      <c r="A144" t="s">
        <v>212</v>
      </c>
      <c r="B144" t="s">
        <v>47</v>
      </c>
      <c r="C144" t="s">
        <v>48</v>
      </c>
      <c r="D144" t="s">
        <v>16</v>
      </c>
      <c r="E144" s="2">
        <v>60</v>
      </c>
      <c r="F144" t="s">
        <v>34</v>
      </c>
      <c r="G144" t="s">
        <v>49</v>
      </c>
      <c r="H144" s="2">
        <v>79</v>
      </c>
      <c r="I144" s="3">
        <v>4839</v>
      </c>
      <c r="J144" s="4">
        <v>11.81</v>
      </c>
      <c r="K144" s="2">
        <v>83</v>
      </c>
      <c r="L144" s="2">
        <v>3</v>
      </c>
      <c r="M144" s="3">
        <v>22566</v>
      </c>
      <c r="N144" t="str" cm="1">
        <f t="array" ref="N144">_xlfn.IFS(Table1_36[[#This Row],[Patient Satisfaction Score]]&gt;=83,"High",H144&lt;=75,"Low",TRUE,"Moderate")</f>
        <v>Moderate</v>
      </c>
      <c r="O144" t="str">
        <f t="shared" si="2"/>
        <v>Adult</v>
      </c>
    </row>
    <row r="145" spans="1:15">
      <c r="A145" t="s">
        <v>213</v>
      </c>
      <c r="B145" t="s">
        <v>29</v>
      </c>
      <c r="C145" t="s">
        <v>30</v>
      </c>
      <c r="D145" t="s">
        <v>16</v>
      </c>
      <c r="E145" s="2">
        <v>55</v>
      </c>
      <c r="F145" t="s">
        <v>17</v>
      </c>
      <c r="G145" t="s">
        <v>18</v>
      </c>
      <c r="H145" s="2">
        <v>66</v>
      </c>
      <c r="I145" s="3">
        <v>2886</v>
      </c>
      <c r="J145" s="4">
        <v>18.149999999999999</v>
      </c>
      <c r="K145" s="2">
        <v>145</v>
      </c>
      <c r="L145" s="2">
        <v>3</v>
      </c>
      <c r="M145" s="3">
        <v>8008</v>
      </c>
      <c r="N145" t="str" cm="1">
        <f t="array" ref="N145">_xlfn.IFS(Table1_36[[#This Row],[Patient Satisfaction Score]]&gt;=83,"High",H145&lt;=75,"Low",TRUE,"Moderate")</f>
        <v>Low</v>
      </c>
      <c r="O145" t="str">
        <f t="shared" si="2"/>
        <v>Adult</v>
      </c>
    </row>
    <row r="146" spans="1:15">
      <c r="A146" t="s">
        <v>214</v>
      </c>
      <c r="B146" t="s">
        <v>103</v>
      </c>
      <c r="C146" t="s">
        <v>26</v>
      </c>
      <c r="D146" t="s">
        <v>16</v>
      </c>
      <c r="E146" s="2">
        <v>24</v>
      </c>
      <c r="F146" t="s">
        <v>17</v>
      </c>
      <c r="G146" t="s">
        <v>31</v>
      </c>
      <c r="H146" s="2">
        <v>83</v>
      </c>
      <c r="I146" s="3">
        <v>3398</v>
      </c>
      <c r="J146" s="4">
        <v>7.56</v>
      </c>
      <c r="K146" s="2">
        <v>39</v>
      </c>
      <c r="L146" s="2">
        <v>4</v>
      </c>
      <c r="M146" s="3">
        <v>10486</v>
      </c>
      <c r="N146" t="str" cm="1">
        <f t="array" ref="N146">_xlfn.IFS(Table1_36[[#This Row],[Patient Satisfaction Score]]&gt;=83,"High",H146&lt;=75,"Low",TRUE,"Moderate")</f>
        <v>High</v>
      </c>
      <c r="O146" t="str">
        <f t="shared" si="2"/>
        <v>Adult</v>
      </c>
    </row>
    <row r="147" spans="1:15">
      <c r="A147" t="s">
        <v>215</v>
      </c>
      <c r="B147" t="s">
        <v>168</v>
      </c>
      <c r="C147" t="s">
        <v>45</v>
      </c>
      <c r="D147" t="s">
        <v>27</v>
      </c>
      <c r="E147" s="2">
        <v>50</v>
      </c>
      <c r="F147" t="s">
        <v>17</v>
      </c>
      <c r="G147" t="s">
        <v>23</v>
      </c>
      <c r="H147" s="2">
        <v>78</v>
      </c>
      <c r="I147" s="3">
        <v>12261</v>
      </c>
      <c r="J147" s="4">
        <v>18.43</v>
      </c>
      <c r="K147" s="2">
        <v>79</v>
      </c>
      <c r="L147" s="2">
        <v>4</v>
      </c>
      <c r="M147" s="3">
        <v>65057</v>
      </c>
      <c r="N147" t="str" cm="1">
        <f t="array" ref="N147">_xlfn.IFS(Table1_36[[#This Row],[Patient Satisfaction Score]]&gt;=83,"High",H147&lt;=75,"Low",TRUE,"Moderate")</f>
        <v>Moderate</v>
      </c>
      <c r="O147" t="str">
        <f t="shared" si="2"/>
        <v>Adult</v>
      </c>
    </row>
    <row r="148" spans="1:15">
      <c r="A148" t="s">
        <v>216</v>
      </c>
      <c r="B148" t="s">
        <v>135</v>
      </c>
      <c r="C148" t="s">
        <v>48</v>
      </c>
      <c r="D148" t="s">
        <v>27</v>
      </c>
      <c r="E148" s="2">
        <v>65</v>
      </c>
      <c r="F148" t="s">
        <v>17</v>
      </c>
      <c r="G148" t="s">
        <v>40</v>
      </c>
      <c r="H148" s="2">
        <v>91</v>
      </c>
      <c r="I148" s="3">
        <v>7580</v>
      </c>
      <c r="J148" s="4">
        <v>12.79</v>
      </c>
      <c r="K148" s="2">
        <v>64</v>
      </c>
      <c r="L148" s="2">
        <v>4</v>
      </c>
      <c r="M148" s="3">
        <v>32915</v>
      </c>
      <c r="N148" t="str" cm="1">
        <f t="array" ref="N148">_xlfn.IFS(Table1_36[[#This Row],[Patient Satisfaction Score]]&gt;=83,"High",H148&lt;=75,"Low",TRUE,"Moderate")</f>
        <v>High</v>
      </c>
      <c r="O148" t="str">
        <f t="shared" si="2"/>
        <v>Adult</v>
      </c>
    </row>
    <row r="149" spans="1:15">
      <c r="A149" t="s">
        <v>217</v>
      </c>
      <c r="B149" t="s">
        <v>54</v>
      </c>
      <c r="C149" t="s">
        <v>39</v>
      </c>
      <c r="D149" t="s">
        <v>16</v>
      </c>
      <c r="E149" s="2">
        <v>9</v>
      </c>
      <c r="F149" t="s">
        <v>34</v>
      </c>
      <c r="G149" t="s">
        <v>70</v>
      </c>
      <c r="H149" s="2">
        <v>87</v>
      </c>
      <c r="I149" s="3">
        <v>2381</v>
      </c>
      <c r="J149" s="4">
        <v>5.88</v>
      </c>
      <c r="K149" s="2">
        <v>64</v>
      </c>
      <c r="L149" s="2">
        <v>5</v>
      </c>
      <c r="M149" s="3">
        <v>10104</v>
      </c>
      <c r="N149" t="str" cm="1">
        <f t="array" ref="N149">_xlfn.IFS(Table1_36[[#This Row],[Patient Satisfaction Score]]&gt;=83,"High",H149&lt;=75,"Low",TRUE,"Moderate")</f>
        <v>High</v>
      </c>
      <c r="O149" t="str">
        <f t="shared" si="2"/>
        <v>Pediatric</v>
      </c>
    </row>
    <row r="150" spans="1:15">
      <c r="A150" t="s">
        <v>218</v>
      </c>
      <c r="B150" t="s">
        <v>25</v>
      </c>
      <c r="C150" t="s">
        <v>39</v>
      </c>
      <c r="D150" t="s">
        <v>16</v>
      </c>
      <c r="E150" s="2">
        <v>11</v>
      </c>
      <c r="F150" t="s">
        <v>34</v>
      </c>
      <c r="G150" t="s">
        <v>40</v>
      </c>
      <c r="H150" s="2">
        <v>85</v>
      </c>
      <c r="I150" s="3">
        <v>3022</v>
      </c>
      <c r="J150" s="4">
        <v>8.48</v>
      </c>
      <c r="K150" s="2">
        <v>68</v>
      </c>
      <c r="L150" s="2">
        <v>4</v>
      </c>
      <c r="M150" s="3">
        <v>8318</v>
      </c>
      <c r="N150" t="str" cm="1">
        <f t="array" ref="N150">_xlfn.IFS(Table1_36[[#This Row],[Patient Satisfaction Score]]&gt;=83,"High",H150&lt;=75,"Low",TRUE,"Moderate")</f>
        <v>High</v>
      </c>
      <c r="O150" t="str">
        <f t="shared" si="2"/>
        <v>Pediatric</v>
      </c>
    </row>
    <row r="151" spans="1:15">
      <c r="A151" t="s">
        <v>219</v>
      </c>
      <c r="B151" t="s">
        <v>135</v>
      </c>
      <c r="C151" t="s">
        <v>48</v>
      </c>
      <c r="D151" t="s">
        <v>27</v>
      </c>
      <c r="E151" s="2">
        <v>66</v>
      </c>
      <c r="F151" t="s">
        <v>17</v>
      </c>
      <c r="G151" t="s">
        <v>40</v>
      </c>
      <c r="H151" s="2">
        <v>69</v>
      </c>
      <c r="I151" s="3">
        <v>7119</v>
      </c>
      <c r="J151" s="4">
        <v>15.49</v>
      </c>
      <c r="K151" s="2">
        <v>72</v>
      </c>
      <c r="L151" s="2">
        <v>3</v>
      </c>
      <c r="M151" s="3">
        <v>27042</v>
      </c>
      <c r="N151" t="str" cm="1">
        <f t="array" ref="N151">_xlfn.IFS(Table1_36[[#This Row],[Patient Satisfaction Score]]&gt;=83,"High",H151&lt;=75,"Low",TRUE,"Moderate")</f>
        <v>Low</v>
      </c>
      <c r="O151" t="str">
        <f t="shared" si="2"/>
        <v>Adult</v>
      </c>
    </row>
    <row r="152" spans="1:15">
      <c r="A152" t="s">
        <v>220</v>
      </c>
      <c r="B152" t="s">
        <v>78</v>
      </c>
      <c r="C152" t="s">
        <v>15</v>
      </c>
      <c r="D152" t="s">
        <v>16</v>
      </c>
      <c r="E152" s="2">
        <v>49</v>
      </c>
      <c r="F152" t="s">
        <v>22</v>
      </c>
      <c r="G152" t="s">
        <v>18</v>
      </c>
      <c r="H152" s="2">
        <v>80</v>
      </c>
      <c r="I152" s="3">
        <v>9357</v>
      </c>
      <c r="J152" s="4">
        <v>14.16</v>
      </c>
      <c r="K152" s="2">
        <v>105</v>
      </c>
      <c r="L152" s="2">
        <v>4</v>
      </c>
      <c r="M152" s="3">
        <v>52890</v>
      </c>
      <c r="N152" t="str" cm="1">
        <f t="array" ref="N152">_xlfn.IFS(Table1_36[[#This Row],[Patient Satisfaction Score]]&gt;=83,"High",H152&lt;=75,"Low",TRUE,"Moderate")</f>
        <v>Moderate</v>
      </c>
      <c r="O152" t="str">
        <f t="shared" si="2"/>
        <v>Adult</v>
      </c>
    </row>
    <row r="153" spans="1:15">
      <c r="A153" t="s">
        <v>221</v>
      </c>
      <c r="B153" t="s">
        <v>60</v>
      </c>
      <c r="C153" t="s">
        <v>52</v>
      </c>
      <c r="D153" t="s">
        <v>16</v>
      </c>
      <c r="E153" s="2">
        <v>12</v>
      </c>
      <c r="F153" t="s">
        <v>34</v>
      </c>
      <c r="G153" t="s">
        <v>31</v>
      </c>
      <c r="H153" s="2">
        <v>82</v>
      </c>
      <c r="I153" s="3">
        <v>9280</v>
      </c>
      <c r="J153" s="4">
        <v>14.72</v>
      </c>
      <c r="K153" s="2">
        <v>68</v>
      </c>
      <c r="L153" s="2">
        <v>4</v>
      </c>
      <c r="M153" s="3">
        <v>43713</v>
      </c>
      <c r="N153" t="str" cm="1">
        <f t="array" ref="N153">_xlfn.IFS(Table1_36[[#This Row],[Patient Satisfaction Score]]&gt;=83,"High",H153&lt;=75,"Low",TRUE,"Moderate")</f>
        <v>Moderate</v>
      </c>
      <c r="O153" t="str">
        <f t="shared" si="2"/>
        <v>Pediatric</v>
      </c>
    </row>
    <row r="154" spans="1:15">
      <c r="A154" t="s">
        <v>222</v>
      </c>
      <c r="B154" t="s">
        <v>58</v>
      </c>
      <c r="C154" t="s">
        <v>48</v>
      </c>
      <c r="D154" t="s">
        <v>16</v>
      </c>
      <c r="E154" s="2">
        <v>32</v>
      </c>
      <c r="F154" t="s">
        <v>34</v>
      </c>
      <c r="G154" t="s">
        <v>18</v>
      </c>
      <c r="H154" s="2">
        <v>75</v>
      </c>
      <c r="I154" s="3">
        <v>6592</v>
      </c>
      <c r="J154" s="4">
        <v>13.04</v>
      </c>
      <c r="K154" s="2">
        <v>82</v>
      </c>
      <c r="L154" s="2">
        <v>3</v>
      </c>
      <c r="M154" s="3">
        <v>38892</v>
      </c>
      <c r="N154" t="str" cm="1">
        <f t="array" ref="N154">_xlfn.IFS(Table1_36[[#This Row],[Patient Satisfaction Score]]&gt;=83,"High",H154&lt;=75,"Low",TRUE,"Moderate")</f>
        <v>Low</v>
      </c>
      <c r="O154" t="str">
        <f t="shared" si="2"/>
        <v>Adult</v>
      </c>
    </row>
    <row r="155" spans="1:15">
      <c r="A155" t="s">
        <v>223</v>
      </c>
      <c r="B155" t="s">
        <v>66</v>
      </c>
      <c r="C155" t="s">
        <v>39</v>
      </c>
      <c r="D155" t="s">
        <v>27</v>
      </c>
      <c r="E155" s="2">
        <v>10</v>
      </c>
      <c r="F155" t="s">
        <v>22</v>
      </c>
      <c r="G155" t="s">
        <v>49</v>
      </c>
      <c r="H155" s="2">
        <v>84</v>
      </c>
      <c r="I155" s="3">
        <v>2009</v>
      </c>
      <c r="J155" s="4">
        <v>7.8</v>
      </c>
      <c r="K155" s="2">
        <v>54</v>
      </c>
      <c r="L155" s="2">
        <v>5</v>
      </c>
      <c r="M155" s="3">
        <v>8642</v>
      </c>
      <c r="N155" t="str" cm="1">
        <f t="array" ref="N155">_xlfn.IFS(Table1_36[[#This Row],[Patient Satisfaction Score]]&gt;=83,"High",H155&lt;=75,"Low",TRUE,"Moderate")</f>
        <v>High</v>
      </c>
      <c r="O155" t="str">
        <f t="shared" si="2"/>
        <v>Pediatric</v>
      </c>
    </row>
    <row r="156" spans="1:15">
      <c r="A156" t="s">
        <v>224</v>
      </c>
      <c r="B156" t="s">
        <v>129</v>
      </c>
      <c r="C156" t="s">
        <v>21</v>
      </c>
      <c r="D156" t="s">
        <v>27</v>
      </c>
      <c r="E156" s="2">
        <v>67</v>
      </c>
      <c r="F156" t="s">
        <v>17</v>
      </c>
      <c r="G156" t="s">
        <v>49</v>
      </c>
      <c r="H156" s="2">
        <v>76</v>
      </c>
      <c r="I156" s="3">
        <v>6028</v>
      </c>
      <c r="J156" s="4">
        <v>10.52</v>
      </c>
      <c r="K156" s="2">
        <v>55</v>
      </c>
      <c r="L156" s="2">
        <v>4</v>
      </c>
      <c r="M156" s="3">
        <v>31388</v>
      </c>
      <c r="N156" t="str" cm="1">
        <f t="array" ref="N156">_xlfn.IFS(Table1_36[[#This Row],[Patient Satisfaction Score]]&gt;=83,"High",H156&lt;=75,"Low",TRUE,"Moderate")</f>
        <v>Moderate</v>
      </c>
      <c r="O156" t="str">
        <f t="shared" si="2"/>
        <v>Adult</v>
      </c>
    </row>
    <row r="157" spans="1:15">
      <c r="A157" t="s">
        <v>225</v>
      </c>
      <c r="B157" t="s">
        <v>135</v>
      </c>
      <c r="C157" t="s">
        <v>48</v>
      </c>
      <c r="D157" t="s">
        <v>16</v>
      </c>
      <c r="E157" s="2">
        <v>13</v>
      </c>
      <c r="F157" t="s">
        <v>34</v>
      </c>
      <c r="G157" t="s">
        <v>23</v>
      </c>
      <c r="H157" s="2">
        <v>79</v>
      </c>
      <c r="I157" s="3">
        <v>3485</v>
      </c>
      <c r="J157" s="4">
        <v>13.02</v>
      </c>
      <c r="K157" s="2">
        <v>69</v>
      </c>
      <c r="L157" s="2">
        <v>4</v>
      </c>
      <c r="M157" s="3">
        <v>11746</v>
      </c>
      <c r="N157" t="str" cm="1">
        <f t="array" ref="N157">_xlfn.IFS(Table1_36[[#This Row],[Patient Satisfaction Score]]&gt;=83,"High",H157&lt;=75,"Low",TRUE,"Moderate")</f>
        <v>Moderate</v>
      </c>
      <c r="O157" t="str">
        <f t="shared" si="2"/>
        <v>Pediatric</v>
      </c>
    </row>
    <row r="158" spans="1:15">
      <c r="A158" t="s">
        <v>226</v>
      </c>
      <c r="B158" t="s">
        <v>29</v>
      </c>
      <c r="C158" t="s">
        <v>30</v>
      </c>
      <c r="D158" t="s">
        <v>27</v>
      </c>
      <c r="E158" s="2">
        <v>75</v>
      </c>
      <c r="F158" t="s">
        <v>34</v>
      </c>
      <c r="G158" t="s">
        <v>70</v>
      </c>
      <c r="H158" s="2">
        <v>69</v>
      </c>
      <c r="I158" s="3">
        <v>3255</v>
      </c>
      <c r="J158" s="4">
        <v>16.600000000000001</v>
      </c>
      <c r="K158" s="2">
        <v>127</v>
      </c>
      <c r="L158" s="2">
        <v>4</v>
      </c>
      <c r="M158" s="3">
        <v>17754</v>
      </c>
      <c r="N158" t="str" cm="1">
        <f t="array" ref="N158">_xlfn.IFS(Table1_36[[#This Row],[Patient Satisfaction Score]]&gt;=83,"High",H158&lt;=75,"Low",TRUE,"Moderate")</f>
        <v>Low</v>
      </c>
      <c r="O158" t="str">
        <f t="shared" si="2"/>
        <v>Adult</v>
      </c>
    </row>
    <row r="159" spans="1:15">
      <c r="A159" t="s">
        <v>227</v>
      </c>
      <c r="B159" t="s">
        <v>66</v>
      </c>
      <c r="C159" t="s">
        <v>39</v>
      </c>
      <c r="D159" t="s">
        <v>72</v>
      </c>
      <c r="E159" s="2">
        <v>10</v>
      </c>
      <c r="F159" t="s">
        <v>34</v>
      </c>
      <c r="G159" t="s">
        <v>70</v>
      </c>
      <c r="H159" s="2">
        <v>78</v>
      </c>
      <c r="I159" s="3">
        <v>2818</v>
      </c>
      <c r="J159" s="4">
        <v>9.52</v>
      </c>
      <c r="K159" s="2">
        <v>85</v>
      </c>
      <c r="L159" s="2">
        <v>4</v>
      </c>
      <c r="M159" s="3">
        <v>7608</v>
      </c>
      <c r="N159" t="str" cm="1">
        <f t="array" ref="N159">_xlfn.IFS(Table1_36[[#This Row],[Patient Satisfaction Score]]&gt;=83,"High",H159&lt;=75,"Low",TRUE,"Moderate")</f>
        <v>Moderate</v>
      </c>
      <c r="O159" t="str">
        <f t="shared" si="2"/>
        <v>Pediatric</v>
      </c>
    </row>
    <row r="160" spans="1:15">
      <c r="A160" t="s">
        <v>228</v>
      </c>
      <c r="B160" t="s">
        <v>14</v>
      </c>
      <c r="C160" t="s">
        <v>15</v>
      </c>
      <c r="D160" t="s">
        <v>27</v>
      </c>
      <c r="E160" s="2">
        <v>59</v>
      </c>
      <c r="F160" t="s">
        <v>17</v>
      </c>
      <c r="G160" t="s">
        <v>49</v>
      </c>
      <c r="H160" s="2">
        <v>77</v>
      </c>
      <c r="I160" s="3">
        <v>8025</v>
      </c>
      <c r="J160" s="4">
        <v>15.68</v>
      </c>
      <c r="K160" s="2">
        <v>86</v>
      </c>
      <c r="L160" s="2">
        <v>3</v>
      </c>
      <c r="M160" s="3">
        <v>21230</v>
      </c>
      <c r="N160" t="str" cm="1">
        <f t="array" ref="N160">_xlfn.IFS(Table1_36[[#This Row],[Patient Satisfaction Score]]&gt;=83,"High",H160&lt;=75,"Low",TRUE,"Moderate")</f>
        <v>Moderate</v>
      </c>
      <c r="O160" t="str">
        <f t="shared" si="2"/>
        <v>Adult</v>
      </c>
    </row>
    <row r="161" spans="1:15">
      <c r="A161" t="s">
        <v>229</v>
      </c>
      <c r="B161" t="s">
        <v>97</v>
      </c>
      <c r="C161" t="s">
        <v>30</v>
      </c>
      <c r="D161" t="s">
        <v>27</v>
      </c>
      <c r="E161" s="2">
        <v>47</v>
      </c>
      <c r="F161" t="s">
        <v>22</v>
      </c>
      <c r="G161" t="s">
        <v>40</v>
      </c>
      <c r="H161" s="2">
        <v>58</v>
      </c>
      <c r="I161" s="3">
        <v>3406</v>
      </c>
      <c r="J161" s="4">
        <v>22.34</v>
      </c>
      <c r="K161" s="2">
        <v>119</v>
      </c>
      <c r="L161" s="2">
        <v>4</v>
      </c>
      <c r="M161" s="3">
        <v>16464</v>
      </c>
      <c r="N161" t="str" cm="1">
        <f t="array" ref="N161">_xlfn.IFS(Table1_36[[#This Row],[Patient Satisfaction Score]]&gt;=83,"High",H161&lt;=75,"Low",TRUE,"Moderate")</f>
        <v>Low</v>
      </c>
      <c r="O161" t="str">
        <f t="shared" si="2"/>
        <v>Adult</v>
      </c>
    </row>
    <row r="162" spans="1:15">
      <c r="A162" t="s">
        <v>230</v>
      </c>
      <c r="B162" t="s">
        <v>54</v>
      </c>
      <c r="C162" t="s">
        <v>15</v>
      </c>
      <c r="D162" t="s">
        <v>27</v>
      </c>
      <c r="E162" s="2">
        <v>67</v>
      </c>
      <c r="F162" t="s">
        <v>34</v>
      </c>
      <c r="G162" t="s">
        <v>49</v>
      </c>
      <c r="H162" s="2">
        <v>78</v>
      </c>
      <c r="I162" s="3">
        <v>7857</v>
      </c>
      <c r="J162" s="4">
        <v>11.79</v>
      </c>
      <c r="K162" s="2">
        <v>64</v>
      </c>
      <c r="L162" s="2">
        <v>5</v>
      </c>
      <c r="M162" s="3">
        <v>43515</v>
      </c>
      <c r="N162" t="str" cm="1">
        <f t="array" ref="N162">_xlfn.IFS(Table1_36[[#This Row],[Patient Satisfaction Score]]&gt;=83,"High",H162&lt;=75,"Low",TRUE,"Moderate")</f>
        <v>Moderate</v>
      </c>
      <c r="O162" t="str">
        <f t="shared" si="2"/>
        <v>Adult</v>
      </c>
    </row>
    <row r="163" spans="1:15">
      <c r="A163" t="s">
        <v>231</v>
      </c>
      <c r="B163" t="s">
        <v>95</v>
      </c>
      <c r="C163" t="s">
        <v>52</v>
      </c>
      <c r="D163" t="s">
        <v>27</v>
      </c>
      <c r="E163" s="2">
        <v>55</v>
      </c>
      <c r="F163" t="s">
        <v>34</v>
      </c>
      <c r="G163" t="s">
        <v>40</v>
      </c>
      <c r="H163" s="2">
        <v>81</v>
      </c>
      <c r="I163" s="3">
        <v>7950</v>
      </c>
      <c r="J163" s="4">
        <v>22.01</v>
      </c>
      <c r="K163" s="2">
        <v>61</v>
      </c>
      <c r="L163" s="2">
        <v>4</v>
      </c>
      <c r="M163" s="3">
        <v>35752</v>
      </c>
      <c r="N163" t="str" cm="1">
        <f t="array" ref="N163">_xlfn.IFS(Table1_36[[#This Row],[Patient Satisfaction Score]]&gt;=83,"High",H163&lt;=75,"Low",TRUE,"Moderate")</f>
        <v>Moderate</v>
      </c>
      <c r="O163" t="str">
        <f t="shared" si="2"/>
        <v>Adult</v>
      </c>
    </row>
    <row r="164" spans="1:15">
      <c r="A164" t="s">
        <v>232</v>
      </c>
      <c r="B164" t="s">
        <v>25</v>
      </c>
      <c r="C164" t="s">
        <v>26</v>
      </c>
      <c r="D164" t="s">
        <v>16</v>
      </c>
      <c r="E164" s="2">
        <v>67</v>
      </c>
      <c r="F164" t="s">
        <v>17</v>
      </c>
      <c r="G164" t="s">
        <v>49</v>
      </c>
      <c r="H164" s="2">
        <v>94</v>
      </c>
      <c r="I164" s="3">
        <v>2819</v>
      </c>
      <c r="J164" s="4">
        <v>0.43</v>
      </c>
      <c r="K164" s="2">
        <v>68</v>
      </c>
      <c r="L164" s="2">
        <v>4</v>
      </c>
      <c r="M164" s="3">
        <v>8099</v>
      </c>
      <c r="N164" t="str" cm="1">
        <f t="array" ref="N164">_xlfn.IFS(Table1_36[[#This Row],[Patient Satisfaction Score]]&gt;=83,"High",H164&lt;=75,"Low",TRUE,"Moderate")</f>
        <v>High</v>
      </c>
      <c r="O164" t="str">
        <f t="shared" si="2"/>
        <v>Adult</v>
      </c>
    </row>
    <row r="165" spans="1:15">
      <c r="A165" t="s">
        <v>233</v>
      </c>
      <c r="B165" t="s">
        <v>54</v>
      </c>
      <c r="C165" t="s">
        <v>15</v>
      </c>
      <c r="D165" t="s">
        <v>16</v>
      </c>
      <c r="E165" s="2">
        <v>65</v>
      </c>
      <c r="F165" t="s">
        <v>34</v>
      </c>
      <c r="G165" t="s">
        <v>31</v>
      </c>
      <c r="H165" s="2">
        <v>77</v>
      </c>
      <c r="I165" s="3">
        <v>7476</v>
      </c>
      <c r="J165" s="4">
        <v>21.74</v>
      </c>
      <c r="K165" s="2">
        <v>79</v>
      </c>
      <c r="L165" s="2">
        <v>4</v>
      </c>
      <c r="M165" s="3">
        <v>29264</v>
      </c>
      <c r="N165" t="str" cm="1">
        <f t="array" ref="N165">_xlfn.IFS(Table1_36[[#This Row],[Patient Satisfaction Score]]&gt;=83,"High",H165&lt;=75,"Low",TRUE,"Moderate")</f>
        <v>Moderate</v>
      </c>
      <c r="O165" t="str">
        <f t="shared" si="2"/>
        <v>Adult</v>
      </c>
    </row>
    <row r="166" spans="1:15">
      <c r="A166" t="s">
        <v>234</v>
      </c>
      <c r="B166" t="s">
        <v>54</v>
      </c>
      <c r="C166" t="s">
        <v>15</v>
      </c>
      <c r="D166" t="s">
        <v>27</v>
      </c>
      <c r="E166" s="2">
        <v>68</v>
      </c>
      <c r="F166" t="s">
        <v>22</v>
      </c>
      <c r="G166" t="s">
        <v>23</v>
      </c>
      <c r="H166" s="2">
        <v>77</v>
      </c>
      <c r="I166" s="3">
        <v>7836</v>
      </c>
      <c r="J166" s="4">
        <v>18.8</v>
      </c>
      <c r="K166" s="2">
        <v>60</v>
      </c>
      <c r="L166" s="2">
        <v>4</v>
      </c>
      <c r="M166" s="3">
        <v>42019</v>
      </c>
      <c r="N166" t="str" cm="1">
        <f t="array" ref="N166">_xlfn.IFS(Table1_36[[#This Row],[Patient Satisfaction Score]]&gt;=83,"High",H166&lt;=75,"Low",TRUE,"Moderate")</f>
        <v>Moderate</v>
      </c>
      <c r="O166" t="str">
        <f t="shared" si="2"/>
        <v>Adult</v>
      </c>
    </row>
    <row r="167" spans="1:15">
      <c r="A167" t="s">
        <v>235</v>
      </c>
      <c r="B167" t="s">
        <v>20</v>
      </c>
      <c r="C167" t="s">
        <v>21</v>
      </c>
      <c r="D167" t="s">
        <v>27</v>
      </c>
      <c r="E167" s="2">
        <v>47</v>
      </c>
      <c r="F167" t="s">
        <v>22</v>
      </c>
      <c r="G167" t="s">
        <v>49</v>
      </c>
      <c r="H167" s="2">
        <v>78</v>
      </c>
      <c r="I167" s="3">
        <v>4838</v>
      </c>
      <c r="J167" s="4">
        <v>8.43</v>
      </c>
      <c r="K167" s="2">
        <v>69</v>
      </c>
      <c r="L167" s="2">
        <v>5</v>
      </c>
      <c r="M167" s="3">
        <v>19692</v>
      </c>
      <c r="N167" t="str" cm="1">
        <f t="array" ref="N167">_xlfn.IFS(Table1_36[[#This Row],[Patient Satisfaction Score]]&gt;=83,"High",H167&lt;=75,"Low",TRUE,"Moderate")</f>
        <v>Moderate</v>
      </c>
      <c r="O167" t="str">
        <f t="shared" si="2"/>
        <v>Adult</v>
      </c>
    </row>
    <row r="168" spans="1:15">
      <c r="A168" t="s">
        <v>236</v>
      </c>
      <c r="B168" t="s">
        <v>56</v>
      </c>
      <c r="C168" t="s">
        <v>45</v>
      </c>
      <c r="D168" t="s">
        <v>27</v>
      </c>
      <c r="E168" s="2">
        <v>32</v>
      </c>
      <c r="F168" t="s">
        <v>34</v>
      </c>
      <c r="G168" t="s">
        <v>31</v>
      </c>
      <c r="H168" s="2">
        <v>73</v>
      </c>
      <c r="I168" s="3">
        <v>11955</v>
      </c>
      <c r="J168" s="4">
        <v>21.04</v>
      </c>
      <c r="K168" s="2">
        <v>68</v>
      </c>
      <c r="L168" s="2">
        <v>5</v>
      </c>
      <c r="M168" s="3">
        <v>45778</v>
      </c>
      <c r="N168" t="str" cm="1">
        <f t="array" ref="N168">_xlfn.IFS(Table1_36[[#This Row],[Patient Satisfaction Score]]&gt;=83,"High",H168&lt;=75,"Low",TRUE,"Moderate")</f>
        <v>Low</v>
      </c>
      <c r="O168" t="str">
        <f t="shared" si="2"/>
        <v>Adult</v>
      </c>
    </row>
    <row r="169" spans="1:15">
      <c r="A169" t="s">
        <v>237</v>
      </c>
      <c r="B169" t="s">
        <v>122</v>
      </c>
      <c r="C169" t="s">
        <v>48</v>
      </c>
      <c r="D169" t="s">
        <v>27</v>
      </c>
      <c r="E169" s="2">
        <v>46</v>
      </c>
      <c r="F169" t="s">
        <v>17</v>
      </c>
      <c r="G169" t="s">
        <v>40</v>
      </c>
      <c r="H169" s="2">
        <v>71</v>
      </c>
      <c r="I169" s="3">
        <v>5454</v>
      </c>
      <c r="J169" s="4">
        <v>11.92</v>
      </c>
      <c r="K169" s="2">
        <v>97</v>
      </c>
      <c r="L169" s="2">
        <v>3</v>
      </c>
      <c r="M169" s="3">
        <v>21248</v>
      </c>
      <c r="N169" t="str" cm="1">
        <f t="array" ref="N169">_xlfn.IFS(Table1_36[[#This Row],[Patient Satisfaction Score]]&gt;=83,"High",H169&lt;=75,"Low",TRUE,"Moderate")</f>
        <v>Low</v>
      </c>
      <c r="O169" t="str">
        <f t="shared" si="2"/>
        <v>Adult</v>
      </c>
    </row>
    <row r="170" spans="1:15">
      <c r="A170" t="s">
        <v>238</v>
      </c>
      <c r="B170" t="s">
        <v>185</v>
      </c>
      <c r="C170" t="s">
        <v>52</v>
      </c>
      <c r="D170" t="s">
        <v>27</v>
      </c>
      <c r="E170" s="2">
        <v>65</v>
      </c>
      <c r="F170" t="s">
        <v>17</v>
      </c>
      <c r="G170" t="s">
        <v>31</v>
      </c>
      <c r="H170" s="2">
        <v>74</v>
      </c>
      <c r="I170" s="3">
        <v>10214</v>
      </c>
      <c r="J170" s="4">
        <v>16.260000000000002</v>
      </c>
      <c r="K170" s="2">
        <v>128</v>
      </c>
      <c r="L170" s="2">
        <v>4</v>
      </c>
      <c r="M170" s="3">
        <v>59694</v>
      </c>
      <c r="N170" t="str" cm="1">
        <f t="array" ref="N170">_xlfn.IFS(Table1_36[[#This Row],[Patient Satisfaction Score]]&gt;=83,"High",H170&lt;=75,"Low",TRUE,"Moderate")</f>
        <v>Low</v>
      </c>
      <c r="O170" t="str">
        <f t="shared" si="2"/>
        <v>Adult</v>
      </c>
    </row>
    <row r="171" spans="1:15">
      <c r="A171" t="s">
        <v>239</v>
      </c>
      <c r="B171" t="s">
        <v>129</v>
      </c>
      <c r="C171" t="s">
        <v>21</v>
      </c>
      <c r="D171" t="s">
        <v>16</v>
      </c>
      <c r="E171" s="2">
        <v>39</v>
      </c>
      <c r="F171" t="s">
        <v>17</v>
      </c>
      <c r="G171" t="s">
        <v>23</v>
      </c>
      <c r="H171" s="2">
        <v>74</v>
      </c>
      <c r="I171" s="3">
        <v>6254</v>
      </c>
      <c r="J171" s="4">
        <v>17.21</v>
      </c>
      <c r="K171" s="2">
        <v>97</v>
      </c>
      <c r="L171" s="2">
        <v>3</v>
      </c>
      <c r="M171" s="3">
        <v>21255</v>
      </c>
      <c r="N171" t="str" cm="1">
        <f t="array" ref="N171">_xlfn.IFS(Table1_36[[#This Row],[Patient Satisfaction Score]]&gt;=83,"High",H171&lt;=75,"Low",TRUE,"Moderate")</f>
        <v>Low</v>
      </c>
      <c r="O171" t="str">
        <f t="shared" si="2"/>
        <v>Adult</v>
      </c>
    </row>
    <row r="172" spans="1:15">
      <c r="A172" t="s">
        <v>240</v>
      </c>
      <c r="B172" t="s">
        <v>129</v>
      </c>
      <c r="C172" t="s">
        <v>21</v>
      </c>
      <c r="D172" t="s">
        <v>16</v>
      </c>
      <c r="E172" s="2">
        <v>25</v>
      </c>
      <c r="F172" t="s">
        <v>22</v>
      </c>
      <c r="G172" t="s">
        <v>40</v>
      </c>
      <c r="H172" s="2">
        <v>81</v>
      </c>
      <c r="I172" s="3">
        <v>6733</v>
      </c>
      <c r="J172" s="4">
        <v>20.57</v>
      </c>
      <c r="K172" s="2">
        <v>67</v>
      </c>
      <c r="L172" s="2">
        <v>3</v>
      </c>
      <c r="M172" s="3">
        <v>33708</v>
      </c>
      <c r="N172" t="str" cm="1">
        <f t="array" ref="N172">_xlfn.IFS(Table1_36[[#This Row],[Patient Satisfaction Score]]&gt;=83,"High",H172&lt;=75,"Low",TRUE,"Moderate")</f>
        <v>Moderate</v>
      </c>
      <c r="O172" t="str">
        <f t="shared" si="2"/>
        <v>Adult</v>
      </c>
    </row>
    <row r="173" spans="1:15">
      <c r="A173" t="s">
        <v>241</v>
      </c>
      <c r="B173" t="s">
        <v>74</v>
      </c>
      <c r="C173" t="s">
        <v>45</v>
      </c>
      <c r="D173" t="s">
        <v>27</v>
      </c>
      <c r="E173" s="2">
        <v>32</v>
      </c>
      <c r="F173" t="s">
        <v>34</v>
      </c>
      <c r="G173" t="s">
        <v>31</v>
      </c>
      <c r="H173" s="2">
        <v>74</v>
      </c>
      <c r="I173" s="3">
        <v>8758</v>
      </c>
      <c r="J173" s="4">
        <v>16.36</v>
      </c>
      <c r="K173" s="2">
        <v>63</v>
      </c>
      <c r="L173" s="2">
        <v>4</v>
      </c>
      <c r="M173" s="3">
        <v>37992</v>
      </c>
      <c r="N173" t="str" cm="1">
        <f t="array" ref="N173">_xlfn.IFS(Table1_36[[#This Row],[Patient Satisfaction Score]]&gt;=83,"High",H173&lt;=75,"Low",TRUE,"Moderate")</f>
        <v>Low</v>
      </c>
      <c r="O173" t="str">
        <f t="shared" si="2"/>
        <v>Adult</v>
      </c>
    </row>
    <row r="174" spans="1:15">
      <c r="A174" t="s">
        <v>242</v>
      </c>
      <c r="B174" t="s">
        <v>25</v>
      </c>
      <c r="C174" t="s">
        <v>26</v>
      </c>
      <c r="D174" t="s">
        <v>16</v>
      </c>
      <c r="E174" s="2">
        <v>32</v>
      </c>
      <c r="F174" t="s">
        <v>34</v>
      </c>
      <c r="G174" t="s">
        <v>70</v>
      </c>
      <c r="H174" s="2">
        <v>85</v>
      </c>
      <c r="I174" s="3">
        <v>1703</v>
      </c>
      <c r="J174" s="4">
        <v>6.76</v>
      </c>
      <c r="K174" s="2">
        <v>51</v>
      </c>
      <c r="L174" s="2">
        <v>4</v>
      </c>
      <c r="M174" s="3">
        <v>9061</v>
      </c>
      <c r="N174" t="str" cm="1">
        <f t="array" ref="N174">_xlfn.IFS(Table1_36[[#This Row],[Patient Satisfaction Score]]&gt;=83,"High",H174&lt;=75,"Low",TRUE,"Moderate")</f>
        <v>High</v>
      </c>
      <c r="O174" t="str">
        <f t="shared" si="2"/>
        <v>Adult</v>
      </c>
    </row>
    <row r="175" spans="1:15">
      <c r="A175" t="s">
        <v>243</v>
      </c>
      <c r="B175" t="s">
        <v>78</v>
      </c>
      <c r="C175" t="s">
        <v>15</v>
      </c>
      <c r="D175" t="s">
        <v>27</v>
      </c>
      <c r="E175" s="2">
        <v>33</v>
      </c>
      <c r="F175" t="s">
        <v>34</v>
      </c>
      <c r="G175" t="s">
        <v>31</v>
      </c>
      <c r="H175" s="2">
        <v>82</v>
      </c>
      <c r="I175" s="3">
        <v>7660</v>
      </c>
      <c r="J175" s="4">
        <v>16.559999999999999</v>
      </c>
      <c r="K175" s="2">
        <v>86</v>
      </c>
      <c r="L175" s="2">
        <v>4</v>
      </c>
      <c r="M175" s="3">
        <v>42855</v>
      </c>
      <c r="N175" t="str" cm="1">
        <f t="array" ref="N175">_xlfn.IFS(Table1_36[[#This Row],[Patient Satisfaction Score]]&gt;=83,"High",H175&lt;=75,"Low",TRUE,"Moderate")</f>
        <v>Moderate</v>
      </c>
      <c r="O175" t="str">
        <f t="shared" si="2"/>
        <v>Adult</v>
      </c>
    </row>
    <row r="176" spans="1:15">
      <c r="A176" t="s">
        <v>244</v>
      </c>
      <c r="B176" t="s">
        <v>42</v>
      </c>
      <c r="C176" t="s">
        <v>39</v>
      </c>
      <c r="D176" t="s">
        <v>27</v>
      </c>
      <c r="E176" s="2">
        <v>12</v>
      </c>
      <c r="F176" t="s">
        <v>17</v>
      </c>
      <c r="G176" t="s">
        <v>18</v>
      </c>
      <c r="H176" s="2">
        <v>76</v>
      </c>
      <c r="I176" s="3">
        <v>2158</v>
      </c>
      <c r="J176" s="4">
        <v>15</v>
      </c>
      <c r="K176" s="2">
        <v>46</v>
      </c>
      <c r="L176" s="2">
        <v>4</v>
      </c>
      <c r="M176" s="3">
        <v>11290</v>
      </c>
      <c r="N176" t="str" cm="1">
        <f t="array" ref="N176">_xlfn.IFS(Table1_36[[#This Row],[Patient Satisfaction Score]]&gt;=83,"High",H176&lt;=75,"Low",TRUE,"Moderate")</f>
        <v>Moderate</v>
      </c>
      <c r="O176" t="str">
        <f t="shared" si="2"/>
        <v>Pediatric</v>
      </c>
    </row>
    <row r="177" spans="1:15">
      <c r="A177" t="s">
        <v>245</v>
      </c>
      <c r="B177" t="s">
        <v>64</v>
      </c>
      <c r="C177" t="s">
        <v>30</v>
      </c>
      <c r="D177" t="s">
        <v>16</v>
      </c>
      <c r="E177" s="2">
        <v>61</v>
      </c>
      <c r="F177" t="s">
        <v>17</v>
      </c>
      <c r="G177" t="s">
        <v>70</v>
      </c>
      <c r="H177" s="2">
        <v>77</v>
      </c>
      <c r="I177" s="3">
        <v>4773</v>
      </c>
      <c r="J177" s="4">
        <v>14.69</v>
      </c>
      <c r="K177" s="2">
        <v>98</v>
      </c>
      <c r="L177" s="2">
        <v>4</v>
      </c>
      <c r="M177" s="3">
        <v>19479</v>
      </c>
      <c r="N177" t="str" cm="1">
        <f t="array" ref="N177">_xlfn.IFS(Table1_36[[#This Row],[Patient Satisfaction Score]]&gt;=83,"High",H177&lt;=75,"Low",TRUE,"Moderate")</f>
        <v>Moderate</v>
      </c>
      <c r="O177" t="str">
        <f t="shared" si="2"/>
        <v>Adult</v>
      </c>
    </row>
    <row r="178" spans="1:15">
      <c r="A178" t="s">
        <v>246</v>
      </c>
      <c r="B178" t="s">
        <v>56</v>
      </c>
      <c r="C178" t="s">
        <v>45</v>
      </c>
      <c r="D178" t="s">
        <v>27</v>
      </c>
      <c r="E178" s="2">
        <v>21</v>
      </c>
      <c r="F178" t="s">
        <v>22</v>
      </c>
      <c r="G178" t="s">
        <v>70</v>
      </c>
      <c r="H178" s="2">
        <v>72</v>
      </c>
      <c r="I178" s="3">
        <v>10140</v>
      </c>
      <c r="J178" s="4">
        <v>18.66</v>
      </c>
      <c r="K178" s="2">
        <v>101</v>
      </c>
      <c r="L178" s="2">
        <v>4</v>
      </c>
      <c r="M178" s="3">
        <v>26188</v>
      </c>
      <c r="N178" t="str" cm="1">
        <f t="array" ref="N178">_xlfn.IFS(Table1_36[[#This Row],[Patient Satisfaction Score]]&gt;=83,"High",H178&lt;=75,"Low",TRUE,"Moderate")</f>
        <v>Low</v>
      </c>
      <c r="O178" t="str">
        <f t="shared" si="2"/>
        <v>Adult</v>
      </c>
    </row>
    <row r="179" spans="1:15">
      <c r="A179" t="s">
        <v>247</v>
      </c>
      <c r="B179" t="s">
        <v>74</v>
      </c>
      <c r="C179" t="s">
        <v>45</v>
      </c>
      <c r="D179" t="s">
        <v>27</v>
      </c>
      <c r="E179" s="2">
        <v>69</v>
      </c>
      <c r="F179" t="s">
        <v>34</v>
      </c>
      <c r="G179" t="s">
        <v>40</v>
      </c>
      <c r="H179" s="2">
        <v>77</v>
      </c>
      <c r="I179" s="3">
        <v>6233</v>
      </c>
      <c r="J179" s="4">
        <v>18.07</v>
      </c>
      <c r="K179" s="2">
        <v>127</v>
      </c>
      <c r="L179" s="2">
        <v>3</v>
      </c>
      <c r="M179" s="3">
        <v>26419</v>
      </c>
      <c r="N179" t="str" cm="1">
        <f t="array" ref="N179">_xlfn.IFS(Table1_36[[#This Row],[Patient Satisfaction Score]]&gt;=83,"High",H179&lt;=75,"Low",TRUE,"Moderate")</f>
        <v>Moderate</v>
      </c>
      <c r="O179" t="str">
        <f t="shared" si="2"/>
        <v>Adult</v>
      </c>
    </row>
    <row r="180" spans="1:15">
      <c r="A180" t="s">
        <v>248</v>
      </c>
      <c r="B180" t="s">
        <v>38</v>
      </c>
      <c r="C180" t="s">
        <v>39</v>
      </c>
      <c r="D180" t="s">
        <v>16</v>
      </c>
      <c r="E180" s="2">
        <v>14</v>
      </c>
      <c r="F180" t="s">
        <v>34</v>
      </c>
      <c r="G180" t="s">
        <v>70</v>
      </c>
      <c r="H180" s="2">
        <v>83</v>
      </c>
      <c r="I180" s="3">
        <v>4006</v>
      </c>
      <c r="J180" s="4">
        <v>5.79</v>
      </c>
      <c r="K180" s="2">
        <v>92</v>
      </c>
      <c r="L180" s="2">
        <v>5</v>
      </c>
      <c r="M180" s="3">
        <v>13859</v>
      </c>
      <c r="N180" t="str" cm="1">
        <f t="array" ref="N180">_xlfn.IFS(Table1_36[[#This Row],[Patient Satisfaction Score]]&gt;=83,"High",H180&lt;=75,"Low",TRUE,"Moderate")</f>
        <v>High</v>
      </c>
      <c r="O180" t="str">
        <f t="shared" si="2"/>
        <v>Pediatric</v>
      </c>
    </row>
    <row r="181" spans="1:15">
      <c r="A181" t="s">
        <v>249</v>
      </c>
      <c r="B181" t="s">
        <v>56</v>
      </c>
      <c r="C181" t="s">
        <v>45</v>
      </c>
      <c r="D181" t="s">
        <v>16</v>
      </c>
      <c r="E181" s="2">
        <v>22</v>
      </c>
      <c r="F181" t="s">
        <v>34</v>
      </c>
      <c r="G181" t="s">
        <v>49</v>
      </c>
      <c r="H181" s="2">
        <v>73</v>
      </c>
      <c r="I181" s="3">
        <v>7944</v>
      </c>
      <c r="J181" s="4">
        <v>16.21</v>
      </c>
      <c r="K181" s="2">
        <v>80</v>
      </c>
      <c r="L181" s="2">
        <v>4</v>
      </c>
      <c r="M181" s="3">
        <v>42113</v>
      </c>
      <c r="N181" t="str" cm="1">
        <f t="array" ref="N181">_xlfn.IFS(Table1_36[[#This Row],[Patient Satisfaction Score]]&gt;=83,"High",H181&lt;=75,"Low",TRUE,"Moderate")</f>
        <v>Low</v>
      </c>
      <c r="O181" t="str">
        <f t="shared" si="2"/>
        <v>Adult</v>
      </c>
    </row>
    <row r="182" spans="1:15">
      <c r="A182" t="s">
        <v>250</v>
      </c>
      <c r="B182" t="s">
        <v>187</v>
      </c>
      <c r="C182" t="s">
        <v>30</v>
      </c>
      <c r="D182" t="s">
        <v>27</v>
      </c>
      <c r="E182" s="2">
        <v>49</v>
      </c>
      <c r="F182" t="s">
        <v>34</v>
      </c>
      <c r="G182" t="s">
        <v>40</v>
      </c>
      <c r="H182" s="2">
        <v>65</v>
      </c>
      <c r="I182" s="3">
        <v>3731</v>
      </c>
      <c r="J182" s="4">
        <v>21.33</v>
      </c>
      <c r="K182" s="2">
        <v>78</v>
      </c>
      <c r="L182" s="2">
        <v>3</v>
      </c>
      <c r="M182" s="3">
        <v>13676</v>
      </c>
      <c r="N182" t="str" cm="1">
        <f t="array" ref="N182">_xlfn.IFS(Table1_36[[#This Row],[Patient Satisfaction Score]]&gt;=83,"High",H182&lt;=75,"Low",TRUE,"Moderate")</f>
        <v>Low</v>
      </c>
      <c r="O182" t="str">
        <f t="shared" si="2"/>
        <v>Adult</v>
      </c>
    </row>
    <row r="183" spans="1:15">
      <c r="A183" t="s">
        <v>251</v>
      </c>
      <c r="B183" t="s">
        <v>88</v>
      </c>
      <c r="C183" t="s">
        <v>15</v>
      </c>
      <c r="D183" t="s">
        <v>16</v>
      </c>
      <c r="E183" s="2">
        <v>58</v>
      </c>
      <c r="F183" t="s">
        <v>17</v>
      </c>
      <c r="G183" t="s">
        <v>31</v>
      </c>
      <c r="H183" s="2">
        <v>69</v>
      </c>
      <c r="I183" s="3">
        <v>6635</v>
      </c>
      <c r="J183" s="4">
        <v>22.91</v>
      </c>
      <c r="K183" s="2">
        <v>123</v>
      </c>
      <c r="L183" s="2">
        <v>3</v>
      </c>
      <c r="M183" s="3">
        <v>38825</v>
      </c>
      <c r="N183" t="str" cm="1">
        <f t="array" ref="N183">_xlfn.IFS(Table1_36[[#This Row],[Patient Satisfaction Score]]&gt;=83,"High",H183&lt;=75,"Low",TRUE,"Moderate")</f>
        <v>Low</v>
      </c>
      <c r="O183" t="str">
        <f t="shared" si="2"/>
        <v>Adult</v>
      </c>
    </row>
    <row r="184" spans="1:15">
      <c r="A184" t="s">
        <v>252</v>
      </c>
      <c r="B184" t="s">
        <v>168</v>
      </c>
      <c r="C184" t="s">
        <v>45</v>
      </c>
      <c r="D184" t="s">
        <v>27</v>
      </c>
      <c r="E184" s="2">
        <v>55</v>
      </c>
      <c r="F184" t="s">
        <v>22</v>
      </c>
      <c r="G184" t="s">
        <v>40</v>
      </c>
      <c r="H184" s="2">
        <v>79</v>
      </c>
      <c r="I184" s="3">
        <v>9304</v>
      </c>
      <c r="J184" s="4">
        <v>11.35</v>
      </c>
      <c r="K184" s="2">
        <v>76</v>
      </c>
      <c r="L184" s="2">
        <v>4</v>
      </c>
      <c r="M184" s="3">
        <v>47883</v>
      </c>
      <c r="N184" t="str" cm="1">
        <f t="array" ref="N184">_xlfn.IFS(Table1_36[[#This Row],[Patient Satisfaction Score]]&gt;=83,"High",H184&lt;=75,"Low",TRUE,"Moderate")</f>
        <v>Moderate</v>
      </c>
      <c r="O184" t="str">
        <f t="shared" si="2"/>
        <v>Adult</v>
      </c>
    </row>
    <row r="185" spans="1:15">
      <c r="A185" t="s">
        <v>253</v>
      </c>
      <c r="B185" t="s">
        <v>168</v>
      </c>
      <c r="C185" t="s">
        <v>45</v>
      </c>
      <c r="D185" t="s">
        <v>16</v>
      </c>
      <c r="E185" s="2">
        <v>71</v>
      </c>
      <c r="F185" t="s">
        <v>17</v>
      </c>
      <c r="G185" t="s">
        <v>40</v>
      </c>
      <c r="H185" s="2">
        <v>81</v>
      </c>
      <c r="I185" s="3">
        <v>8038</v>
      </c>
      <c r="J185" s="4">
        <v>11.37</v>
      </c>
      <c r="K185" s="2">
        <v>70</v>
      </c>
      <c r="L185" s="2">
        <v>4</v>
      </c>
      <c r="M185" s="3">
        <v>43783</v>
      </c>
      <c r="N185" t="str" cm="1">
        <f t="array" ref="N185">_xlfn.IFS(Table1_36[[#This Row],[Patient Satisfaction Score]]&gt;=83,"High",H185&lt;=75,"Low",TRUE,"Moderate")</f>
        <v>Moderate</v>
      </c>
      <c r="O185" t="str">
        <f t="shared" si="2"/>
        <v>Adult</v>
      </c>
    </row>
    <row r="186" spans="1:15">
      <c r="A186" t="s">
        <v>254</v>
      </c>
      <c r="B186" t="s">
        <v>129</v>
      </c>
      <c r="C186" t="s">
        <v>21</v>
      </c>
      <c r="D186" t="s">
        <v>27</v>
      </c>
      <c r="E186" s="2">
        <v>90</v>
      </c>
      <c r="F186" t="s">
        <v>22</v>
      </c>
      <c r="G186" t="s">
        <v>70</v>
      </c>
      <c r="H186" s="2">
        <v>77</v>
      </c>
      <c r="I186" s="3">
        <v>6749</v>
      </c>
      <c r="J186" s="4">
        <v>13.76</v>
      </c>
      <c r="K186" s="2">
        <v>97</v>
      </c>
      <c r="L186" s="2">
        <v>4</v>
      </c>
      <c r="M186" s="3">
        <v>35345</v>
      </c>
      <c r="N186" t="str" cm="1">
        <f t="array" ref="N186">_xlfn.IFS(Table1_36[[#This Row],[Patient Satisfaction Score]]&gt;=83,"High",H186&lt;=75,"Low",TRUE,"Moderate")</f>
        <v>Moderate</v>
      </c>
      <c r="O186" t="str">
        <f t="shared" si="2"/>
        <v>Adult</v>
      </c>
    </row>
    <row r="187" spans="1:15">
      <c r="A187" t="s">
        <v>255</v>
      </c>
      <c r="B187" t="s">
        <v>14</v>
      </c>
      <c r="C187" t="s">
        <v>15</v>
      </c>
      <c r="D187" t="s">
        <v>72</v>
      </c>
      <c r="E187" s="2">
        <v>23</v>
      </c>
      <c r="F187" t="s">
        <v>22</v>
      </c>
      <c r="G187" t="s">
        <v>18</v>
      </c>
      <c r="H187" s="2">
        <v>80</v>
      </c>
      <c r="I187" s="3">
        <v>6013</v>
      </c>
      <c r="J187" s="4">
        <v>15.04</v>
      </c>
      <c r="K187" s="2">
        <v>67</v>
      </c>
      <c r="L187" s="2">
        <v>4</v>
      </c>
      <c r="M187" s="3">
        <v>21462</v>
      </c>
      <c r="N187" t="str" cm="1">
        <f t="array" ref="N187">_xlfn.IFS(Table1_36[[#This Row],[Patient Satisfaction Score]]&gt;=83,"High",H187&lt;=75,"Low",TRUE,"Moderate")</f>
        <v>Moderate</v>
      </c>
      <c r="O187" t="str">
        <f t="shared" si="2"/>
        <v>Adult</v>
      </c>
    </row>
    <row r="188" spans="1:15">
      <c r="A188" t="s">
        <v>256</v>
      </c>
      <c r="B188" t="s">
        <v>129</v>
      </c>
      <c r="C188" t="s">
        <v>21</v>
      </c>
      <c r="D188" t="s">
        <v>16</v>
      </c>
      <c r="E188" s="2">
        <v>22</v>
      </c>
      <c r="F188" t="s">
        <v>22</v>
      </c>
      <c r="G188" t="s">
        <v>70</v>
      </c>
      <c r="H188" s="2">
        <v>77</v>
      </c>
      <c r="I188" s="3">
        <v>7005</v>
      </c>
      <c r="J188" s="4">
        <v>24.97</v>
      </c>
      <c r="K188" s="2">
        <v>46</v>
      </c>
      <c r="L188" s="2">
        <v>4</v>
      </c>
      <c r="M188" s="3">
        <v>41837</v>
      </c>
      <c r="N188" t="str" cm="1">
        <f t="array" ref="N188">_xlfn.IFS(Table1_36[[#This Row],[Patient Satisfaction Score]]&gt;=83,"High",H188&lt;=75,"Low",TRUE,"Moderate")</f>
        <v>Moderate</v>
      </c>
      <c r="O188" t="str">
        <f t="shared" si="2"/>
        <v>Adult</v>
      </c>
    </row>
    <row r="189" spans="1:15">
      <c r="A189" t="s">
        <v>257</v>
      </c>
      <c r="B189" t="s">
        <v>54</v>
      </c>
      <c r="C189" t="s">
        <v>15</v>
      </c>
      <c r="D189" t="s">
        <v>72</v>
      </c>
      <c r="E189" s="2">
        <v>37</v>
      </c>
      <c r="F189" t="s">
        <v>17</v>
      </c>
      <c r="G189" t="s">
        <v>70</v>
      </c>
      <c r="H189" s="2">
        <v>76</v>
      </c>
      <c r="I189" s="3">
        <v>6385</v>
      </c>
      <c r="J189" s="4">
        <v>20.67</v>
      </c>
      <c r="K189" s="2">
        <v>94</v>
      </c>
      <c r="L189" s="2">
        <v>4</v>
      </c>
      <c r="M189" s="3">
        <v>22771</v>
      </c>
      <c r="N189" t="str" cm="1">
        <f t="array" ref="N189">_xlfn.IFS(Table1_36[[#This Row],[Patient Satisfaction Score]]&gt;=83,"High",H189&lt;=75,"Low",TRUE,"Moderate")</f>
        <v>Moderate</v>
      </c>
      <c r="O189" t="str">
        <f t="shared" si="2"/>
        <v>Adult</v>
      </c>
    </row>
    <row r="190" spans="1:15">
      <c r="A190" t="s">
        <v>258</v>
      </c>
      <c r="B190" t="s">
        <v>54</v>
      </c>
      <c r="C190" t="s">
        <v>15</v>
      </c>
      <c r="D190" t="s">
        <v>16</v>
      </c>
      <c r="E190" s="2">
        <v>41</v>
      </c>
      <c r="F190" t="s">
        <v>22</v>
      </c>
      <c r="G190" t="s">
        <v>40</v>
      </c>
      <c r="H190" s="2">
        <v>80</v>
      </c>
      <c r="I190" s="3">
        <v>7751</v>
      </c>
      <c r="J190" s="4">
        <v>12.41</v>
      </c>
      <c r="K190" s="2">
        <v>69</v>
      </c>
      <c r="L190" s="2">
        <v>4</v>
      </c>
      <c r="M190" s="3">
        <v>36766</v>
      </c>
      <c r="N190" t="str" cm="1">
        <f t="array" ref="N190">_xlfn.IFS(Table1_36[[#This Row],[Patient Satisfaction Score]]&gt;=83,"High",H190&lt;=75,"Low",TRUE,"Moderate")</f>
        <v>Moderate</v>
      </c>
      <c r="O190" t="str">
        <f t="shared" si="2"/>
        <v>Adult</v>
      </c>
    </row>
    <row r="191" spans="1:15">
      <c r="A191" t="s">
        <v>259</v>
      </c>
      <c r="B191" t="s">
        <v>122</v>
      </c>
      <c r="C191" t="s">
        <v>48</v>
      </c>
      <c r="D191" t="s">
        <v>16</v>
      </c>
      <c r="E191" s="2">
        <v>40</v>
      </c>
      <c r="F191" t="s">
        <v>34</v>
      </c>
      <c r="G191" t="s">
        <v>18</v>
      </c>
      <c r="H191" s="2">
        <v>77</v>
      </c>
      <c r="I191" s="3">
        <v>8957</v>
      </c>
      <c r="J191" s="4">
        <v>10.8</v>
      </c>
      <c r="K191" s="2">
        <v>78</v>
      </c>
      <c r="L191" s="2">
        <v>4</v>
      </c>
      <c r="M191" s="3">
        <v>38147</v>
      </c>
      <c r="N191" t="str" cm="1">
        <f t="array" ref="N191">_xlfn.IFS(Table1_36[[#This Row],[Patient Satisfaction Score]]&gt;=83,"High",H191&lt;=75,"Low",TRUE,"Moderate")</f>
        <v>Moderate</v>
      </c>
      <c r="O191" t="str">
        <f t="shared" si="2"/>
        <v>Adult</v>
      </c>
    </row>
    <row r="192" spans="1:15">
      <c r="A192" t="s">
        <v>260</v>
      </c>
      <c r="B192" t="s">
        <v>44</v>
      </c>
      <c r="C192" t="s">
        <v>45</v>
      </c>
      <c r="D192" t="s">
        <v>27</v>
      </c>
      <c r="E192" s="2">
        <v>23</v>
      </c>
      <c r="F192" t="s">
        <v>17</v>
      </c>
      <c r="G192" t="s">
        <v>49</v>
      </c>
      <c r="H192" s="2">
        <v>76</v>
      </c>
      <c r="I192" s="3">
        <v>7902</v>
      </c>
      <c r="J192" s="4">
        <v>16.25</v>
      </c>
      <c r="K192" s="2">
        <v>88</v>
      </c>
      <c r="L192" s="2">
        <v>4</v>
      </c>
      <c r="M192" s="3">
        <v>46466</v>
      </c>
      <c r="N192" t="str" cm="1">
        <f t="array" ref="N192">_xlfn.IFS(Table1_36[[#This Row],[Patient Satisfaction Score]]&gt;=83,"High",H192&lt;=75,"Low",TRUE,"Moderate")</f>
        <v>Moderate</v>
      </c>
      <c r="O192" t="str">
        <f t="shared" si="2"/>
        <v>Adult</v>
      </c>
    </row>
    <row r="193" spans="1:15">
      <c r="A193" t="s">
        <v>261</v>
      </c>
      <c r="B193" t="s">
        <v>20</v>
      </c>
      <c r="C193" t="s">
        <v>21</v>
      </c>
      <c r="D193" t="s">
        <v>27</v>
      </c>
      <c r="E193" s="2">
        <v>8</v>
      </c>
      <c r="F193" t="s">
        <v>34</v>
      </c>
      <c r="G193" t="s">
        <v>40</v>
      </c>
      <c r="H193" s="2">
        <v>79</v>
      </c>
      <c r="I193" s="3">
        <v>2745</v>
      </c>
      <c r="J193" s="4">
        <v>16.170000000000002</v>
      </c>
      <c r="K193" s="2">
        <v>77</v>
      </c>
      <c r="L193" s="2">
        <v>4</v>
      </c>
      <c r="M193" s="3">
        <v>8938</v>
      </c>
      <c r="N193" t="str" cm="1">
        <f t="array" ref="N193">_xlfn.IFS(Table1_36[[#This Row],[Patient Satisfaction Score]]&gt;=83,"High",H193&lt;=75,"Low",TRUE,"Moderate")</f>
        <v>Moderate</v>
      </c>
      <c r="O193" t="str">
        <f t="shared" si="2"/>
        <v>Pediatric</v>
      </c>
    </row>
    <row r="194" spans="1:15">
      <c r="A194" t="s">
        <v>262</v>
      </c>
      <c r="B194" t="s">
        <v>58</v>
      </c>
      <c r="C194" t="s">
        <v>48</v>
      </c>
      <c r="D194" t="s">
        <v>27</v>
      </c>
      <c r="E194" s="2">
        <v>75</v>
      </c>
      <c r="F194" t="s">
        <v>34</v>
      </c>
      <c r="G194" t="s">
        <v>49</v>
      </c>
      <c r="H194" s="2">
        <v>74</v>
      </c>
      <c r="I194" s="3">
        <v>5743</v>
      </c>
      <c r="J194" s="4">
        <v>17.96</v>
      </c>
      <c r="K194" s="2">
        <v>99</v>
      </c>
      <c r="L194" s="2">
        <v>4</v>
      </c>
      <c r="M194" s="3">
        <v>34129</v>
      </c>
      <c r="N194" t="str" cm="1">
        <f t="array" ref="N194">_xlfn.IFS(Table1_36[[#This Row],[Patient Satisfaction Score]]&gt;=83,"High",H194&lt;=75,"Low",TRUE,"Moderate")</f>
        <v>Low</v>
      </c>
      <c r="O194" t="str">
        <f t="shared" ref="O194:O257" si="3">IF(E194&lt;19,"Pediatric","Adult")</f>
        <v>Adult</v>
      </c>
    </row>
    <row r="195" spans="1:15">
      <c r="A195" t="s">
        <v>263</v>
      </c>
      <c r="B195" t="s">
        <v>68</v>
      </c>
      <c r="C195" t="s">
        <v>45</v>
      </c>
      <c r="D195" t="s">
        <v>27</v>
      </c>
      <c r="E195" s="2">
        <v>33</v>
      </c>
      <c r="F195" t="s">
        <v>34</v>
      </c>
      <c r="G195" t="s">
        <v>40</v>
      </c>
      <c r="H195" s="2">
        <v>79</v>
      </c>
      <c r="I195" s="3">
        <v>8338</v>
      </c>
      <c r="J195" s="4">
        <v>14.17</v>
      </c>
      <c r="K195" s="2">
        <v>86</v>
      </c>
      <c r="L195" s="2">
        <v>4</v>
      </c>
      <c r="M195" s="3">
        <v>22662</v>
      </c>
      <c r="N195" t="str" cm="1">
        <f t="array" ref="N195">_xlfn.IFS(Table1_36[[#This Row],[Patient Satisfaction Score]]&gt;=83,"High",H195&lt;=75,"Low",TRUE,"Moderate")</f>
        <v>Moderate</v>
      </c>
      <c r="O195" t="str">
        <f t="shared" si="3"/>
        <v>Adult</v>
      </c>
    </row>
    <row r="196" spans="1:15">
      <c r="A196" t="s">
        <v>264</v>
      </c>
      <c r="B196" t="s">
        <v>42</v>
      </c>
      <c r="C196" t="s">
        <v>39</v>
      </c>
      <c r="D196" t="s">
        <v>16</v>
      </c>
      <c r="E196" s="2">
        <v>10</v>
      </c>
      <c r="F196" t="s">
        <v>34</v>
      </c>
      <c r="G196" t="s">
        <v>70</v>
      </c>
      <c r="H196" s="2">
        <v>86</v>
      </c>
      <c r="I196" s="3">
        <v>3262</v>
      </c>
      <c r="J196" s="4">
        <v>12.76</v>
      </c>
      <c r="K196" s="2">
        <v>60</v>
      </c>
      <c r="L196" s="2">
        <v>4</v>
      </c>
      <c r="M196" s="3">
        <v>14172</v>
      </c>
      <c r="N196" t="str" cm="1">
        <f t="array" ref="N196">_xlfn.IFS(Table1_36[[#This Row],[Patient Satisfaction Score]]&gt;=83,"High",H196&lt;=75,"Low",TRUE,"Moderate")</f>
        <v>High</v>
      </c>
      <c r="O196" t="str">
        <f t="shared" si="3"/>
        <v>Pediatric</v>
      </c>
    </row>
    <row r="197" spans="1:15">
      <c r="A197" t="s">
        <v>265</v>
      </c>
      <c r="B197" t="s">
        <v>66</v>
      </c>
      <c r="C197" t="s">
        <v>39</v>
      </c>
      <c r="D197" t="s">
        <v>72</v>
      </c>
      <c r="E197" s="2">
        <v>18</v>
      </c>
      <c r="F197" t="s">
        <v>17</v>
      </c>
      <c r="G197" t="s">
        <v>49</v>
      </c>
      <c r="H197" s="2">
        <v>80</v>
      </c>
      <c r="I197" s="3">
        <v>2922</v>
      </c>
      <c r="J197" s="4">
        <v>11.96</v>
      </c>
      <c r="K197" s="2">
        <v>55</v>
      </c>
      <c r="L197" s="2">
        <v>4</v>
      </c>
      <c r="M197" s="3">
        <v>11540</v>
      </c>
      <c r="N197" t="str" cm="1">
        <f t="array" ref="N197">_xlfn.IFS(Table1_36[[#This Row],[Patient Satisfaction Score]]&gt;=83,"High",H197&lt;=75,"Low",TRUE,"Moderate")</f>
        <v>Moderate</v>
      </c>
      <c r="O197" t="str">
        <f t="shared" si="3"/>
        <v>Pediatric</v>
      </c>
    </row>
    <row r="198" spans="1:15">
      <c r="A198" t="s">
        <v>266</v>
      </c>
      <c r="B198" t="s">
        <v>33</v>
      </c>
      <c r="C198" t="s">
        <v>26</v>
      </c>
      <c r="D198" t="s">
        <v>16</v>
      </c>
      <c r="E198" s="2">
        <v>55</v>
      </c>
      <c r="F198" t="s">
        <v>34</v>
      </c>
      <c r="G198" t="s">
        <v>23</v>
      </c>
      <c r="H198" s="2">
        <v>85</v>
      </c>
      <c r="I198" s="3">
        <v>2211</v>
      </c>
      <c r="J198" s="4">
        <v>0</v>
      </c>
      <c r="K198" s="2">
        <v>60</v>
      </c>
      <c r="L198" s="2">
        <v>4</v>
      </c>
      <c r="M198" s="3">
        <v>9669</v>
      </c>
      <c r="N198" t="str" cm="1">
        <f t="array" ref="N198">_xlfn.IFS(Table1_36[[#This Row],[Patient Satisfaction Score]]&gt;=83,"High",H198&lt;=75,"Low",TRUE,"Moderate")</f>
        <v>High</v>
      </c>
      <c r="O198" t="str">
        <f t="shared" si="3"/>
        <v>Adult</v>
      </c>
    </row>
    <row r="199" spans="1:15">
      <c r="A199" t="s">
        <v>267</v>
      </c>
      <c r="B199" t="s">
        <v>54</v>
      </c>
      <c r="C199" t="s">
        <v>39</v>
      </c>
      <c r="D199" t="s">
        <v>16</v>
      </c>
      <c r="E199" s="2">
        <v>15</v>
      </c>
      <c r="F199" t="s">
        <v>34</v>
      </c>
      <c r="G199" t="s">
        <v>70</v>
      </c>
      <c r="H199" s="2">
        <v>74</v>
      </c>
      <c r="I199" s="3">
        <v>1823</v>
      </c>
      <c r="J199" s="4">
        <v>16.239999999999998</v>
      </c>
      <c r="K199" s="2">
        <v>59</v>
      </c>
      <c r="L199" s="2">
        <v>4</v>
      </c>
      <c r="M199" s="3">
        <v>6629</v>
      </c>
      <c r="N199" t="str" cm="1">
        <f t="array" ref="N199">_xlfn.IFS(Table1_36[[#This Row],[Patient Satisfaction Score]]&gt;=83,"High",H199&lt;=75,"Low",TRUE,"Moderate")</f>
        <v>Low</v>
      </c>
      <c r="O199" t="str">
        <f t="shared" si="3"/>
        <v>Pediatric</v>
      </c>
    </row>
    <row r="200" spans="1:15">
      <c r="A200" t="s">
        <v>268</v>
      </c>
      <c r="B200" t="s">
        <v>36</v>
      </c>
      <c r="C200" t="s">
        <v>21</v>
      </c>
      <c r="D200" t="s">
        <v>72</v>
      </c>
      <c r="E200" s="2">
        <v>41</v>
      </c>
      <c r="F200" t="s">
        <v>17</v>
      </c>
      <c r="G200" t="s">
        <v>49</v>
      </c>
      <c r="H200" s="2">
        <v>83</v>
      </c>
      <c r="I200" s="3">
        <v>4716</v>
      </c>
      <c r="J200" s="4">
        <v>8.5500000000000007</v>
      </c>
      <c r="K200" s="2">
        <v>124</v>
      </c>
      <c r="L200" s="2">
        <v>4</v>
      </c>
      <c r="M200" s="3">
        <v>26514</v>
      </c>
      <c r="N200" t="str" cm="1">
        <f t="array" ref="N200">_xlfn.IFS(Table1_36[[#This Row],[Patient Satisfaction Score]]&gt;=83,"High",H200&lt;=75,"Low",TRUE,"Moderate")</f>
        <v>High</v>
      </c>
      <c r="O200" t="str">
        <f t="shared" si="3"/>
        <v>Adult</v>
      </c>
    </row>
    <row r="201" spans="1:15">
      <c r="A201" t="s">
        <v>269</v>
      </c>
      <c r="B201" t="s">
        <v>38</v>
      </c>
      <c r="C201" t="s">
        <v>39</v>
      </c>
      <c r="D201" t="s">
        <v>16</v>
      </c>
      <c r="E201" s="2">
        <v>8</v>
      </c>
      <c r="F201" t="s">
        <v>34</v>
      </c>
      <c r="G201" t="s">
        <v>23</v>
      </c>
      <c r="H201" s="2">
        <v>87</v>
      </c>
      <c r="I201" s="3">
        <v>2040</v>
      </c>
      <c r="J201" s="4">
        <v>6.37</v>
      </c>
      <c r="K201" s="2">
        <v>37</v>
      </c>
      <c r="L201" s="2">
        <v>5</v>
      </c>
      <c r="M201" s="3">
        <v>9649</v>
      </c>
      <c r="N201" t="str" cm="1">
        <f t="array" ref="N201">_xlfn.IFS(Table1_36[[#This Row],[Patient Satisfaction Score]]&gt;=83,"High",H201&lt;=75,"Low",TRUE,"Moderate")</f>
        <v>High</v>
      </c>
      <c r="O201" t="str">
        <f t="shared" si="3"/>
        <v>Pediatric</v>
      </c>
    </row>
    <row r="202" spans="1:15">
      <c r="A202" t="s">
        <v>270</v>
      </c>
      <c r="B202" t="s">
        <v>74</v>
      </c>
      <c r="C202" t="s">
        <v>45</v>
      </c>
      <c r="D202" t="s">
        <v>16</v>
      </c>
      <c r="E202" s="2">
        <v>59</v>
      </c>
      <c r="F202" t="s">
        <v>34</v>
      </c>
      <c r="G202" t="s">
        <v>31</v>
      </c>
      <c r="H202" s="2">
        <v>71</v>
      </c>
      <c r="I202" s="3">
        <v>11343</v>
      </c>
      <c r="J202" s="4">
        <v>23.25</v>
      </c>
      <c r="K202" s="2">
        <v>100</v>
      </c>
      <c r="L202" s="2">
        <v>3</v>
      </c>
      <c r="M202" s="3">
        <v>34319</v>
      </c>
      <c r="N202" t="str" cm="1">
        <f t="array" ref="N202">_xlfn.IFS(Table1_36[[#This Row],[Patient Satisfaction Score]]&gt;=83,"High",H202&lt;=75,"Low",TRUE,"Moderate")</f>
        <v>Low</v>
      </c>
      <c r="O202" t="str">
        <f t="shared" si="3"/>
        <v>Adult</v>
      </c>
    </row>
    <row r="203" spans="1:15">
      <c r="A203" t="s">
        <v>271</v>
      </c>
      <c r="B203" t="s">
        <v>20</v>
      </c>
      <c r="C203" t="s">
        <v>21</v>
      </c>
      <c r="D203" t="s">
        <v>27</v>
      </c>
      <c r="E203" s="2">
        <v>46</v>
      </c>
      <c r="F203" t="s">
        <v>34</v>
      </c>
      <c r="G203" t="s">
        <v>40</v>
      </c>
      <c r="H203" s="2">
        <v>73</v>
      </c>
      <c r="I203" s="3">
        <v>6202</v>
      </c>
      <c r="J203" s="4">
        <v>15.36</v>
      </c>
      <c r="K203" s="2">
        <v>124</v>
      </c>
      <c r="L203" s="2">
        <v>3</v>
      </c>
      <c r="M203" s="3">
        <v>17069</v>
      </c>
      <c r="N203" t="str" cm="1">
        <f t="array" ref="N203">_xlfn.IFS(Table1_36[[#This Row],[Patient Satisfaction Score]]&gt;=83,"High",H203&lt;=75,"Low",TRUE,"Moderate")</f>
        <v>Low</v>
      </c>
      <c r="O203" t="str">
        <f t="shared" si="3"/>
        <v>Adult</v>
      </c>
    </row>
    <row r="204" spans="1:15">
      <c r="A204" t="s">
        <v>272</v>
      </c>
      <c r="B204" t="s">
        <v>25</v>
      </c>
      <c r="C204" t="s">
        <v>26</v>
      </c>
      <c r="D204" t="s">
        <v>16</v>
      </c>
      <c r="E204" s="2">
        <v>18</v>
      </c>
      <c r="F204" t="s">
        <v>22</v>
      </c>
      <c r="G204" t="s">
        <v>49</v>
      </c>
      <c r="H204" s="2">
        <v>85</v>
      </c>
      <c r="I204" s="3">
        <v>3100</v>
      </c>
      <c r="J204" s="4">
        <v>2.37</v>
      </c>
      <c r="K204" s="2">
        <v>25</v>
      </c>
      <c r="L204" s="2">
        <v>4</v>
      </c>
      <c r="M204" s="3">
        <v>9639</v>
      </c>
      <c r="N204" t="str" cm="1">
        <f t="array" ref="N204">_xlfn.IFS(Table1_36[[#This Row],[Patient Satisfaction Score]]&gt;=83,"High",H204&lt;=75,"Low",TRUE,"Moderate")</f>
        <v>High</v>
      </c>
      <c r="O204" t="str">
        <f t="shared" si="3"/>
        <v>Pediatric</v>
      </c>
    </row>
    <row r="205" spans="1:15">
      <c r="A205" t="s">
        <v>273</v>
      </c>
      <c r="B205" t="s">
        <v>25</v>
      </c>
      <c r="C205" t="s">
        <v>26</v>
      </c>
      <c r="D205" t="s">
        <v>16</v>
      </c>
      <c r="E205" s="2">
        <v>50</v>
      </c>
      <c r="F205" t="s">
        <v>34</v>
      </c>
      <c r="G205" t="s">
        <v>49</v>
      </c>
      <c r="H205" s="2">
        <v>90</v>
      </c>
      <c r="I205" s="3">
        <v>2109</v>
      </c>
      <c r="J205" s="4">
        <v>8.52</v>
      </c>
      <c r="K205" s="2">
        <v>30</v>
      </c>
      <c r="L205" s="2">
        <v>5</v>
      </c>
      <c r="M205" s="3">
        <v>8091</v>
      </c>
      <c r="N205" t="str" cm="1">
        <f t="array" ref="N205">_xlfn.IFS(Table1_36[[#This Row],[Patient Satisfaction Score]]&gt;=83,"High",H205&lt;=75,"Low",TRUE,"Moderate")</f>
        <v>High</v>
      </c>
      <c r="O205" t="str">
        <f t="shared" si="3"/>
        <v>Adult</v>
      </c>
    </row>
    <row r="206" spans="1:15">
      <c r="A206" t="s">
        <v>274</v>
      </c>
      <c r="B206" t="s">
        <v>29</v>
      </c>
      <c r="C206" t="s">
        <v>30</v>
      </c>
      <c r="D206" t="s">
        <v>27</v>
      </c>
      <c r="E206" s="2">
        <v>38</v>
      </c>
      <c r="F206" t="s">
        <v>22</v>
      </c>
      <c r="G206" t="s">
        <v>31</v>
      </c>
      <c r="H206" s="2">
        <v>74</v>
      </c>
      <c r="I206" s="3">
        <v>4429</v>
      </c>
      <c r="J206" s="4">
        <v>20.22</v>
      </c>
      <c r="K206" s="2">
        <v>104</v>
      </c>
      <c r="L206" s="2">
        <v>5</v>
      </c>
      <c r="M206" s="3">
        <v>11722</v>
      </c>
      <c r="N206" t="str" cm="1">
        <f t="array" ref="N206">_xlfn.IFS(Table1_36[[#This Row],[Patient Satisfaction Score]]&gt;=83,"High",H206&lt;=75,"Low",TRUE,"Moderate")</f>
        <v>Low</v>
      </c>
      <c r="O206" t="str">
        <f t="shared" si="3"/>
        <v>Adult</v>
      </c>
    </row>
    <row r="207" spans="1:15">
      <c r="A207" t="s">
        <v>275</v>
      </c>
      <c r="B207" t="s">
        <v>135</v>
      </c>
      <c r="C207" t="s">
        <v>48</v>
      </c>
      <c r="D207" t="s">
        <v>16</v>
      </c>
      <c r="E207" s="2">
        <v>74</v>
      </c>
      <c r="F207" t="s">
        <v>34</v>
      </c>
      <c r="G207" t="s">
        <v>23</v>
      </c>
      <c r="H207" s="2">
        <v>70</v>
      </c>
      <c r="I207" s="3">
        <v>6894</v>
      </c>
      <c r="J207" s="4">
        <v>14.37</v>
      </c>
      <c r="K207" s="2">
        <v>110</v>
      </c>
      <c r="L207" s="2">
        <v>4</v>
      </c>
      <c r="M207" s="3">
        <v>25397</v>
      </c>
      <c r="N207" t="str" cm="1">
        <f t="array" ref="N207">_xlfn.IFS(Table1_36[[#This Row],[Patient Satisfaction Score]]&gt;=83,"High",H207&lt;=75,"Low",TRUE,"Moderate")</f>
        <v>Low</v>
      </c>
      <c r="O207" t="str">
        <f t="shared" si="3"/>
        <v>Adult</v>
      </c>
    </row>
    <row r="208" spans="1:15">
      <c r="A208" t="s">
        <v>276</v>
      </c>
      <c r="B208" t="s">
        <v>88</v>
      </c>
      <c r="C208" t="s">
        <v>15</v>
      </c>
      <c r="D208" t="s">
        <v>27</v>
      </c>
      <c r="E208" s="2">
        <v>24</v>
      </c>
      <c r="F208" t="s">
        <v>34</v>
      </c>
      <c r="G208" t="s">
        <v>23</v>
      </c>
      <c r="H208" s="2">
        <v>82</v>
      </c>
      <c r="I208" s="3">
        <v>9878</v>
      </c>
      <c r="J208" s="4">
        <v>11.59</v>
      </c>
      <c r="K208" s="2">
        <v>45</v>
      </c>
      <c r="L208" s="2">
        <v>4</v>
      </c>
      <c r="M208" s="3">
        <v>55358</v>
      </c>
      <c r="N208" t="str" cm="1">
        <f t="array" ref="N208">_xlfn.IFS(Table1_36[[#This Row],[Patient Satisfaction Score]]&gt;=83,"High",H208&lt;=75,"Low",TRUE,"Moderate")</f>
        <v>Moderate</v>
      </c>
      <c r="O208" t="str">
        <f t="shared" si="3"/>
        <v>Adult</v>
      </c>
    </row>
    <row r="209" spans="1:15">
      <c r="A209" t="s">
        <v>277</v>
      </c>
      <c r="B209" t="s">
        <v>64</v>
      </c>
      <c r="C209" t="s">
        <v>30</v>
      </c>
      <c r="D209" t="s">
        <v>16</v>
      </c>
      <c r="E209" s="2">
        <v>18</v>
      </c>
      <c r="F209" t="s">
        <v>34</v>
      </c>
      <c r="G209" t="s">
        <v>40</v>
      </c>
      <c r="H209" s="2">
        <v>74</v>
      </c>
      <c r="I209" s="3">
        <v>3712</v>
      </c>
      <c r="J209" s="4">
        <v>19.059999999999999</v>
      </c>
      <c r="K209" s="2">
        <v>128</v>
      </c>
      <c r="L209" s="2">
        <v>3</v>
      </c>
      <c r="M209" s="3">
        <v>15263</v>
      </c>
      <c r="N209" t="str" cm="1">
        <f t="array" ref="N209">_xlfn.IFS(Table1_36[[#This Row],[Patient Satisfaction Score]]&gt;=83,"High",H209&lt;=75,"Low",TRUE,"Moderate")</f>
        <v>Low</v>
      </c>
      <c r="O209" t="str">
        <f t="shared" si="3"/>
        <v>Pediatric</v>
      </c>
    </row>
    <row r="210" spans="1:15">
      <c r="A210" t="s">
        <v>278</v>
      </c>
      <c r="B210" t="s">
        <v>54</v>
      </c>
      <c r="C210" t="s">
        <v>39</v>
      </c>
      <c r="D210" t="s">
        <v>27</v>
      </c>
      <c r="E210" s="2">
        <v>7</v>
      </c>
      <c r="F210" t="s">
        <v>22</v>
      </c>
      <c r="G210" t="s">
        <v>70</v>
      </c>
      <c r="H210" s="2">
        <v>80</v>
      </c>
      <c r="I210" s="3">
        <v>3397</v>
      </c>
      <c r="J210" s="4">
        <v>12.69</v>
      </c>
      <c r="K210" s="2">
        <v>74</v>
      </c>
      <c r="L210" s="2">
        <v>3</v>
      </c>
      <c r="M210" s="3">
        <v>20199</v>
      </c>
      <c r="N210" t="str" cm="1">
        <f t="array" ref="N210">_xlfn.IFS(Table1_36[[#This Row],[Patient Satisfaction Score]]&gt;=83,"High",H210&lt;=75,"Low",TRUE,"Moderate")</f>
        <v>Moderate</v>
      </c>
      <c r="O210" t="str">
        <f t="shared" si="3"/>
        <v>Pediatric</v>
      </c>
    </row>
    <row r="211" spans="1:15">
      <c r="A211" t="s">
        <v>279</v>
      </c>
      <c r="B211" t="s">
        <v>143</v>
      </c>
      <c r="C211" t="s">
        <v>21</v>
      </c>
      <c r="D211" t="s">
        <v>27</v>
      </c>
      <c r="E211" s="2">
        <v>43</v>
      </c>
      <c r="F211" t="s">
        <v>22</v>
      </c>
      <c r="G211" t="s">
        <v>70</v>
      </c>
      <c r="H211" s="2">
        <v>75</v>
      </c>
      <c r="I211" s="3">
        <v>7556</v>
      </c>
      <c r="J211" s="4">
        <v>17.309999999999999</v>
      </c>
      <c r="K211" s="2">
        <v>88</v>
      </c>
      <c r="L211" s="2">
        <v>3</v>
      </c>
      <c r="M211" s="3">
        <v>41123</v>
      </c>
      <c r="N211" t="str" cm="1">
        <f t="array" ref="N211">_xlfn.IFS(Table1_36[[#This Row],[Patient Satisfaction Score]]&gt;=83,"High",H211&lt;=75,"Low",TRUE,"Moderate")</f>
        <v>Low</v>
      </c>
      <c r="O211" t="str">
        <f t="shared" si="3"/>
        <v>Adult</v>
      </c>
    </row>
    <row r="212" spans="1:15">
      <c r="A212" t="s">
        <v>280</v>
      </c>
      <c r="B212" t="s">
        <v>185</v>
      </c>
      <c r="C212" t="s">
        <v>52</v>
      </c>
      <c r="D212" t="s">
        <v>16</v>
      </c>
      <c r="E212" s="2">
        <v>51</v>
      </c>
      <c r="F212" t="s">
        <v>17</v>
      </c>
      <c r="G212" t="s">
        <v>18</v>
      </c>
      <c r="H212" s="2">
        <v>71</v>
      </c>
      <c r="I212" s="3">
        <v>8385</v>
      </c>
      <c r="J212" s="4">
        <v>24.41</v>
      </c>
      <c r="K212" s="2">
        <v>114</v>
      </c>
      <c r="L212" s="2">
        <v>3</v>
      </c>
      <c r="M212" s="3">
        <v>41179</v>
      </c>
      <c r="N212" t="str" cm="1">
        <f t="array" ref="N212">_xlfn.IFS(Table1_36[[#This Row],[Patient Satisfaction Score]]&gt;=83,"High",H212&lt;=75,"Low",TRUE,"Moderate")</f>
        <v>Low</v>
      </c>
      <c r="O212" t="str">
        <f t="shared" si="3"/>
        <v>Adult</v>
      </c>
    </row>
    <row r="213" spans="1:15">
      <c r="A213" t="s">
        <v>281</v>
      </c>
      <c r="B213" t="s">
        <v>56</v>
      </c>
      <c r="C213" t="s">
        <v>45</v>
      </c>
      <c r="D213" t="s">
        <v>27</v>
      </c>
      <c r="E213" s="2">
        <v>51</v>
      </c>
      <c r="F213" t="s">
        <v>22</v>
      </c>
      <c r="G213" t="s">
        <v>23</v>
      </c>
      <c r="H213" s="2">
        <v>70</v>
      </c>
      <c r="I213" s="3">
        <v>7879</v>
      </c>
      <c r="J213" s="4">
        <v>18.91</v>
      </c>
      <c r="K213" s="2">
        <v>113</v>
      </c>
      <c r="L213" s="2">
        <v>3</v>
      </c>
      <c r="M213" s="3">
        <v>26500</v>
      </c>
      <c r="N213" t="str" cm="1">
        <f t="array" ref="N213">_xlfn.IFS(Table1_36[[#This Row],[Patient Satisfaction Score]]&gt;=83,"High",H213&lt;=75,"Low",TRUE,"Moderate")</f>
        <v>Low</v>
      </c>
      <c r="O213" t="str">
        <f t="shared" si="3"/>
        <v>Adult</v>
      </c>
    </row>
    <row r="214" spans="1:15">
      <c r="A214" t="s">
        <v>282</v>
      </c>
      <c r="B214" t="s">
        <v>56</v>
      </c>
      <c r="C214" t="s">
        <v>45</v>
      </c>
      <c r="D214" t="s">
        <v>16</v>
      </c>
      <c r="E214" s="2">
        <v>40</v>
      </c>
      <c r="F214" t="s">
        <v>17</v>
      </c>
      <c r="G214" t="s">
        <v>23</v>
      </c>
      <c r="H214" s="2">
        <v>84</v>
      </c>
      <c r="I214" s="3">
        <v>7955</v>
      </c>
      <c r="J214" s="4">
        <v>19.350000000000001</v>
      </c>
      <c r="K214" s="2">
        <v>77</v>
      </c>
      <c r="L214" s="2">
        <v>4</v>
      </c>
      <c r="M214" s="3">
        <v>37038</v>
      </c>
      <c r="N214" t="str" cm="1">
        <f t="array" ref="N214">_xlfn.IFS(Table1_36[[#This Row],[Patient Satisfaction Score]]&gt;=83,"High",H214&lt;=75,"Low",TRUE,"Moderate")</f>
        <v>High</v>
      </c>
      <c r="O214" t="str">
        <f t="shared" si="3"/>
        <v>Adult</v>
      </c>
    </row>
    <row r="215" spans="1:15">
      <c r="A215" t="s">
        <v>283</v>
      </c>
      <c r="B215" t="s">
        <v>56</v>
      </c>
      <c r="C215" t="s">
        <v>45</v>
      </c>
      <c r="D215" t="s">
        <v>72</v>
      </c>
      <c r="E215" s="2">
        <v>34</v>
      </c>
      <c r="F215" t="s">
        <v>34</v>
      </c>
      <c r="G215" t="s">
        <v>31</v>
      </c>
      <c r="H215" s="2">
        <v>67</v>
      </c>
      <c r="I215" s="3">
        <v>9500</v>
      </c>
      <c r="J215" s="4">
        <v>22.82</v>
      </c>
      <c r="K215" s="2">
        <v>72</v>
      </c>
      <c r="L215" s="2">
        <v>3</v>
      </c>
      <c r="M215" s="3">
        <v>28700</v>
      </c>
      <c r="N215" t="str" cm="1">
        <f t="array" ref="N215">_xlfn.IFS(Table1_36[[#This Row],[Patient Satisfaction Score]]&gt;=83,"High",H215&lt;=75,"Low",TRUE,"Moderate")</f>
        <v>Low</v>
      </c>
      <c r="O215" t="str">
        <f t="shared" si="3"/>
        <v>Adult</v>
      </c>
    </row>
    <row r="216" spans="1:15">
      <c r="A216" t="s">
        <v>284</v>
      </c>
      <c r="B216" t="s">
        <v>25</v>
      </c>
      <c r="C216" t="s">
        <v>26</v>
      </c>
      <c r="D216" t="s">
        <v>27</v>
      </c>
      <c r="E216" s="2">
        <v>59</v>
      </c>
      <c r="F216" t="s">
        <v>34</v>
      </c>
      <c r="G216" t="s">
        <v>18</v>
      </c>
      <c r="H216" s="2">
        <v>90</v>
      </c>
      <c r="I216" s="3">
        <v>3363</v>
      </c>
      <c r="J216" s="4">
        <v>3.4</v>
      </c>
      <c r="K216" s="2">
        <v>37</v>
      </c>
      <c r="L216" s="2">
        <v>5</v>
      </c>
      <c r="M216" s="3">
        <v>13015</v>
      </c>
      <c r="N216" t="str" cm="1">
        <f t="array" ref="N216">_xlfn.IFS(Table1_36[[#This Row],[Patient Satisfaction Score]]&gt;=83,"High",H216&lt;=75,"Low",TRUE,"Moderate")</f>
        <v>High</v>
      </c>
      <c r="O216" t="str">
        <f t="shared" si="3"/>
        <v>Adult</v>
      </c>
    </row>
    <row r="217" spans="1:15">
      <c r="A217" t="s">
        <v>285</v>
      </c>
      <c r="B217" t="s">
        <v>103</v>
      </c>
      <c r="C217" t="s">
        <v>26</v>
      </c>
      <c r="D217" t="s">
        <v>27</v>
      </c>
      <c r="E217" s="2">
        <v>78</v>
      </c>
      <c r="F217" t="s">
        <v>34</v>
      </c>
      <c r="G217" t="s">
        <v>49</v>
      </c>
      <c r="H217" s="2">
        <v>91</v>
      </c>
      <c r="I217" s="3">
        <v>3083</v>
      </c>
      <c r="J217" s="4">
        <v>2.71</v>
      </c>
      <c r="K217" s="2">
        <v>29</v>
      </c>
      <c r="L217" s="2">
        <v>4</v>
      </c>
      <c r="M217" s="3">
        <v>12897</v>
      </c>
      <c r="N217" t="str" cm="1">
        <f t="array" ref="N217">_xlfn.IFS(Table1_36[[#This Row],[Patient Satisfaction Score]]&gt;=83,"High",H217&lt;=75,"Low",TRUE,"Moderate")</f>
        <v>High</v>
      </c>
      <c r="O217" t="str">
        <f t="shared" si="3"/>
        <v>Adult</v>
      </c>
    </row>
    <row r="218" spans="1:15">
      <c r="A218" t="s">
        <v>286</v>
      </c>
      <c r="B218" t="s">
        <v>42</v>
      </c>
      <c r="C218" t="s">
        <v>39</v>
      </c>
      <c r="D218" t="s">
        <v>27</v>
      </c>
      <c r="E218" s="2">
        <v>2</v>
      </c>
      <c r="F218" t="s">
        <v>22</v>
      </c>
      <c r="G218" t="s">
        <v>40</v>
      </c>
      <c r="H218" s="2">
        <v>89</v>
      </c>
      <c r="I218" s="3">
        <v>3925</v>
      </c>
      <c r="J218" s="4">
        <v>16.02</v>
      </c>
      <c r="K218" s="2">
        <v>63</v>
      </c>
      <c r="L218" s="2">
        <v>5</v>
      </c>
      <c r="M218" s="3">
        <v>19105</v>
      </c>
      <c r="N218" t="str" cm="1">
        <f t="array" ref="N218">_xlfn.IFS(Table1_36[[#This Row],[Patient Satisfaction Score]]&gt;=83,"High",H218&lt;=75,"Low",TRUE,"Moderate")</f>
        <v>High</v>
      </c>
      <c r="O218" t="str">
        <f t="shared" si="3"/>
        <v>Pediatric</v>
      </c>
    </row>
    <row r="219" spans="1:15">
      <c r="A219" t="s">
        <v>287</v>
      </c>
      <c r="B219" t="s">
        <v>187</v>
      </c>
      <c r="C219" t="s">
        <v>30</v>
      </c>
      <c r="D219" t="s">
        <v>27</v>
      </c>
      <c r="E219" s="2">
        <v>32</v>
      </c>
      <c r="F219" t="s">
        <v>22</v>
      </c>
      <c r="G219" t="s">
        <v>31</v>
      </c>
      <c r="H219" s="2">
        <v>73</v>
      </c>
      <c r="I219" s="3">
        <v>3495</v>
      </c>
      <c r="J219" s="4">
        <v>23.25</v>
      </c>
      <c r="K219" s="2">
        <v>126</v>
      </c>
      <c r="L219" s="2">
        <v>3</v>
      </c>
      <c r="M219" s="3">
        <v>17394</v>
      </c>
      <c r="N219" t="str" cm="1">
        <f t="array" ref="N219">_xlfn.IFS(Table1_36[[#This Row],[Patient Satisfaction Score]]&gt;=83,"High",H219&lt;=75,"Low",TRUE,"Moderate")</f>
        <v>Low</v>
      </c>
      <c r="O219" t="str">
        <f t="shared" si="3"/>
        <v>Adult</v>
      </c>
    </row>
    <row r="220" spans="1:15">
      <c r="A220" t="s">
        <v>288</v>
      </c>
      <c r="B220" t="s">
        <v>29</v>
      </c>
      <c r="C220" t="s">
        <v>30</v>
      </c>
      <c r="D220" t="s">
        <v>16</v>
      </c>
      <c r="E220" s="2">
        <v>46</v>
      </c>
      <c r="F220" t="s">
        <v>34</v>
      </c>
      <c r="G220" t="s">
        <v>18</v>
      </c>
      <c r="H220" s="2">
        <v>65</v>
      </c>
      <c r="I220" s="3">
        <v>2700</v>
      </c>
      <c r="J220" s="4">
        <v>17.23</v>
      </c>
      <c r="K220" s="2">
        <v>139</v>
      </c>
      <c r="L220" s="2">
        <v>3</v>
      </c>
      <c r="M220" s="3">
        <v>7587</v>
      </c>
      <c r="N220" t="str" cm="1">
        <f t="array" ref="N220">_xlfn.IFS(Table1_36[[#This Row],[Patient Satisfaction Score]]&gt;=83,"High",H220&lt;=75,"Low",TRUE,"Moderate")</f>
        <v>Low</v>
      </c>
      <c r="O220" t="str">
        <f t="shared" si="3"/>
        <v>Adult</v>
      </c>
    </row>
    <row r="221" spans="1:15">
      <c r="A221" t="s">
        <v>289</v>
      </c>
      <c r="B221" t="s">
        <v>66</v>
      </c>
      <c r="C221" t="s">
        <v>39</v>
      </c>
      <c r="D221" t="s">
        <v>16</v>
      </c>
      <c r="E221" s="2">
        <v>3</v>
      </c>
      <c r="F221" t="s">
        <v>22</v>
      </c>
      <c r="G221" t="s">
        <v>40</v>
      </c>
      <c r="H221" s="2">
        <v>95</v>
      </c>
      <c r="I221" s="3">
        <v>3113</v>
      </c>
      <c r="J221" s="4">
        <v>10.31</v>
      </c>
      <c r="K221" s="2">
        <v>32</v>
      </c>
      <c r="L221" s="2">
        <v>4</v>
      </c>
      <c r="M221" s="3">
        <v>16342</v>
      </c>
      <c r="N221" t="str" cm="1">
        <f t="array" ref="N221">_xlfn.IFS(Table1_36[[#This Row],[Patient Satisfaction Score]]&gt;=83,"High",H221&lt;=75,"Low",TRUE,"Moderate")</f>
        <v>High</v>
      </c>
      <c r="O221" t="str">
        <f t="shared" si="3"/>
        <v>Pediatric</v>
      </c>
    </row>
    <row r="222" spans="1:15">
      <c r="A222" t="s">
        <v>290</v>
      </c>
      <c r="B222" t="s">
        <v>20</v>
      </c>
      <c r="C222" t="s">
        <v>21</v>
      </c>
      <c r="D222" t="s">
        <v>16</v>
      </c>
      <c r="E222" s="2">
        <v>40</v>
      </c>
      <c r="F222" t="s">
        <v>22</v>
      </c>
      <c r="G222" t="s">
        <v>23</v>
      </c>
      <c r="H222" s="2">
        <v>86</v>
      </c>
      <c r="I222" s="3">
        <v>6016</v>
      </c>
      <c r="J222" s="4">
        <v>19.350000000000001</v>
      </c>
      <c r="K222" s="2">
        <v>70</v>
      </c>
      <c r="L222" s="2">
        <v>5</v>
      </c>
      <c r="M222" s="3">
        <v>18924</v>
      </c>
      <c r="N222" t="str" cm="1">
        <f t="array" ref="N222">_xlfn.IFS(Table1_36[[#This Row],[Patient Satisfaction Score]]&gt;=83,"High",H222&lt;=75,"Low",TRUE,"Moderate")</f>
        <v>High</v>
      </c>
      <c r="O222" t="str">
        <f t="shared" si="3"/>
        <v>Adult</v>
      </c>
    </row>
    <row r="223" spans="1:15">
      <c r="A223" t="s">
        <v>291</v>
      </c>
      <c r="B223" t="s">
        <v>122</v>
      </c>
      <c r="C223" t="s">
        <v>48</v>
      </c>
      <c r="D223" t="s">
        <v>27</v>
      </c>
      <c r="E223" s="2">
        <v>16</v>
      </c>
      <c r="F223" t="s">
        <v>34</v>
      </c>
      <c r="G223" t="s">
        <v>31</v>
      </c>
      <c r="H223" s="2">
        <v>72</v>
      </c>
      <c r="I223" s="3">
        <v>5366</v>
      </c>
      <c r="J223" s="4">
        <v>15.09</v>
      </c>
      <c r="K223" s="2">
        <v>51</v>
      </c>
      <c r="L223" s="2">
        <v>4</v>
      </c>
      <c r="M223" s="3">
        <v>31081</v>
      </c>
      <c r="N223" t="str" cm="1">
        <f t="array" ref="N223">_xlfn.IFS(Table1_36[[#This Row],[Patient Satisfaction Score]]&gt;=83,"High",H223&lt;=75,"Low",TRUE,"Moderate")</f>
        <v>Low</v>
      </c>
      <c r="O223" t="str">
        <f t="shared" si="3"/>
        <v>Pediatric</v>
      </c>
    </row>
    <row r="224" spans="1:15">
      <c r="A224" t="s">
        <v>292</v>
      </c>
      <c r="B224" t="s">
        <v>20</v>
      </c>
      <c r="C224" t="s">
        <v>21</v>
      </c>
      <c r="D224" t="s">
        <v>16</v>
      </c>
      <c r="E224" s="2">
        <v>35</v>
      </c>
      <c r="F224" t="s">
        <v>34</v>
      </c>
      <c r="G224" t="s">
        <v>31</v>
      </c>
      <c r="H224" s="2">
        <v>75</v>
      </c>
      <c r="I224" s="3">
        <v>7167</v>
      </c>
      <c r="J224" s="4">
        <v>12.87</v>
      </c>
      <c r="K224" s="2">
        <v>58</v>
      </c>
      <c r="L224" s="2">
        <v>3</v>
      </c>
      <c r="M224" s="3">
        <v>21265</v>
      </c>
      <c r="N224" t="str" cm="1">
        <f t="array" ref="N224">_xlfn.IFS(Table1_36[[#This Row],[Patient Satisfaction Score]]&gt;=83,"High",H224&lt;=75,"Low",TRUE,"Moderate")</f>
        <v>Low</v>
      </c>
      <c r="O224" t="str">
        <f t="shared" si="3"/>
        <v>Adult</v>
      </c>
    </row>
    <row r="225" spans="1:15">
      <c r="A225" t="s">
        <v>293</v>
      </c>
      <c r="B225" t="s">
        <v>33</v>
      </c>
      <c r="C225" t="s">
        <v>26</v>
      </c>
      <c r="D225" t="s">
        <v>27</v>
      </c>
      <c r="E225" s="2">
        <v>49</v>
      </c>
      <c r="F225" t="s">
        <v>22</v>
      </c>
      <c r="G225" t="s">
        <v>40</v>
      </c>
      <c r="H225" s="2">
        <v>93</v>
      </c>
      <c r="I225" s="3">
        <v>1064</v>
      </c>
      <c r="J225" s="4">
        <v>4.3600000000000003</v>
      </c>
      <c r="K225" s="2">
        <v>37</v>
      </c>
      <c r="L225" s="2">
        <v>5</v>
      </c>
      <c r="M225" s="3">
        <v>3251</v>
      </c>
      <c r="N225" t="str" cm="1">
        <f t="array" ref="N225">_xlfn.IFS(Table1_36[[#This Row],[Patient Satisfaction Score]]&gt;=83,"High",H225&lt;=75,"Low",TRUE,"Moderate")</f>
        <v>High</v>
      </c>
      <c r="O225" t="str">
        <f t="shared" si="3"/>
        <v>Adult</v>
      </c>
    </row>
    <row r="226" spans="1:15">
      <c r="A226" t="s">
        <v>294</v>
      </c>
      <c r="B226" t="s">
        <v>135</v>
      </c>
      <c r="C226" t="s">
        <v>48</v>
      </c>
      <c r="D226" t="s">
        <v>27</v>
      </c>
      <c r="E226" s="2">
        <v>25</v>
      </c>
      <c r="F226" t="s">
        <v>34</v>
      </c>
      <c r="G226" t="s">
        <v>40</v>
      </c>
      <c r="H226" s="2">
        <v>76</v>
      </c>
      <c r="I226" s="3">
        <v>6919</v>
      </c>
      <c r="J226" s="4">
        <v>16.91</v>
      </c>
      <c r="K226" s="2">
        <v>81</v>
      </c>
      <c r="L226" s="2">
        <v>4</v>
      </c>
      <c r="M226" s="3">
        <v>23635</v>
      </c>
      <c r="N226" t="str" cm="1">
        <f t="array" ref="N226">_xlfn.IFS(Table1_36[[#This Row],[Patient Satisfaction Score]]&gt;=83,"High",H226&lt;=75,"Low",TRUE,"Moderate")</f>
        <v>Moderate</v>
      </c>
      <c r="O226" t="str">
        <f t="shared" si="3"/>
        <v>Adult</v>
      </c>
    </row>
    <row r="227" spans="1:15">
      <c r="A227" t="s">
        <v>295</v>
      </c>
      <c r="B227" t="s">
        <v>38</v>
      </c>
      <c r="C227" t="s">
        <v>39</v>
      </c>
      <c r="D227" t="s">
        <v>27</v>
      </c>
      <c r="E227" s="2">
        <v>7</v>
      </c>
      <c r="F227" t="s">
        <v>17</v>
      </c>
      <c r="G227" t="s">
        <v>18</v>
      </c>
      <c r="H227" s="2">
        <v>84</v>
      </c>
      <c r="I227" s="3">
        <v>2495</v>
      </c>
      <c r="J227" s="4">
        <v>4.3099999999999996</v>
      </c>
      <c r="K227" s="2">
        <v>55</v>
      </c>
      <c r="L227" s="2">
        <v>5</v>
      </c>
      <c r="M227" s="3">
        <v>13020</v>
      </c>
      <c r="N227" t="str" cm="1">
        <f t="array" ref="N227">_xlfn.IFS(Table1_36[[#This Row],[Patient Satisfaction Score]]&gt;=83,"High",H227&lt;=75,"Low",TRUE,"Moderate")</f>
        <v>High</v>
      </c>
      <c r="O227" t="str">
        <f t="shared" si="3"/>
        <v>Pediatric</v>
      </c>
    </row>
    <row r="228" spans="1:15">
      <c r="A228" t="s">
        <v>296</v>
      </c>
      <c r="B228" t="s">
        <v>185</v>
      </c>
      <c r="C228" t="s">
        <v>52</v>
      </c>
      <c r="D228" t="s">
        <v>72</v>
      </c>
      <c r="E228" s="2">
        <v>44</v>
      </c>
      <c r="F228" t="s">
        <v>22</v>
      </c>
      <c r="G228" t="s">
        <v>40</v>
      </c>
      <c r="H228" s="2">
        <v>82</v>
      </c>
      <c r="I228" s="3">
        <v>4121</v>
      </c>
      <c r="J228" s="4">
        <v>17.54</v>
      </c>
      <c r="K228" s="2">
        <v>65</v>
      </c>
      <c r="L228" s="2">
        <v>4</v>
      </c>
      <c r="M228" s="3">
        <v>10617</v>
      </c>
      <c r="N228" t="str" cm="1">
        <f t="array" ref="N228">_xlfn.IFS(Table1_36[[#This Row],[Patient Satisfaction Score]]&gt;=83,"High",H228&lt;=75,"Low",TRUE,"Moderate")</f>
        <v>Moderate</v>
      </c>
      <c r="O228" t="str">
        <f t="shared" si="3"/>
        <v>Adult</v>
      </c>
    </row>
    <row r="229" spans="1:15">
      <c r="A229" t="s">
        <v>297</v>
      </c>
      <c r="B229" t="s">
        <v>88</v>
      </c>
      <c r="C229" t="s">
        <v>15</v>
      </c>
      <c r="D229" t="s">
        <v>27</v>
      </c>
      <c r="E229" s="2">
        <v>49</v>
      </c>
      <c r="F229" t="s">
        <v>22</v>
      </c>
      <c r="G229" t="s">
        <v>23</v>
      </c>
      <c r="H229" s="2">
        <v>76</v>
      </c>
      <c r="I229" s="3">
        <v>7983</v>
      </c>
      <c r="J229" s="4">
        <v>16.39</v>
      </c>
      <c r="K229" s="2">
        <v>86</v>
      </c>
      <c r="L229" s="2">
        <v>4</v>
      </c>
      <c r="M229" s="3">
        <v>27226</v>
      </c>
      <c r="N229" t="str" cm="1">
        <f t="array" ref="N229">_xlfn.IFS(Table1_36[[#This Row],[Patient Satisfaction Score]]&gt;=83,"High",H229&lt;=75,"Low",TRUE,"Moderate")</f>
        <v>Moderate</v>
      </c>
      <c r="O229" t="str">
        <f t="shared" si="3"/>
        <v>Adult</v>
      </c>
    </row>
    <row r="230" spans="1:15">
      <c r="A230" t="s">
        <v>298</v>
      </c>
      <c r="B230" t="s">
        <v>56</v>
      </c>
      <c r="C230" t="s">
        <v>45</v>
      </c>
      <c r="D230" t="s">
        <v>16</v>
      </c>
      <c r="E230" s="2">
        <v>60</v>
      </c>
      <c r="F230" t="s">
        <v>22</v>
      </c>
      <c r="G230" t="s">
        <v>40</v>
      </c>
      <c r="H230" s="2">
        <v>83</v>
      </c>
      <c r="I230" s="3">
        <v>9528</v>
      </c>
      <c r="J230" s="4">
        <v>11.57</v>
      </c>
      <c r="K230" s="2">
        <v>69</v>
      </c>
      <c r="L230" s="2">
        <v>4</v>
      </c>
      <c r="M230" s="3">
        <v>44113</v>
      </c>
      <c r="N230" t="str" cm="1">
        <f t="array" ref="N230">_xlfn.IFS(Table1_36[[#This Row],[Patient Satisfaction Score]]&gt;=83,"High",H230&lt;=75,"Low",TRUE,"Moderate")</f>
        <v>High</v>
      </c>
      <c r="O230" t="str">
        <f t="shared" si="3"/>
        <v>Adult</v>
      </c>
    </row>
    <row r="231" spans="1:15">
      <c r="A231" t="s">
        <v>299</v>
      </c>
      <c r="B231" t="s">
        <v>25</v>
      </c>
      <c r="C231" t="s">
        <v>26</v>
      </c>
      <c r="D231" t="s">
        <v>27</v>
      </c>
      <c r="E231" s="2">
        <v>28</v>
      </c>
      <c r="F231" t="s">
        <v>17</v>
      </c>
      <c r="G231" t="s">
        <v>70</v>
      </c>
      <c r="H231" s="2">
        <v>92</v>
      </c>
      <c r="I231" s="3">
        <v>2286</v>
      </c>
      <c r="J231" s="4">
        <v>2.83</v>
      </c>
      <c r="K231" s="2">
        <v>38</v>
      </c>
      <c r="L231" s="2">
        <v>4</v>
      </c>
      <c r="M231" s="3">
        <v>10205</v>
      </c>
      <c r="N231" t="str" cm="1">
        <f t="array" ref="N231">_xlfn.IFS(Table1_36[[#This Row],[Patient Satisfaction Score]]&gt;=83,"High",H231&lt;=75,"Low",TRUE,"Moderate")</f>
        <v>High</v>
      </c>
      <c r="O231" t="str">
        <f t="shared" si="3"/>
        <v>Adult</v>
      </c>
    </row>
    <row r="232" spans="1:15">
      <c r="A232" t="s">
        <v>300</v>
      </c>
      <c r="B232" t="s">
        <v>29</v>
      </c>
      <c r="C232" t="s">
        <v>30</v>
      </c>
      <c r="D232" t="s">
        <v>16</v>
      </c>
      <c r="E232" s="2">
        <v>24</v>
      </c>
      <c r="F232" t="s">
        <v>22</v>
      </c>
      <c r="G232" t="s">
        <v>40</v>
      </c>
      <c r="H232" s="2">
        <v>72</v>
      </c>
      <c r="I232" s="3">
        <v>3800</v>
      </c>
      <c r="J232" s="4">
        <v>20.77</v>
      </c>
      <c r="K232" s="2">
        <v>111</v>
      </c>
      <c r="L232" s="2">
        <v>3</v>
      </c>
      <c r="M232" s="3">
        <v>16729</v>
      </c>
      <c r="N232" t="str" cm="1">
        <f t="array" ref="N232">_xlfn.IFS(Table1_36[[#This Row],[Patient Satisfaction Score]]&gt;=83,"High",H232&lt;=75,"Low",TRUE,"Moderate")</f>
        <v>Low</v>
      </c>
      <c r="O232" t="str">
        <f t="shared" si="3"/>
        <v>Adult</v>
      </c>
    </row>
    <row r="233" spans="1:15">
      <c r="A233" t="s">
        <v>301</v>
      </c>
      <c r="B233" t="s">
        <v>51</v>
      </c>
      <c r="C233" t="s">
        <v>52</v>
      </c>
      <c r="D233" t="s">
        <v>16</v>
      </c>
      <c r="E233" s="2">
        <v>43</v>
      </c>
      <c r="F233" t="s">
        <v>34</v>
      </c>
      <c r="G233" t="s">
        <v>31</v>
      </c>
      <c r="H233" s="2">
        <v>78</v>
      </c>
      <c r="I233" s="3">
        <v>5973</v>
      </c>
      <c r="J233" s="4">
        <v>13.77</v>
      </c>
      <c r="K233" s="2">
        <v>63</v>
      </c>
      <c r="L233" s="2">
        <v>5</v>
      </c>
      <c r="M233" s="3">
        <v>23540</v>
      </c>
      <c r="N233" t="str" cm="1">
        <f t="array" ref="N233">_xlfn.IFS(Table1_36[[#This Row],[Patient Satisfaction Score]]&gt;=83,"High",H233&lt;=75,"Low",TRUE,"Moderate")</f>
        <v>Moderate</v>
      </c>
      <c r="O233" t="str">
        <f t="shared" si="3"/>
        <v>Adult</v>
      </c>
    </row>
    <row r="234" spans="1:15">
      <c r="A234" t="s">
        <v>302</v>
      </c>
      <c r="B234" t="s">
        <v>122</v>
      </c>
      <c r="C234" t="s">
        <v>48</v>
      </c>
      <c r="D234" t="s">
        <v>27</v>
      </c>
      <c r="E234" s="2">
        <v>57</v>
      </c>
      <c r="F234" t="s">
        <v>17</v>
      </c>
      <c r="G234" t="s">
        <v>23</v>
      </c>
      <c r="H234" s="2">
        <v>75</v>
      </c>
      <c r="I234" s="3">
        <v>6024</v>
      </c>
      <c r="J234" s="4">
        <v>9.09</v>
      </c>
      <c r="K234" s="2">
        <v>116</v>
      </c>
      <c r="L234" s="2">
        <v>4</v>
      </c>
      <c r="M234" s="3">
        <v>16155</v>
      </c>
      <c r="N234" t="str" cm="1">
        <f t="array" ref="N234">_xlfn.IFS(Table1_36[[#This Row],[Patient Satisfaction Score]]&gt;=83,"High",H234&lt;=75,"Low",TRUE,"Moderate")</f>
        <v>Low</v>
      </c>
      <c r="O234" t="str">
        <f t="shared" si="3"/>
        <v>Adult</v>
      </c>
    </row>
    <row r="235" spans="1:15">
      <c r="A235" t="s">
        <v>303</v>
      </c>
      <c r="B235" t="s">
        <v>122</v>
      </c>
      <c r="C235" t="s">
        <v>48</v>
      </c>
      <c r="D235" t="s">
        <v>27</v>
      </c>
      <c r="E235" s="2">
        <v>32</v>
      </c>
      <c r="F235" t="s">
        <v>17</v>
      </c>
      <c r="G235" t="s">
        <v>49</v>
      </c>
      <c r="H235" s="2">
        <v>85</v>
      </c>
      <c r="I235" s="3">
        <v>5149</v>
      </c>
      <c r="J235" s="4">
        <v>9.9600000000000009</v>
      </c>
      <c r="K235" s="2">
        <v>87</v>
      </c>
      <c r="L235" s="2">
        <v>4</v>
      </c>
      <c r="M235" s="3">
        <v>22232</v>
      </c>
      <c r="N235" t="str" cm="1">
        <f t="array" ref="N235">_xlfn.IFS(Table1_36[[#This Row],[Patient Satisfaction Score]]&gt;=83,"High",H235&lt;=75,"Low",TRUE,"Moderate")</f>
        <v>High</v>
      </c>
      <c r="O235" t="str">
        <f t="shared" si="3"/>
        <v>Adult</v>
      </c>
    </row>
    <row r="236" spans="1:15">
      <c r="A236" t="s">
        <v>304</v>
      </c>
      <c r="B236" t="s">
        <v>36</v>
      </c>
      <c r="C236" t="s">
        <v>21</v>
      </c>
      <c r="D236" t="s">
        <v>27</v>
      </c>
      <c r="E236" s="2">
        <v>51</v>
      </c>
      <c r="F236" t="s">
        <v>22</v>
      </c>
      <c r="G236" t="s">
        <v>31</v>
      </c>
      <c r="H236" s="2">
        <v>85</v>
      </c>
      <c r="I236" s="3">
        <v>6120</v>
      </c>
      <c r="J236" s="4">
        <v>8.75</v>
      </c>
      <c r="K236" s="2">
        <v>84</v>
      </c>
      <c r="L236" s="2">
        <v>4</v>
      </c>
      <c r="M236" s="3">
        <v>26838</v>
      </c>
      <c r="N236" t="str" cm="1">
        <f t="array" ref="N236">_xlfn.IFS(Table1_36[[#This Row],[Patient Satisfaction Score]]&gt;=83,"High",H236&lt;=75,"Low",TRUE,"Moderate")</f>
        <v>High</v>
      </c>
      <c r="O236" t="str">
        <f t="shared" si="3"/>
        <v>Adult</v>
      </c>
    </row>
    <row r="237" spans="1:15">
      <c r="A237" t="s">
        <v>305</v>
      </c>
      <c r="B237" t="s">
        <v>137</v>
      </c>
      <c r="C237" t="s">
        <v>26</v>
      </c>
      <c r="D237" t="s">
        <v>16</v>
      </c>
      <c r="E237" s="2">
        <v>25</v>
      </c>
      <c r="F237" t="s">
        <v>17</v>
      </c>
      <c r="G237" t="s">
        <v>70</v>
      </c>
      <c r="H237" s="2">
        <v>93</v>
      </c>
      <c r="I237" s="3">
        <v>3019</v>
      </c>
      <c r="J237" s="4">
        <v>7.02</v>
      </c>
      <c r="K237" s="2">
        <v>44</v>
      </c>
      <c r="L237" s="2">
        <v>4</v>
      </c>
      <c r="M237" s="3">
        <v>17738</v>
      </c>
      <c r="N237" t="str" cm="1">
        <f t="array" ref="N237">_xlfn.IFS(Table1_36[[#This Row],[Patient Satisfaction Score]]&gt;=83,"High",H237&lt;=75,"Low",TRUE,"Moderate")</f>
        <v>High</v>
      </c>
      <c r="O237" t="str">
        <f t="shared" si="3"/>
        <v>Adult</v>
      </c>
    </row>
    <row r="238" spans="1:15">
      <c r="A238" t="s">
        <v>306</v>
      </c>
      <c r="B238" t="s">
        <v>88</v>
      </c>
      <c r="C238" t="s">
        <v>15</v>
      </c>
      <c r="D238" t="s">
        <v>16</v>
      </c>
      <c r="E238" s="2">
        <v>47</v>
      </c>
      <c r="F238" t="s">
        <v>34</v>
      </c>
      <c r="G238" t="s">
        <v>23</v>
      </c>
      <c r="H238" s="2">
        <v>91</v>
      </c>
      <c r="I238" s="3">
        <v>8286</v>
      </c>
      <c r="J238" s="4">
        <v>13.33</v>
      </c>
      <c r="K238" s="2">
        <v>56</v>
      </c>
      <c r="L238" s="2">
        <v>5</v>
      </c>
      <c r="M238" s="3">
        <v>43855</v>
      </c>
      <c r="N238" t="str" cm="1">
        <f t="array" ref="N238">_xlfn.IFS(Table1_36[[#This Row],[Patient Satisfaction Score]]&gt;=83,"High",H238&lt;=75,"Low",TRUE,"Moderate")</f>
        <v>High</v>
      </c>
      <c r="O238" t="str">
        <f t="shared" si="3"/>
        <v>Adult</v>
      </c>
    </row>
    <row r="239" spans="1:15">
      <c r="A239" t="s">
        <v>307</v>
      </c>
      <c r="B239" t="s">
        <v>66</v>
      </c>
      <c r="C239" t="s">
        <v>39</v>
      </c>
      <c r="D239" t="s">
        <v>27</v>
      </c>
      <c r="E239" s="2">
        <v>9</v>
      </c>
      <c r="F239" t="s">
        <v>17</v>
      </c>
      <c r="G239" t="s">
        <v>40</v>
      </c>
      <c r="H239" s="2">
        <v>89</v>
      </c>
      <c r="I239" s="3">
        <v>2268</v>
      </c>
      <c r="J239" s="4">
        <v>8.4700000000000006</v>
      </c>
      <c r="K239" s="2">
        <v>56</v>
      </c>
      <c r="L239" s="2">
        <v>5</v>
      </c>
      <c r="M239" s="3">
        <v>8184</v>
      </c>
      <c r="N239" t="str" cm="1">
        <f t="array" ref="N239">_xlfn.IFS(Table1_36[[#This Row],[Patient Satisfaction Score]]&gt;=83,"High",H239&lt;=75,"Low",TRUE,"Moderate")</f>
        <v>High</v>
      </c>
      <c r="O239" t="str">
        <f t="shared" si="3"/>
        <v>Pediatric</v>
      </c>
    </row>
    <row r="240" spans="1:15">
      <c r="A240" t="s">
        <v>308</v>
      </c>
      <c r="B240" t="s">
        <v>80</v>
      </c>
      <c r="C240" t="s">
        <v>15</v>
      </c>
      <c r="D240" t="s">
        <v>16</v>
      </c>
      <c r="E240" s="2">
        <v>38</v>
      </c>
      <c r="F240" t="s">
        <v>22</v>
      </c>
      <c r="G240" t="s">
        <v>40</v>
      </c>
      <c r="H240" s="2">
        <v>87</v>
      </c>
      <c r="I240" s="3">
        <v>5662</v>
      </c>
      <c r="J240" s="4">
        <v>17.690000000000001</v>
      </c>
      <c r="K240" s="2">
        <v>76</v>
      </c>
      <c r="L240" s="2">
        <v>4</v>
      </c>
      <c r="M240" s="3">
        <v>15809</v>
      </c>
      <c r="N240" t="str" cm="1">
        <f t="array" ref="N240">_xlfn.IFS(Table1_36[[#This Row],[Patient Satisfaction Score]]&gt;=83,"High",H240&lt;=75,"Low",TRUE,"Moderate")</f>
        <v>High</v>
      </c>
      <c r="O240" t="str">
        <f t="shared" si="3"/>
        <v>Adult</v>
      </c>
    </row>
    <row r="241" spans="1:15">
      <c r="A241" t="s">
        <v>309</v>
      </c>
      <c r="B241" t="s">
        <v>187</v>
      </c>
      <c r="C241" t="s">
        <v>30</v>
      </c>
      <c r="D241" t="s">
        <v>27</v>
      </c>
      <c r="E241" s="2">
        <v>48</v>
      </c>
      <c r="F241" t="s">
        <v>17</v>
      </c>
      <c r="G241" t="s">
        <v>70</v>
      </c>
      <c r="H241" s="2">
        <v>73</v>
      </c>
      <c r="I241" s="3">
        <v>3864</v>
      </c>
      <c r="J241" s="4">
        <v>18.02</v>
      </c>
      <c r="K241" s="2">
        <v>114</v>
      </c>
      <c r="L241" s="2">
        <v>4</v>
      </c>
      <c r="M241" s="3">
        <v>18692</v>
      </c>
      <c r="N241" t="str" cm="1">
        <f t="array" ref="N241">_xlfn.IFS(Table1_36[[#This Row],[Patient Satisfaction Score]]&gt;=83,"High",H241&lt;=75,"Low",TRUE,"Moderate")</f>
        <v>Low</v>
      </c>
      <c r="O241" t="str">
        <f t="shared" si="3"/>
        <v>Adult</v>
      </c>
    </row>
    <row r="242" spans="1:15">
      <c r="A242" t="s">
        <v>310</v>
      </c>
      <c r="B242" t="s">
        <v>54</v>
      </c>
      <c r="C242" t="s">
        <v>15</v>
      </c>
      <c r="D242" t="s">
        <v>16</v>
      </c>
      <c r="E242" s="2">
        <v>23</v>
      </c>
      <c r="F242" t="s">
        <v>22</v>
      </c>
      <c r="G242" t="s">
        <v>23</v>
      </c>
      <c r="H242" s="2">
        <v>79</v>
      </c>
      <c r="I242" s="3">
        <v>6737</v>
      </c>
      <c r="J242" s="4">
        <v>19.940000000000001</v>
      </c>
      <c r="K242" s="2">
        <v>93</v>
      </c>
      <c r="L242" s="2">
        <v>5</v>
      </c>
      <c r="M242" s="3">
        <v>33804</v>
      </c>
      <c r="N242" t="str" cm="1">
        <f t="array" ref="N242">_xlfn.IFS(Table1_36[[#This Row],[Patient Satisfaction Score]]&gt;=83,"High",H242&lt;=75,"Low",TRUE,"Moderate")</f>
        <v>Moderate</v>
      </c>
      <c r="O242" t="str">
        <f t="shared" si="3"/>
        <v>Adult</v>
      </c>
    </row>
    <row r="243" spans="1:15">
      <c r="A243" t="s">
        <v>311</v>
      </c>
      <c r="B243" t="s">
        <v>64</v>
      </c>
      <c r="C243" t="s">
        <v>30</v>
      </c>
      <c r="D243" t="s">
        <v>27</v>
      </c>
      <c r="E243" s="2">
        <v>28</v>
      </c>
      <c r="F243" t="s">
        <v>17</v>
      </c>
      <c r="G243" t="s">
        <v>49</v>
      </c>
      <c r="H243" s="2">
        <v>79</v>
      </c>
      <c r="I243" s="3">
        <v>3689</v>
      </c>
      <c r="J243" s="4">
        <v>19.22</v>
      </c>
      <c r="K243" s="2">
        <v>121</v>
      </c>
      <c r="L243" s="2">
        <v>4</v>
      </c>
      <c r="M243" s="3">
        <v>13281</v>
      </c>
      <c r="N243" t="str" cm="1">
        <f t="array" ref="N243">_xlfn.IFS(Table1_36[[#This Row],[Patient Satisfaction Score]]&gt;=83,"High",H243&lt;=75,"Low",TRUE,"Moderate")</f>
        <v>Moderate</v>
      </c>
      <c r="O243" t="str">
        <f t="shared" si="3"/>
        <v>Adult</v>
      </c>
    </row>
    <row r="244" spans="1:15">
      <c r="A244" t="s">
        <v>312</v>
      </c>
      <c r="B244" t="s">
        <v>51</v>
      </c>
      <c r="C244" t="s">
        <v>52</v>
      </c>
      <c r="D244" t="s">
        <v>16</v>
      </c>
      <c r="E244" s="2">
        <v>71</v>
      </c>
      <c r="F244" t="s">
        <v>22</v>
      </c>
      <c r="G244" t="s">
        <v>18</v>
      </c>
      <c r="H244" s="2">
        <v>86</v>
      </c>
      <c r="I244" s="3">
        <v>4605</v>
      </c>
      <c r="J244" s="4">
        <v>11.57</v>
      </c>
      <c r="K244" s="2">
        <v>77</v>
      </c>
      <c r="L244" s="2">
        <v>4</v>
      </c>
      <c r="M244" s="3">
        <v>16915</v>
      </c>
      <c r="N244" t="str" cm="1">
        <f t="array" ref="N244">_xlfn.IFS(Table1_36[[#This Row],[Patient Satisfaction Score]]&gt;=83,"High",H244&lt;=75,"Low",TRUE,"Moderate")</f>
        <v>High</v>
      </c>
      <c r="O244" t="str">
        <f t="shared" si="3"/>
        <v>Adult</v>
      </c>
    </row>
    <row r="245" spans="1:15">
      <c r="A245" t="s">
        <v>313</v>
      </c>
      <c r="B245" t="s">
        <v>60</v>
      </c>
      <c r="C245" t="s">
        <v>52</v>
      </c>
      <c r="D245" t="s">
        <v>27</v>
      </c>
      <c r="E245" s="2">
        <v>55</v>
      </c>
      <c r="F245" t="s">
        <v>17</v>
      </c>
      <c r="G245" t="s">
        <v>49</v>
      </c>
      <c r="H245" s="2">
        <v>78</v>
      </c>
      <c r="I245" s="3">
        <v>7095</v>
      </c>
      <c r="J245" s="4">
        <v>12.36</v>
      </c>
      <c r="K245" s="2">
        <v>63</v>
      </c>
      <c r="L245" s="2">
        <v>3</v>
      </c>
      <c r="M245" s="3">
        <v>36332</v>
      </c>
      <c r="N245" t="str" cm="1">
        <f t="array" ref="N245">_xlfn.IFS(Table1_36[[#This Row],[Patient Satisfaction Score]]&gt;=83,"High",H245&lt;=75,"Low",TRUE,"Moderate")</f>
        <v>Moderate</v>
      </c>
      <c r="O245" t="str">
        <f t="shared" si="3"/>
        <v>Adult</v>
      </c>
    </row>
    <row r="246" spans="1:15">
      <c r="A246" t="s">
        <v>314</v>
      </c>
      <c r="B246" t="s">
        <v>64</v>
      </c>
      <c r="C246" t="s">
        <v>30</v>
      </c>
      <c r="D246" t="s">
        <v>16</v>
      </c>
      <c r="E246" s="2">
        <v>69</v>
      </c>
      <c r="F246" t="s">
        <v>17</v>
      </c>
      <c r="G246" t="s">
        <v>18</v>
      </c>
      <c r="H246" s="2">
        <v>71</v>
      </c>
      <c r="I246" s="3">
        <v>4198</v>
      </c>
      <c r="J246" s="4">
        <v>16.27</v>
      </c>
      <c r="K246" s="2">
        <v>140</v>
      </c>
      <c r="L246" s="2">
        <v>4</v>
      </c>
      <c r="M246" s="3">
        <v>19812</v>
      </c>
      <c r="N246" t="str" cm="1">
        <f t="array" ref="N246">_xlfn.IFS(Table1_36[[#This Row],[Patient Satisfaction Score]]&gt;=83,"High",H246&lt;=75,"Low",TRUE,"Moderate")</f>
        <v>Low</v>
      </c>
      <c r="O246" t="str">
        <f t="shared" si="3"/>
        <v>Adult</v>
      </c>
    </row>
    <row r="247" spans="1:15">
      <c r="A247" t="s">
        <v>315</v>
      </c>
      <c r="B247" t="s">
        <v>135</v>
      </c>
      <c r="C247" t="s">
        <v>48</v>
      </c>
      <c r="D247" t="s">
        <v>27</v>
      </c>
      <c r="E247" s="2">
        <v>52</v>
      </c>
      <c r="F247" t="s">
        <v>17</v>
      </c>
      <c r="G247" t="s">
        <v>18</v>
      </c>
      <c r="H247" s="2">
        <v>82</v>
      </c>
      <c r="I247" s="3">
        <v>7433</v>
      </c>
      <c r="J247" s="4">
        <v>7.51</v>
      </c>
      <c r="K247" s="2">
        <v>59</v>
      </c>
      <c r="L247" s="2">
        <v>4</v>
      </c>
      <c r="M247" s="3">
        <v>40358</v>
      </c>
      <c r="N247" t="str" cm="1">
        <f t="array" ref="N247">_xlfn.IFS(Table1_36[[#This Row],[Patient Satisfaction Score]]&gt;=83,"High",H247&lt;=75,"Low",TRUE,"Moderate")</f>
        <v>Moderate</v>
      </c>
      <c r="O247" t="str">
        <f t="shared" si="3"/>
        <v>Adult</v>
      </c>
    </row>
    <row r="248" spans="1:15">
      <c r="A248" t="s">
        <v>316</v>
      </c>
      <c r="B248" t="s">
        <v>64</v>
      </c>
      <c r="C248" t="s">
        <v>30</v>
      </c>
      <c r="D248" t="s">
        <v>16</v>
      </c>
      <c r="E248" s="2">
        <v>62</v>
      </c>
      <c r="F248" t="s">
        <v>17</v>
      </c>
      <c r="G248" t="s">
        <v>49</v>
      </c>
      <c r="H248" s="2">
        <v>67</v>
      </c>
      <c r="I248" s="3">
        <v>3588</v>
      </c>
      <c r="J248" s="4">
        <v>25.76</v>
      </c>
      <c r="K248" s="2">
        <v>83</v>
      </c>
      <c r="L248" s="2">
        <v>3</v>
      </c>
      <c r="M248" s="3">
        <v>9386</v>
      </c>
      <c r="N248" t="str" cm="1">
        <f t="array" ref="N248">_xlfn.IFS(Table1_36[[#This Row],[Patient Satisfaction Score]]&gt;=83,"High",H248&lt;=75,"Low",TRUE,"Moderate")</f>
        <v>Low</v>
      </c>
      <c r="O248" t="str">
        <f t="shared" si="3"/>
        <v>Adult</v>
      </c>
    </row>
    <row r="249" spans="1:15">
      <c r="A249" t="s">
        <v>317</v>
      </c>
      <c r="B249" t="s">
        <v>38</v>
      </c>
      <c r="C249" t="s">
        <v>39</v>
      </c>
      <c r="D249" t="s">
        <v>27</v>
      </c>
      <c r="E249" s="2">
        <v>12</v>
      </c>
      <c r="F249" t="s">
        <v>17</v>
      </c>
      <c r="G249" t="s">
        <v>18</v>
      </c>
      <c r="H249" s="2">
        <v>79</v>
      </c>
      <c r="I249" s="3">
        <v>3434</v>
      </c>
      <c r="J249" s="4">
        <v>10.67</v>
      </c>
      <c r="K249" s="2">
        <v>33</v>
      </c>
      <c r="L249" s="2">
        <v>4</v>
      </c>
      <c r="M249" s="3">
        <v>19488</v>
      </c>
      <c r="N249" t="str" cm="1">
        <f t="array" ref="N249">_xlfn.IFS(Table1_36[[#This Row],[Patient Satisfaction Score]]&gt;=83,"High",H249&lt;=75,"Low",TRUE,"Moderate")</f>
        <v>Moderate</v>
      </c>
      <c r="O249" t="str">
        <f t="shared" si="3"/>
        <v>Pediatric</v>
      </c>
    </row>
    <row r="250" spans="1:15">
      <c r="A250" t="s">
        <v>318</v>
      </c>
      <c r="B250" t="s">
        <v>137</v>
      </c>
      <c r="C250" t="s">
        <v>26</v>
      </c>
      <c r="D250" t="s">
        <v>27</v>
      </c>
      <c r="E250" s="2">
        <v>58</v>
      </c>
      <c r="F250" t="s">
        <v>17</v>
      </c>
      <c r="G250" t="s">
        <v>70</v>
      </c>
      <c r="H250" s="2">
        <v>90</v>
      </c>
      <c r="I250" s="3">
        <v>2433</v>
      </c>
      <c r="J250" s="4">
        <v>1.1000000000000001</v>
      </c>
      <c r="K250" s="2">
        <v>82</v>
      </c>
      <c r="L250" s="2">
        <v>4</v>
      </c>
      <c r="M250" s="3">
        <v>10737</v>
      </c>
      <c r="N250" t="str" cm="1">
        <f t="array" ref="N250">_xlfn.IFS(Table1_36[[#This Row],[Patient Satisfaction Score]]&gt;=83,"High",H250&lt;=75,"Low",TRUE,"Moderate")</f>
        <v>High</v>
      </c>
      <c r="O250" t="str">
        <f t="shared" si="3"/>
        <v>Adult</v>
      </c>
    </row>
    <row r="251" spans="1:15">
      <c r="A251" t="s">
        <v>319</v>
      </c>
      <c r="B251" t="s">
        <v>56</v>
      </c>
      <c r="C251" t="s">
        <v>45</v>
      </c>
      <c r="D251" t="s">
        <v>16</v>
      </c>
      <c r="E251" s="2">
        <v>50</v>
      </c>
      <c r="F251" t="s">
        <v>17</v>
      </c>
      <c r="G251" t="s">
        <v>70</v>
      </c>
      <c r="H251" s="2">
        <v>76</v>
      </c>
      <c r="I251" s="3">
        <v>8662</v>
      </c>
      <c r="J251" s="4">
        <v>13.23</v>
      </c>
      <c r="K251" s="2">
        <v>93</v>
      </c>
      <c r="L251" s="2">
        <v>4</v>
      </c>
      <c r="M251" s="3">
        <v>47677</v>
      </c>
      <c r="N251" t="str" cm="1">
        <f t="array" ref="N251">_xlfn.IFS(Table1_36[[#This Row],[Patient Satisfaction Score]]&gt;=83,"High",H251&lt;=75,"Low",TRUE,"Moderate")</f>
        <v>Moderate</v>
      </c>
      <c r="O251" t="str">
        <f t="shared" si="3"/>
        <v>Adult</v>
      </c>
    </row>
    <row r="252" spans="1:15">
      <c r="A252" t="s">
        <v>320</v>
      </c>
      <c r="B252" t="s">
        <v>95</v>
      </c>
      <c r="C252" t="s">
        <v>52</v>
      </c>
      <c r="D252" t="s">
        <v>27</v>
      </c>
      <c r="E252" s="2">
        <v>55</v>
      </c>
      <c r="F252" t="s">
        <v>22</v>
      </c>
      <c r="G252" t="s">
        <v>49</v>
      </c>
      <c r="H252" s="2">
        <v>73</v>
      </c>
      <c r="I252" s="3">
        <v>9182</v>
      </c>
      <c r="J252" s="4">
        <v>16.46</v>
      </c>
      <c r="K252" s="2">
        <v>74</v>
      </c>
      <c r="L252" s="2">
        <v>4</v>
      </c>
      <c r="M252" s="3">
        <v>49609</v>
      </c>
      <c r="N252" t="str" cm="1">
        <f t="array" ref="N252">_xlfn.IFS(Table1_36[[#This Row],[Patient Satisfaction Score]]&gt;=83,"High",H252&lt;=75,"Low",TRUE,"Moderate")</f>
        <v>Low</v>
      </c>
      <c r="O252" t="str">
        <f t="shared" si="3"/>
        <v>Adult</v>
      </c>
    </row>
    <row r="253" spans="1:15">
      <c r="A253" t="s">
        <v>321</v>
      </c>
      <c r="B253" t="s">
        <v>122</v>
      </c>
      <c r="C253" t="s">
        <v>48</v>
      </c>
      <c r="D253" t="s">
        <v>16</v>
      </c>
      <c r="E253" s="2">
        <v>58</v>
      </c>
      <c r="F253" t="s">
        <v>17</v>
      </c>
      <c r="G253" t="s">
        <v>23</v>
      </c>
      <c r="H253" s="2">
        <v>77</v>
      </c>
      <c r="I253" s="3">
        <v>6407</v>
      </c>
      <c r="J253" s="4">
        <v>9.42</v>
      </c>
      <c r="K253" s="2">
        <v>67</v>
      </c>
      <c r="L253" s="2">
        <v>4</v>
      </c>
      <c r="M253" s="3">
        <v>21441</v>
      </c>
      <c r="N253" t="str" cm="1">
        <f t="array" ref="N253">_xlfn.IFS(Table1_36[[#This Row],[Patient Satisfaction Score]]&gt;=83,"High",H253&lt;=75,"Low",TRUE,"Moderate")</f>
        <v>Moderate</v>
      </c>
      <c r="O253" t="str">
        <f t="shared" si="3"/>
        <v>Adult</v>
      </c>
    </row>
    <row r="254" spans="1:15">
      <c r="A254" t="s">
        <v>322</v>
      </c>
      <c r="B254" t="s">
        <v>168</v>
      </c>
      <c r="C254" t="s">
        <v>45</v>
      </c>
      <c r="D254" t="s">
        <v>27</v>
      </c>
      <c r="E254" s="2">
        <v>44</v>
      </c>
      <c r="F254" t="s">
        <v>17</v>
      </c>
      <c r="G254" t="s">
        <v>70</v>
      </c>
      <c r="H254" s="2">
        <v>73</v>
      </c>
      <c r="I254" s="3">
        <v>10439</v>
      </c>
      <c r="J254" s="4">
        <v>10.53</v>
      </c>
      <c r="K254" s="2">
        <v>88</v>
      </c>
      <c r="L254" s="2">
        <v>3</v>
      </c>
      <c r="M254" s="3">
        <v>53251</v>
      </c>
      <c r="N254" t="str" cm="1">
        <f t="array" ref="N254">_xlfn.IFS(Table1_36[[#This Row],[Patient Satisfaction Score]]&gt;=83,"High",H254&lt;=75,"Low",TRUE,"Moderate")</f>
        <v>Low</v>
      </c>
      <c r="O254" t="str">
        <f t="shared" si="3"/>
        <v>Adult</v>
      </c>
    </row>
    <row r="255" spans="1:15">
      <c r="A255" t="s">
        <v>323</v>
      </c>
      <c r="B255" t="s">
        <v>74</v>
      </c>
      <c r="C255" t="s">
        <v>45</v>
      </c>
      <c r="D255" t="s">
        <v>16</v>
      </c>
      <c r="E255" s="2">
        <v>53</v>
      </c>
      <c r="F255" t="s">
        <v>34</v>
      </c>
      <c r="G255" t="s">
        <v>49</v>
      </c>
      <c r="H255" s="2">
        <v>76</v>
      </c>
      <c r="I255" s="3">
        <v>10624</v>
      </c>
      <c r="J255" s="4">
        <v>17.86</v>
      </c>
      <c r="K255" s="2">
        <v>112</v>
      </c>
      <c r="L255" s="2">
        <v>4</v>
      </c>
      <c r="M255" s="3">
        <v>27849</v>
      </c>
      <c r="N255" t="str" cm="1">
        <f t="array" ref="N255">_xlfn.IFS(Table1_36[[#This Row],[Patient Satisfaction Score]]&gt;=83,"High",H255&lt;=75,"Low",TRUE,"Moderate")</f>
        <v>Moderate</v>
      </c>
      <c r="O255" t="str">
        <f t="shared" si="3"/>
        <v>Adult</v>
      </c>
    </row>
    <row r="256" spans="1:15">
      <c r="A256" t="s">
        <v>324</v>
      </c>
      <c r="B256" t="s">
        <v>20</v>
      </c>
      <c r="C256" t="s">
        <v>21</v>
      </c>
      <c r="D256" t="s">
        <v>27</v>
      </c>
      <c r="E256" s="2">
        <v>46</v>
      </c>
      <c r="F256" t="s">
        <v>22</v>
      </c>
      <c r="G256" t="s">
        <v>31</v>
      </c>
      <c r="H256" s="2">
        <v>78</v>
      </c>
      <c r="I256" s="3">
        <v>5294</v>
      </c>
      <c r="J256" s="4">
        <v>15.95</v>
      </c>
      <c r="K256" s="2">
        <v>113</v>
      </c>
      <c r="L256" s="2">
        <v>4</v>
      </c>
      <c r="M256" s="3">
        <v>29521</v>
      </c>
      <c r="N256" t="str" cm="1">
        <f t="array" ref="N256">_xlfn.IFS(Table1_36[[#This Row],[Patient Satisfaction Score]]&gt;=83,"High",H256&lt;=75,"Low",TRUE,"Moderate")</f>
        <v>Moderate</v>
      </c>
      <c r="O256" t="str">
        <f t="shared" si="3"/>
        <v>Adult</v>
      </c>
    </row>
    <row r="257" spans="1:15">
      <c r="A257" t="s">
        <v>325</v>
      </c>
      <c r="B257" t="s">
        <v>54</v>
      </c>
      <c r="C257" t="s">
        <v>39</v>
      </c>
      <c r="D257" t="s">
        <v>72</v>
      </c>
      <c r="E257" s="2">
        <v>18</v>
      </c>
      <c r="F257" t="s">
        <v>22</v>
      </c>
      <c r="G257" t="s">
        <v>40</v>
      </c>
      <c r="H257" s="2">
        <v>86</v>
      </c>
      <c r="I257" s="3">
        <v>1913</v>
      </c>
      <c r="J257" s="4">
        <v>5.25</v>
      </c>
      <c r="K257" s="2">
        <v>113</v>
      </c>
      <c r="L257" s="2">
        <v>4</v>
      </c>
      <c r="M257" s="3">
        <v>8812</v>
      </c>
      <c r="N257" t="str" cm="1">
        <f t="array" ref="N257">_xlfn.IFS(Table1_36[[#This Row],[Patient Satisfaction Score]]&gt;=83,"High",H257&lt;=75,"Low",TRUE,"Moderate")</f>
        <v>High</v>
      </c>
      <c r="O257" t="str">
        <f t="shared" si="3"/>
        <v>Pediatric</v>
      </c>
    </row>
    <row r="258" spans="1:15">
      <c r="A258" t="s">
        <v>326</v>
      </c>
      <c r="B258" t="s">
        <v>44</v>
      </c>
      <c r="C258" t="s">
        <v>45</v>
      </c>
      <c r="D258" t="s">
        <v>16</v>
      </c>
      <c r="E258" s="2">
        <v>42</v>
      </c>
      <c r="F258" t="s">
        <v>17</v>
      </c>
      <c r="G258" t="s">
        <v>31</v>
      </c>
      <c r="H258" s="2">
        <v>78</v>
      </c>
      <c r="I258" s="3">
        <v>11902</v>
      </c>
      <c r="J258" s="4">
        <v>22.26</v>
      </c>
      <c r="K258" s="2">
        <v>114</v>
      </c>
      <c r="L258" s="2">
        <v>4</v>
      </c>
      <c r="M258" s="3">
        <v>39645</v>
      </c>
      <c r="N258" t="str" cm="1">
        <f t="array" ref="N258">_xlfn.IFS(Table1_36[[#This Row],[Patient Satisfaction Score]]&gt;=83,"High",H258&lt;=75,"Low",TRUE,"Moderate")</f>
        <v>Moderate</v>
      </c>
      <c r="O258" t="str">
        <f t="shared" ref="O258:O321" si="4">IF(E258&lt;19,"Pediatric","Adult")</f>
        <v>Adult</v>
      </c>
    </row>
    <row r="259" spans="1:15">
      <c r="A259" t="s">
        <v>327</v>
      </c>
      <c r="B259" t="s">
        <v>78</v>
      </c>
      <c r="C259" t="s">
        <v>15</v>
      </c>
      <c r="D259" t="s">
        <v>16</v>
      </c>
      <c r="E259" s="2">
        <v>25</v>
      </c>
      <c r="F259" t="s">
        <v>17</v>
      </c>
      <c r="G259" t="s">
        <v>70</v>
      </c>
      <c r="H259" s="2">
        <v>83</v>
      </c>
      <c r="I259" s="3">
        <v>6640</v>
      </c>
      <c r="J259" s="4">
        <v>6.39</v>
      </c>
      <c r="K259" s="2">
        <v>85</v>
      </c>
      <c r="L259" s="2">
        <v>4</v>
      </c>
      <c r="M259" s="3">
        <v>30559</v>
      </c>
      <c r="N259" t="str" cm="1">
        <f t="array" ref="N259">_xlfn.IFS(Table1_36[[#This Row],[Patient Satisfaction Score]]&gt;=83,"High",H259&lt;=75,"Low",TRUE,"Moderate")</f>
        <v>High</v>
      </c>
      <c r="O259" t="str">
        <f t="shared" si="4"/>
        <v>Adult</v>
      </c>
    </row>
    <row r="260" spans="1:15">
      <c r="A260" t="s">
        <v>328</v>
      </c>
      <c r="B260" t="s">
        <v>68</v>
      </c>
      <c r="C260" t="s">
        <v>45</v>
      </c>
      <c r="D260" t="s">
        <v>27</v>
      </c>
      <c r="E260" s="2">
        <v>45</v>
      </c>
      <c r="F260" t="s">
        <v>34</v>
      </c>
      <c r="G260" t="s">
        <v>70</v>
      </c>
      <c r="H260" s="2">
        <v>66</v>
      </c>
      <c r="I260" s="3">
        <v>7879</v>
      </c>
      <c r="J260" s="4">
        <v>17.78</v>
      </c>
      <c r="K260" s="2">
        <v>128</v>
      </c>
      <c r="L260" s="2">
        <v>3</v>
      </c>
      <c r="M260" s="3">
        <v>32727</v>
      </c>
      <c r="N260" t="str" cm="1">
        <f t="array" ref="N260">_xlfn.IFS(Table1_36[[#This Row],[Patient Satisfaction Score]]&gt;=83,"High",H260&lt;=75,"Low",TRUE,"Moderate")</f>
        <v>Low</v>
      </c>
      <c r="O260" t="str">
        <f t="shared" si="4"/>
        <v>Adult</v>
      </c>
    </row>
    <row r="261" spans="1:15">
      <c r="A261" t="s">
        <v>329</v>
      </c>
      <c r="B261" t="s">
        <v>25</v>
      </c>
      <c r="C261" t="s">
        <v>26</v>
      </c>
      <c r="D261" t="s">
        <v>27</v>
      </c>
      <c r="E261" s="2">
        <v>40</v>
      </c>
      <c r="F261" t="s">
        <v>34</v>
      </c>
      <c r="G261" t="s">
        <v>31</v>
      </c>
      <c r="H261" s="2">
        <v>90</v>
      </c>
      <c r="I261" s="3">
        <v>2726</v>
      </c>
      <c r="J261" s="4">
        <v>0.04</v>
      </c>
      <c r="K261" s="2">
        <v>5</v>
      </c>
      <c r="L261" s="2">
        <v>4</v>
      </c>
      <c r="M261" s="3">
        <v>11743</v>
      </c>
      <c r="N261" t="str" cm="1">
        <f t="array" ref="N261">_xlfn.IFS(Table1_36[[#This Row],[Patient Satisfaction Score]]&gt;=83,"High",H261&lt;=75,"Low",TRUE,"Moderate")</f>
        <v>High</v>
      </c>
      <c r="O261" t="str">
        <f t="shared" si="4"/>
        <v>Adult</v>
      </c>
    </row>
    <row r="262" spans="1:15">
      <c r="A262" t="s">
        <v>330</v>
      </c>
      <c r="B262" t="s">
        <v>150</v>
      </c>
      <c r="C262" t="s">
        <v>48</v>
      </c>
      <c r="D262" t="s">
        <v>16</v>
      </c>
      <c r="E262" s="2">
        <v>38</v>
      </c>
      <c r="F262" t="s">
        <v>22</v>
      </c>
      <c r="G262" t="s">
        <v>70</v>
      </c>
      <c r="H262" s="2">
        <v>70</v>
      </c>
      <c r="I262" s="3">
        <v>6383</v>
      </c>
      <c r="J262" s="4">
        <v>17.36</v>
      </c>
      <c r="K262" s="2">
        <v>59</v>
      </c>
      <c r="L262" s="2">
        <v>4</v>
      </c>
      <c r="M262" s="3">
        <v>36773</v>
      </c>
      <c r="N262" t="str" cm="1">
        <f t="array" ref="N262">_xlfn.IFS(Table1_36[[#This Row],[Patient Satisfaction Score]]&gt;=83,"High",H262&lt;=75,"Low",TRUE,"Moderate")</f>
        <v>Low</v>
      </c>
      <c r="O262" t="str">
        <f t="shared" si="4"/>
        <v>Adult</v>
      </c>
    </row>
    <row r="263" spans="1:15">
      <c r="A263" t="s">
        <v>331</v>
      </c>
      <c r="B263" t="s">
        <v>14</v>
      </c>
      <c r="C263" t="s">
        <v>15</v>
      </c>
      <c r="D263" t="s">
        <v>16</v>
      </c>
      <c r="E263" s="2">
        <v>29</v>
      </c>
      <c r="F263" t="s">
        <v>17</v>
      </c>
      <c r="G263" t="s">
        <v>70</v>
      </c>
      <c r="H263" s="2">
        <v>77</v>
      </c>
      <c r="I263" s="3">
        <v>5759</v>
      </c>
      <c r="J263" s="4">
        <v>17.07</v>
      </c>
      <c r="K263" s="2">
        <v>81</v>
      </c>
      <c r="L263" s="2">
        <v>3</v>
      </c>
      <c r="M263" s="3">
        <v>32018</v>
      </c>
      <c r="N263" t="str" cm="1">
        <f t="array" ref="N263">_xlfn.IFS(Table1_36[[#This Row],[Patient Satisfaction Score]]&gt;=83,"High",H263&lt;=75,"Low",TRUE,"Moderate")</f>
        <v>Moderate</v>
      </c>
      <c r="O263" t="str">
        <f t="shared" si="4"/>
        <v>Adult</v>
      </c>
    </row>
    <row r="264" spans="1:15">
      <c r="A264" t="s">
        <v>332</v>
      </c>
      <c r="B264" t="s">
        <v>80</v>
      </c>
      <c r="C264" t="s">
        <v>15</v>
      </c>
      <c r="D264" t="s">
        <v>16</v>
      </c>
      <c r="E264" s="2">
        <v>83</v>
      </c>
      <c r="F264" t="s">
        <v>22</v>
      </c>
      <c r="G264" t="s">
        <v>23</v>
      </c>
      <c r="H264" s="2">
        <v>71</v>
      </c>
      <c r="I264" s="3">
        <v>6008</v>
      </c>
      <c r="J264" s="4">
        <v>9.9499999999999993</v>
      </c>
      <c r="K264" s="2">
        <v>83</v>
      </c>
      <c r="L264" s="2">
        <v>3</v>
      </c>
      <c r="M264" s="3">
        <v>34105</v>
      </c>
      <c r="N264" t="str" cm="1">
        <f t="array" ref="N264">_xlfn.IFS(Table1_36[[#This Row],[Patient Satisfaction Score]]&gt;=83,"High",H264&lt;=75,"Low",TRUE,"Moderate")</f>
        <v>Low</v>
      </c>
      <c r="O264" t="str">
        <f t="shared" si="4"/>
        <v>Adult</v>
      </c>
    </row>
    <row r="265" spans="1:15">
      <c r="A265" t="s">
        <v>333</v>
      </c>
      <c r="B265" t="s">
        <v>38</v>
      </c>
      <c r="C265" t="s">
        <v>39</v>
      </c>
      <c r="D265" t="s">
        <v>27</v>
      </c>
      <c r="E265" s="2">
        <v>13</v>
      </c>
      <c r="F265" t="s">
        <v>22</v>
      </c>
      <c r="G265" t="s">
        <v>70</v>
      </c>
      <c r="H265" s="2">
        <v>82</v>
      </c>
      <c r="I265" s="3">
        <v>3552</v>
      </c>
      <c r="J265" s="4">
        <v>5.83</v>
      </c>
      <c r="K265" s="2">
        <v>90</v>
      </c>
      <c r="L265" s="2">
        <v>4</v>
      </c>
      <c r="M265" s="3">
        <v>17415</v>
      </c>
      <c r="N265" t="str" cm="1">
        <f t="array" ref="N265">_xlfn.IFS(Table1_36[[#This Row],[Patient Satisfaction Score]]&gt;=83,"High",H265&lt;=75,"Low",TRUE,"Moderate")</f>
        <v>Moderate</v>
      </c>
      <c r="O265" t="str">
        <f t="shared" si="4"/>
        <v>Pediatric</v>
      </c>
    </row>
    <row r="266" spans="1:15">
      <c r="A266" t="s">
        <v>334</v>
      </c>
      <c r="B266" t="s">
        <v>64</v>
      </c>
      <c r="C266" t="s">
        <v>30</v>
      </c>
      <c r="D266" t="s">
        <v>16</v>
      </c>
      <c r="E266" s="2">
        <v>39</v>
      </c>
      <c r="F266" t="s">
        <v>34</v>
      </c>
      <c r="G266" t="s">
        <v>23</v>
      </c>
      <c r="H266" s="2">
        <v>75</v>
      </c>
      <c r="I266" s="3">
        <v>1993</v>
      </c>
      <c r="J266" s="4">
        <v>15.12</v>
      </c>
      <c r="K266" s="2">
        <v>92</v>
      </c>
      <c r="L266" s="2">
        <v>3</v>
      </c>
      <c r="M266" s="3">
        <v>10222</v>
      </c>
      <c r="N266" t="str" cm="1">
        <f t="array" ref="N266">_xlfn.IFS(Table1_36[[#This Row],[Patient Satisfaction Score]]&gt;=83,"High",H266&lt;=75,"Low",TRUE,"Moderate")</f>
        <v>Low</v>
      </c>
      <c r="O266" t="str">
        <f t="shared" si="4"/>
        <v>Adult</v>
      </c>
    </row>
    <row r="267" spans="1:15">
      <c r="A267" t="s">
        <v>335</v>
      </c>
      <c r="B267" t="s">
        <v>60</v>
      </c>
      <c r="C267" t="s">
        <v>52</v>
      </c>
      <c r="D267" t="s">
        <v>16</v>
      </c>
      <c r="E267" s="2">
        <v>55</v>
      </c>
      <c r="F267" t="s">
        <v>17</v>
      </c>
      <c r="G267" t="s">
        <v>23</v>
      </c>
      <c r="H267" s="2">
        <v>82</v>
      </c>
      <c r="I267" s="3">
        <v>9962</v>
      </c>
      <c r="J267" s="4">
        <v>18.63</v>
      </c>
      <c r="K267" s="2">
        <v>76</v>
      </c>
      <c r="L267" s="2">
        <v>3</v>
      </c>
      <c r="M267" s="3">
        <v>25258</v>
      </c>
      <c r="N267" t="str" cm="1">
        <f t="array" ref="N267">_xlfn.IFS(Table1_36[[#This Row],[Patient Satisfaction Score]]&gt;=83,"High",H267&lt;=75,"Low",TRUE,"Moderate")</f>
        <v>Moderate</v>
      </c>
      <c r="O267" t="str">
        <f t="shared" si="4"/>
        <v>Adult</v>
      </c>
    </row>
    <row r="268" spans="1:15">
      <c r="A268" t="s">
        <v>336</v>
      </c>
      <c r="B268" t="s">
        <v>42</v>
      </c>
      <c r="C268" t="s">
        <v>39</v>
      </c>
      <c r="D268" t="s">
        <v>27</v>
      </c>
      <c r="E268" s="2">
        <v>15</v>
      </c>
      <c r="F268" t="s">
        <v>34</v>
      </c>
      <c r="G268" t="s">
        <v>49</v>
      </c>
      <c r="H268" s="2">
        <v>79</v>
      </c>
      <c r="I268" s="3">
        <v>3571</v>
      </c>
      <c r="J268" s="4">
        <v>9.15</v>
      </c>
      <c r="K268" s="2">
        <v>64</v>
      </c>
      <c r="L268" s="2">
        <v>4</v>
      </c>
      <c r="M268" s="3">
        <v>20206</v>
      </c>
      <c r="N268" t="str" cm="1">
        <f t="array" ref="N268">_xlfn.IFS(Table1_36[[#This Row],[Patient Satisfaction Score]]&gt;=83,"High",H268&lt;=75,"Low",TRUE,"Moderate")</f>
        <v>Moderate</v>
      </c>
      <c r="O268" t="str">
        <f t="shared" si="4"/>
        <v>Pediatric</v>
      </c>
    </row>
    <row r="269" spans="1:15">
      <c r="A269" t="s">
        <v>337</v>
      </c>
      <c r="B269" t="s">
        <v>185</v>
      </c>
      <c r="C269" t="s">
        <v>52</v>
      </c>
      <c r="D269" t="s">
        <v>16</v>
      </c>
      <c r="E269" s="2">
        <v>46</v>
      </c>
      <c r="F269" t="s">
        <v>22</v>
      </c>
      <c r="G269" t="s">
        <v>49</v>
      </c>
      <c r="H269" s="2">
        <v>95</v>
      </c>
      <c r="I269" s="3">
        <v>5284</v>
      </c>
      <c r="J269" s="4">
        <v>11.42</v>
      </c>
      <c r="K269" s="2">
        <v>65</v>
      </c>
      <c r="L269" s="2">
        <v>5</v>
      </c>
      <c r="M269" s="3">
        <v>14018</v>
      </c>
      <c r="N269" t="str" cm="1">
        <f t="array" ref="N269">_xlfn.IFS(Table1_36[[#This Row],[Patient Satisfaction Score]]&gt;=83,"High",H269&lt;=75,"Low",TRUE,"Moderate")</f>
        <v>High</v>
      </c>
      <c r="O269" t="str">
        <f t="shared" si="4"/>
        <v>Adult</v>
      </c>
    </row>
    <row r="270" spans="1:15">
      <c r="A270" t="s">
        <v>338</v>
      </c>
      <c r="B270" t="s">
        <v>29</v>
      </c>
      <c r="C270" t="s">
        <v>30</v>
      </c>
      <c r="D270" t="s">
        <v>16</v>
      </c>
      <c r="E270" s="2">
        <v>48</v>
      </c>
      <c r="F270" t="s">
        <v>22</v>
      </c>
      <c r="G270" t="s">
        <v>40</v>
      </c>
      <c r="H270" s="2">
        <v>81</v>
      </c>
      <c r="I270" s="3">
        <v>4385</v>
      </c>
      <c r="J270" s="4">
        <v>14.54</v>
      </c>
      <c r="K270" s="2">
        <v>89</v>
      </c>
      <c r="L270" s="2">
        <v>4</v>
      </c>
      <c r="M270" s="3">
        <v>21590</v>
      </c>
      <c r="N270" t="str" cm="1">
        <f t="array" ref="N270">_xlfn.IFS(Table1_36[[#This Row],[Patient Satisfaction Score]]&gt;=83,"High",H270&lt;=75,"Low",TRUE,"Moderate")</f>
        <v>Moderate</v>
      </c>
      <c r="O270" t="str">
        <f t="shared" si="4"/>
        <v>Adult</v>
      </c>
    </row>
    <row r="271" spans="1:15">
      <c r="A271" t="s">
        <v>339</v>
      </c>
      <c r="B271" t="s">
        <v>97</v>
      </c>
      <c r="C271" t="s">
        <v>30</v>
      </c>
      <c r="D271" t="s">
        <v>27</v>
      </c>
      <c r="E271" s="2">
        <v>81</v>
      </c>
      <c r="F271" t="s">
        <v>34</v>
      </c>
      <c r="G271" t="s">
        <v>40</v>
      </c>
      <c r="H271" s="2">
        <v>75</v>
      </c>
      <c r="I271" s="3">
        <v>2839</v>
      </c>
      <c r="J271" s="4">
        <v>13.62</v>
      </c>
      <c r="K271" s="2">
        <v>95</v>
      </c>
      <c r="L271" s="2">
        <v>4</v>
      </c>
      <c r="M271" s="3">
        <v>15030</v>
      </c>
      <c r="N271" t="str" cm="1">
        <f t="array" ref="N271">_xlfn.IFS(Table1_36[[#This Row],[Patient Satisfaction Score]]&gt;=83,"High",H271&lt;=75,"Low",TRUE,"Moderate")</f>
        <v>Low</v>
      </c>
      <c r="O271" t="str">
        <f t="shared" si="4"/>
        <v>Adult</v>
      </c>
    </row>
    <row r="272" spans="1:15">
      <c r="A272" t="s">
        <v>340</v>
      </c>
      <c r="B272" t="s">
        <v>38</v>
      </c>
      <c r="C272" t="s">
        <v>39</v>
      </c>
      <c r="D272" t="s">
        <v>27</v>
      </c>
      <c r="E272" s="2">
        <v>17</v>
      </c>
      <c r="F272" t="s">
        <v>17</v>
      </c>
      <c r="G272" t="s">
        <v>49</v>
      </c>
      <c r="H272" s="2">
        <v>85</v>
      </c>
      <c r="I272" s="3">
        <v>2919</v>
      </c>
      <c r="J272" s="4">
        <v>11.24</v>
      </c>
      <c r="K272" s="2">
        <v>65</v>
      </c>
      <c r="L272" s="2">
        <v>4</v>
      </c>
      <c r="M272" s="3">
        <v>11089</v>
      </c>
      <c r="N272" t="str" cm="1">
        <f t="array" ref="N272">_xlfn.IFS(Table1_36[[#This Row],[Patient Satisfaction Score]]&gt;=83,"High",H272&lt;=75,"Low",TRUE,"Moderate")</f>
        <v>High</v>
      </c>
      <c r="O272" t="str">
        <f t="shared" si="4"/>
        <v>Pediatric</v>
      </c>
    </row>
    <row r="273" spans="1:15">
      <c r="A273" t="s">
        <v>341</v>
      </c>
      <c r="B273" t="s">
        <v>25</v>
      </c>
      <c r="C273" t="s">
        <v>26</v>
      </c>
      <c r="D273" t="s">
        <v>27</v>
      </c>
      <c r="E273" s="2">
        <v>76</v>
      </c>
      <c r="F273" t="s">
        <v>22</v>
      </c>
      <c r="G273" t="s">
        <v>23</v>
      </c>
      <c r="H273" s="2">
        <v>81</v>
      </c>
      <c r="I273" s="3">
        <v>2006</v>
      </c>
      <c r="J273" s="4">
        <v>10.93</v>
      </c>
      <c r="K273" s="2">
        <v>60</v>
      </c>
      <c r="L273" s="2">
        <v>4</v>
      </c>
      <c r="M273" s="3">
        <v>6016</v>
      </c>
      <c r="N273" t="str" cm="1">
        <f t="array" ref="N273">_xlfn.IFS(Table1_36[[#This Row],[Patient Satisfaction Score]]&gt;=83,"High",H273&lt;=75,"Low",TRUE,"Moderate")</f>
        <v>Moderate</v>
      </c>
      <c r="O273" t="str">
        <f t="shared" si="4"/>
        <v>Adult</v>
      </c>
    </row>
    <row r="274" spans="1:15">
      <c r="A274" t="s">
        <v>342</v>
      </c>
      <c r="B274" t="s">
        <v>78</v>
      </c>
      <c r="C274" t="s">
        <v>15</v>
      </c>
      <c r="D274" t="s">
        <v>27</v>
      </c>
      <c r="E274" s="2">
        <v>38</v>
      </c>
      <c r="F274" t="s">
        <v>34</v>
      </c>
      <c r="G274" t="s">
        <v>70</v>
      </c>
      <c r="H274" s="2">
        <v>69</v>
      </c>
      <c r="I274" s="3">
        <v>8834</v>
      </c>
      <c r="J274" s="4">
        <v>21.58</v>
      </c>
      <c r="K274" s="2">
        <v>100</v>
      </c>
      <c r="L274" s="2">
        <v>3</v>
      </c>
      <c r="M274" s="3">
        <v>34750</v>
      </c>
      <c r="N274" t="str" cm="1">
        <f t="array" ref="N274">_xlfn.IFS(Table1_36[[#This Row],[Patient Satisfaction Score]]&gt;=83,"High",H274&lt;=75,"Low",TRUE,"Moderate")</f>
        <v>Low</v>
      </c>
      <c r="O274" t="str">
        <f t="shared" si="4"/>
        <v>Adult</v>
      </c>
    </row>
    <row r="275" spans="1:15">
      <c r="A275" t="s">
        <v>343</v>
      </c>
      <c r="B275" t="s">
        <v>66</v>
      </c>
      <c r="C275" t="s">
        <v>39</v>
      </c>
      <c r="D275" t="s">
        <v>27</v>
      </c>
      <c r="E275" s="2">
        <v>4</v>
      </c>
      <c r="F275" t="s">
        <v>22</v>
      </c>
      <c r="G275" t="s">
        <v>40</v>
      </c>
      <c r="H275" s="2">
        <v>93</v>
      </c>
      <c r="I275" s="3">
        <v>2022</v>
      </c>
      <c r="J275" s="4">
        <v>13.09</v>
      </c>
      <c r="K275" s="2">
        <v>36</v>
      </c>
      <c r="L275" s="2">
        <v>4</v>
      </c>
      <c r="M275" s="3">
        <v>6049</v>
      </c>
      <c r="N275" t="str" cm="1">
        <f t="array" ref="N275">_xlfn.IFS(Table1_36[[#This Row],[Patient Satisfaction Score]]&gt;=83,"High",H275&lt;=75,"Low",TRUE,"Moderate")</f>
        <v>High</v>
      </c>
      <c r="O275" t="str">
        <f t="shared" si="4"/>
        <v>Pediatric</v>
      </c>
    </row>
    <row r="276" spans="1:15">
      <c r="A276" t="s">
        <v>344</v>
      </c>
      <c r="B276" t="s">
        <v>14</v>
      </c>
      <c r="C276" t="s">
        <v>15</v>
      </c>
      <c r="D276" t="s">
        <v>27</v>
      </c>
      <c r="E276" s="2">
        <v>35</v>
      </c>
      <c r="F276" t="s">
        <v>22</v>
      </c>
      <c r="G276" t="s">
        <v>23</v>
      </c>
      <c r="H276" s="2">
        <v>74</v>
      </c>
      <c r="I276" s="3">
        <v>7764</v>
      </c>
      <c r="J276" s="4">
        <v>16.03</v>
      </c>
      <c r="K276" s="2">
        <v>84</v>
      </c>
      <c r="L276" s="2">
        <v>4</v>
      </c>
      <c r="M276" s="3">
        <v>20251</v>
      </c>
      <c r="N276" t="str" cm="1">
        <f t="array" ref="N276">_xlfn.IFS(Table1_36[[#This Row],[Patient Satisfaction Score]]&gt;=83,"High",H276&lt;=75,"Low",TRUE,"Moderate")</f>
        <v>Low</v>
      </c>
      <c r="O276" t="str">
        <f t="shared" si="4"/>
        <v>Adult</v>
      </c>
    </row>
    <row r="277" spans="1:15">
      <c r="A277" t="s">
        <v>345</v>
      </c>
      <c r="B277" t="s">
        <v>80</v>
      </c>
      <c r="C277" t="s">
        <v>15</v>
      </c>
      <c r="D277" t="s">
        <v>27</v>
      </c>
      <c r="E277" s="2">
        <v>23</v>
      </c>
      <c r="F277" t="s">
        <v>34</v>
      </c>
      <c r="G277" t="s">
        <v>70</v>
      </c>
      <c r="H277" s="2">
        <v>78</v>
      </c>
      <c r="I277" s="3">
        <v>4474</v>
      </c>
      <c r="J277" s="4">
        <v>14.58</v>
      </c>
      <c r="K277" s="2">
        <v>77</v>
      </c>
      <c r="L277" s="2">
        <v>4</v>
      </c>
      <c r="M277" s="3">
        <v>25096</v>
      </c>
      <c r="N277" t="str" cm="1">
        <f t="array" ref="N277">_xlfn.IFS(Table1_36[[#This Row],[Patient Satisfaction Score]]&gt;=83,"High",H277&lt;=75,"Low",TRUE,"Moderate")</f>
        <v>Moderate</v>
      </c>
      <c r="O277" t="str">
        <f t="shared" si="4"/>
        <v>Adult</v>
      </c>
    </row>
    <row r="278" spans="1:15">
      <c r="A278" t="s">
        <v>346</v>
      </c>
      <c r="B278" t="s">
        <v>168</v>
      </c>
      <c r="C278" t="s">
        <v>45</v>
      </c>
      <c r="D278" t="s">
        <v>27</v>
      </c>
      <c r="E278" s="2">
        <v>68</v>
      </c>
      <c r="F278" t="s">
        <v>22</v>
      </c>
      <c r="G278" t="s">
        <v>23</v>
      </c>
      <c r="H278" s="2">
        <v>65</v>
      </c>
      <c r="I278" s="3">
        <v>8806</v>
      </c>
      <c r="J278" s="4">
        <v>18.79</v>
      </c>
      <c r="K278" s="2">
        <v>102</v>
      </c>
      <c r="L278" s="2">
        <v>3</v>
      </c>
      <c r="M278" s="3">
        <v>38701</v>
      </c>
      <c r="N278" t="str" cm="1">
        <f t="array" ref="N278">_xlfn.IFS(Table1_36[[#This Row],[Patient Satisfaction Score]]&gt;=83,"High",H278&lt;=75,"Low",TRUE,"Moderate")</f>
        <v>Low</v>
      </c>
      <c r="O278" t="str">
        <f t="shared" si="4"/>
        <v>Adult</v>
      </c>
    </row>
    <row r="279" spans="1:15">
      <c r="A279" t="s">
        <v>347</v>
      </c>
      <c r="B279" t="s">
        <v>54</v>
      </c>
      <c r="C279" t="s">
        <v>39</v>
      </c>
      <c r="D279" t="s">
        <v>27</v>
      </c>
      <c r="E279" s="2">
        <v>3</v>
      </c>
      <c r="F279" t="s">
        <v>22</v>
      </c>
      <c r="G279" t="s">
        <v>31</v>
      </c>
      <c r="H279" s="2">
        <v>85</v>
      </c>
      <c r="I279" s="3">
        <v>3943</v>
      </c>
      <c r="J279" s="4">
        <v>9</v>
      </c>
      <c r="K279" s="2">
        <v>36</v>
      </c>
      <c r="L279" s="2">
        <v>5</v>
      </c>
      <c r="M279" s="3">
        <v>14029</v>
      </c>
      <c r="N279" t="str" cm="1">
        <f t="array" ref="N279">_xlfn.IFS(Table1_36[[#This Row],[Patient Satisfaction Score]]&gt;=83,"High",H279&lt;=75,"Low",TRUE,"Moderate")</f>
        <v>High</v>
      </c>
      <c r="O279" t="str">
        <f t="shared" si="4"/>
        <v>Pediatric</v>
      </c>
    </row>
    <row r="280" spans="1:15">
      <c r="A280" t="s">
        <v>348</v>
      </c>
      <c r="B280" t="s">
        <v>44</v>
      </c>
      <c r="C280" t="s">
        <v>45</v>
      </c>
      <c r="D280" t="s">
        <v>16</v>
      </c>
      <c r="E280" s="2">
        <v>29</v>
      </c>
      <c r="F280" t="s">
        <v>17</v>
      </c>
      <c r="G280" t="s">
        <v>18</v>
      </c>
      <c r="H280" s="2">
        <v>67</v>
      </c>
      <c r="I280" s="3">
        <v>8697</v>
      </c>
      <c r="J280" s="4">
        <v>15.11</v>
      </c>
      <c r="K280" s="2">
        <v>82</v>
      </c>
      <c r="L280" s="2">
        <v>4</v>
      </c>
      <c r="M280" s="3">
        <v>39411</v>
      </c>
      <c r="N280" t="str" cm="1">
        <f t="array" ref="N280">_xlfn.IFS(Table1_36[[#This Row],[Patient Satisfaction Score]]&gt;=83,"High",H280&lt;=75,"Low",TRUE,"Moderate")</f>
        <v>Low</v>
      </c>
      <c r="O280" t="str">
        <f t="shared" si="4"/>
        <v>Adult</v>
      </c>
    </row>
    <row r="281" spans="1:15">
      <c r="A281" t="s">
        <v>349</v>
      </c>
      <c r="B281" t="s">
        <v>137</v>
      </c>
      <c r="C281" t="s">
        <v>26</v>
      </c>
      <c r="D281" t="s">
        <v>27</v>
      </c>
      <c r="E281" s="2">
        <v>41</v>
      </c>
      <c r="F281" t="s">
        <v>17</v>
      </c>
      <c r="G281" t="s">
        <v>40</v>
      </c>
      <c r="H281" s="2">
        <v>87</v>
      </c>
      <c r="I281" s="3">
        <v>2397</v>
      </c>
      <c r="J281" s="4">
        <v>14.34</v>
      </c>
      <c r="K281" s="2">
        <v>22</v>
      </c>
      <c r="L281" s="2">
        <v>5</v>
      </c>
      <c r="M281" s="3">
        <v>10769</v>
      </c>
      <c r="N281" t="str" cm="1">
        <f t="array" ref="N281">_xlfn.IFS(Table1_36[[#This Row],[Patient Satisfaction Score]]&gt;=83,"High",H281&lt;=75,"Low",TRUE,"Moderate")</f>
        <v>High</v>
      </c>
      <c r="O281" t="str">
        <f t="shared" si="4"/>
        <v>Adult</v>
      </c>
    </row>
    <row r="282" spans="1:15">
      <c r="A282" t="s">
        <v>350</v>
      </c>
      <c r="B282" t="s">
        <v>60</v>
      </c>
      <c r="C282" t="s">
        <v>52</v>
      </c>
      <c r="D282" t="s">
        <v>16</v>
      </c>
      <c r="E282" s="2">
        <v>20</v>
      </c>
      <c r="F282" t="s">
        <v>34</v>
      </c>
      <c r="G282" t="s">
        <v>40</v>
      </c>
      <c r="H282" s="2">
        <v>90</v>
      </c>
      <c r="I282" s="3">
        <v>7255</v>
      </c>
      <c r="J282" s="4">
        <v>13.58</v>
      </c>
      <c r="K282" s="2">
        <v>89</v>
      </c>
      <c r="L282" s="2">
        <v>4</v>
      </c>
      <c r="M282" s="3">
        <v>23920</v>
      </c>
      <c r="N282" t="str" cm="1">
        <f t="array" ref="N282">_xlfn.IFS(Table1_36[[#This Row],[Patient Satisfaction Score]]&gt;=83,"High",H282&lt;=75,"Low",TRUE,"Moderate")</f>
        <v>High</v>
      </c>
      <c r="O282" t="str">
        <f t="shared" si="4"/>
        <v>Adult</v>
      </c>
    </row>
    <row r="283" spans="1:15">
      <c r="A283" t="s">
        <v>351</v>
      </c>
      <c r="B283" t="s">
        <v>14</v>
      </c>
      <c r="C283" t="s">
        <v>15</v>
      </c>
      <c r="D283" t="s">
        <v>16</v>
      </c>
      <c r="E283" s="2">
        <v>50</v>
      </c>
      <c r="F283" t="s">
        <v>34</v>
      </c>
      <c r="G283" t="s">
        <v>18</v>
      </c>
      <c r="H283" s="2">
        <v>68</v>
      </c>
      <c r="I283" s="3">
        <v>6493</v>
      </c>
      <c r="J283" s="4">
        <v>17.12</v>
      </c>
      <c r="K283" s="2">
        <v>120</v>
      </c>
      <c r="L283" s="2">
        <v>4</v>
      </c>
      <c r="M283" s="3">
        <v>36164</v>
      </c>
      <c r="N283" t="str" cm="1">
        <f t="array" ref="N283">_xlfn.IFS(Table1_36[[#This Row],[Patient Satisfaction Score]]&gt;=83,"High",H283&lt;=75,"Low",TRUE,"Moderate")</f>
        <v>Low</v>
      </c>
      <c r="O283" t="str">
        <f t="shared" si="4"/>
        <v>Adult</v>
      </c>
    </row>
    <row r="284" spans="1:15">
      <c r="A284" t="s">
        <v>352</v>
      </c>
      <c r="B284" t="s">
        <v>36</v>
      </c>
      <c r="C284" t="s">
        <v>21</v>
      </c>
      <c r="D284" t="s">
        <v>16</v>
      </c>
      <c r="E284" s="2">
        <v>52</v>
      </c>
      <c r="F284" t="s">
        <v>17</v>
      </c>
      <c r="G284" t="s">
        <v>49</v>
      </c>
      <c r="H284" s="2">
        <v>68</v>
      </c>
      <c r="I284" s="3">
        <v>7963</v>
      </c>
      <c r="J284" s="4">
        <v>14.79</v>
      </c>
      <c r="K284" s="2">
        <v>89</v>
      </c>
      <c r="L284" s="2">
        <v>4</v>
      </c>
      <c r="M284" s="3">
        <v>27872</v>
      </c>
      <c r="N284" t="str" cm="1">
        <f t="array" ref="N284">_xlfn.IFS(Table1_36[[#This Row],[Patient Satisfaction Score]]&gt;=83,"High",H284&lt;=75,"Low",TRUE,"Moderate")</f>
        <v>Low</v>
      </c>
      <c r="O284" t="str">
        <f t="shared" si="4"/>
        <v>Adult</v>
      </c>
    </row>
    <row r="285" spans="1:15">
      <c r="A285" t="s">
        <v>353</v>
      </c>
      <c r="B285" t="s">
        <v>38</v>
      </c>
      <c r="C285" t="s">
        <v>39</v>
      </c>
      <c r="D285" t="s">
        <v>27</v>
      </c>
      <c r="E285" s="2">
        <v>18</v>
      </c>
      <c r="F285" t="s">
        <v>22</v>
      </c>
      <c r="G285" t="s">
        <v>23</v>
      </c>
      <c r="H285" s="2">
        <v>99</v>
      </c>
      <c r="I285" s="3">
        <v>3144</v>
      </c>
      <c r="J285" s="4">
        <v>0</v>
      </c>
      <c r="K285" s="2">
        <v>45</v>
      </c>
      <c r="L285" s="2">
        <v>5</v>
      </c>
      <c r="M285" s="3">
        <v>17384</v>
      </c>
      <c r="N285" t="str" cm="1">
        <f t="array" ref="N285">_xlfn.IFS(Table1_36[[#This Row],[Patient Satisfaction Score]]&gt;=83,"High",H285&lt;=75,"Low",TRUE,"Moderate")</f>
        <v>High</v>
      </c>
      <c r="O285" t="str">
        <f t="shared" si="4"/>
        <v>Pediatric</v>
      </c>
    </row>
    <row r="286" spans="1:15">
      <c r="A286" t="s">
        <v>354</v>
      </c>
      <c r="B286" t="s">
        <v>25</v>
      </c>
      <c r="C286" t="s">
        <v>26</v>
      </c>
      <c r="D286" t="s">
        <v>27</v>
      </c>
      <c r="E286" s="2">
        <v>43</v>
      </c>
      <c r="F286" t="s">
        <v>17</v>
      </c>
      <c r="G286" t="s">
        <v>40</v>
      </c>
      <c r="H286" s="2">
        <v>88</v>
      </c>
      <c r="I286" s="3">
        <v>2760</v>
      </c>
      <c r="J286" s="4">
        <v>7.58</v>
      </c>
      <c r="K286" s="2">
        <v>50</v>
      </c>
      <c r="L286" s="2">
        <v>4</v>
      </c>
      <c r="M286" s="3">
        <v>8836</v>
      </c>
      <c r="N286" t="str" cm="1">
        <f t="array" ref="N286">_xlfn.IFS(Table1_36[[#This Row],[Patient Satisfaction Score]]&gt;=83,"High",H286&lt;=75,"Low",TRUE,"Moderate")</f>
        <v>High</v>
      </c>
      <c r="O286" t="str">
        <f t="shared" si="4"/>
        <v>Adult</v>
      </c>
    </row>
    <row r="287" spans="1:15">
      <c r="A287" t="s">
        <v>355</v>
      </c>
      <c r="B287" t="s">
        <v>137</v>
      </c>
      <c r="C287" t="s">
        <v>26</v>
      </c>
      <c r="D287" t="s">
        <v>27</v>
      </c>
      <c r="E287" s="2">
        <v>68</v>
      </c>
      <c r="F287" t="s">
        <v>22</v>
      </c>
      <c r="G287" t="s">
        <v>70</v>
      </c>
      <c r="H287" s="2">
        <v>97</v>
      </c>
      <c r="I287" s="3">
        <v>2432</v>
      </c>
      <c r="J287" s="4">
        <v>9.01</v>
      </c>
      <c r="K287" s="2">
        <v>40</v>
      </c>
      <c r="L287" s="2">
        <v>5</v>
      </c>
      <c r="M287" s="3">
        <v>13965</v>
      </c>
      <c r="N287" t="str" cm="1">
        <f t="array" ref="N287">_xlfn.IFS(Table1_36[[#This Row],[Patient Satisfaction Score]]&gt;=83,"High",H287&lt;=75,"Low",TRUE,"Moderate")</f>
        <v>High</v>
      </c>
      <c r="O287" t="str">
        <f t="shared" si="4"/>
        <v>Adult</v>
      </c>
    </row>
    <row r="288" spans="1:15">
      <c r="A288" t="s">
        <v>356</v>
      </c>
      <c r="B288" t="s">
        <v>58</v>
      </c>
      <c r="C288" t="s">
        <v>48</v>
      </c>
      <c r="D288" t="s">
        <v>27</v>
      </c>
      <c r="E288" s="2">
        <v>44</v>
      </c>
      <c r="F288" t="s">
        <v>34</v>
      </c>
      <c r="G288" t="s">
        <v>18</v>
      </c>
      <c r="H288" s="2">
        <v>75</v>
      </c>
      <c r="I288" s="3">
        <v>7348</v>
      </c>
      <c r="J288" s="4">
        <v>15.79</v>
      </c>
      <c r="K288" s="2">
        <v>67</v>
      </c>
      <c r="L288" s="2">
        <v>4</v>
      </c>
      <c r="M288" s="3">
        <v>26069</v>
      </c>
      <c r="N288" t="str" cm="1">
        <f t="array" ref="N288">_xlfn.IFS(Table1_36[[#This Row],[Patient Satisfaction Score]]&gt;=83,"High",H288&lt;=75,"Low",TRUE,"Moderate")</f>
        <v>Low</v>
      </c>
      <c r="O288" t="str">
        <f t="shared" si="4"/>
        <v>Adult</v>
      </c>
    </row>
    <row r="289" spans="1:15">
      <c r="A289" t="s">
        <v>357</v>
      </c>
      <c r="B289" t="s">
        <v>56</v>
      </c>
      <c r="C289" t="s">
        <v>45</v>
      </c>
      <c r="D289" t="s">
        <v>27</v>
      </c>
      <c r="E289" s="2">
        <v>67</v>
      </c>
      <c r="F289" t="s">
        <v>17</v>
      </c>
      <c r="G289" t="s">
        <v>18</v>
      </c>
      <c r="H289" s="2">
        <v>75</v>
      </c>
      <c r="I289" s="3">
        <v>7390</v>
      </c>
      <c r="J289" s="4">
        <v>14.26</v>
      </c>
      <c r="K289" s="2">
        <v>84</v>
      </c>
      <c r="L289" s="2">
        <v>4</v>
      </c>
      <c r="M289" s="3">
        <v>18845</v>
      </c>
      <c r="N289" t="str" cm="1">
        <f t="array" ref="N289">_xlfn.IFS(Table1_36[[#This Row],[Patient Satisfaction Score]]&gt;=83,"High",H289&lt;=75,"Low",TRUE,"Moderate")</f>
        <v>Low</v>
      </c>
      <c r="O289" t="str">
        <f t="shared" si="4"/>
        <v>Adult</v>
      </c>
    </row>
    <row r="290" spans="1:15">
      <c r="A290" t="s">
        <v>358</v>
      </c>
      <c r="B290" t="s">
        <v>137</v>
      </c>
      <c r="C290" t="s">
        <v>26</v>
      </c>
      <c r="D290" t="s">
        <v>27</v>
      </c>
      <c r="E290" s="2">
        <v>59</v>
      </c>
      <c r="F290" t="s">
        <v>17</v>
      </c>
      <c r="G290" t="s">
        <v>70</v>
      </c>
      <c r="H290" s="2">
        <v>89</v>
      </c>
      <c r="I290" s="3">
        <v>2179</v>
      </c>
      <c r="J290" s="4">
        <v>6.73</v>
      </c>
      <c r="K290" s="2">
        <v>55</v>
      </c>
      <c r="L290" s="2">
        <v>5</v>
      </c>
      <c r="M290" s="3">
        <v>10469</v>
      </c>
      <c r="N290" t="str" cm="1">
        <f t="array" ref="N290">_xlfn.IFS(Table1_36[[#This Row],[Patient Satisfaction Score]]&gt;=83,"High",H290&lt;=75,"Low",TRUE,"Moderate")</f>
        <v>High</v>
      </c>
      <c r="O290" t="str">
        <f t="shared" si="4"/>
        <v>Adult</v>
      </c>
    </row>
    <row r="291" spans="1:15">
      <c r="A291" t="s">
        <v>359</v>
      </c>
      <c r="B291" t="s">
        <v>150</v>
      </c>
      <c r="C291" t="s">
        <v>48</v>
      </c>
      <c r="D291" t="s">
        <v>27</v>
      </c>
      <c r="E291" s="2">
        <v>56</v>
      </c>
      <c r="F291" t="s">
        <v>17</v>
      </c>
      <c r="G291" t="s">
        <v>23</v>
      </c>
      <c r="H291" s="2">
        <v>74</v>
      </c>
      <c r="I291" s="3">
        <v>5079</v>
      </c>
      <c r="J291" s="4">
        <v>12.85</v>
      </c>
      <c r="K291" s="2">
        <v>83</v>
      </c>
      <c r="L291" s="2">
        <v>4</v>
      </c>
      <c r="M291" s="3">
        <v>19942</v>
      </c>
      <c r="N291" t="str" cm="1">
        <f t="array" ref="N291">_xlfn.IFS(Table1_36[[#This Row],[Patient Satisfaction Score]]&gt;=83,"High",H291&lt;=75,"Low",TRUE,"Moderate")</f>
        <v>Low</v>
      </c>
      <c r="O291" t="str">
        <f t="shared" si="4"/>
        <v>Adult</v>
      </c>
    </row>
    <row r="292" spans="1:15">
      <c r="A292" t="s">
        <v>360</v>
      </c>
      <c r="B292" t="s">
        <v>78</v>
      </c>
      <c r="C292" t="s">
        <v>15</v>
      </c>
      <c r="D292" t="s">
        <v>16</v>
      </c>
      <c r="E292" s="2">
        <v>31</v>
      </c>
      <c r="F292" t="s">
        <v>34</v>
      </c>
      <c r="G292" t="s">
        <v>40</v>
      </c>
      <c r="H292" s="2">
        <v>68</v>
      </c>
      <c r="I292" s="3">
        <v>5890</v>
      </c>
      <c r="J292" s="4">
        <v>14.77</v>
      </c>
      <c r="K292" s="2">
        <v>82</v>
      </c>
      <c r="L292" s="2">
        <v>3</v>
      </c>
      <c r="M292" s="3">
        <v>16309</v>
      </c>
      <c r="N292" t="str" cm="1">
        <f t="array" ref="N292">_xlfn.IFS(Table1_36[[#This Row],[Patient Satisfaction Score]]&gt;=83,"High",H292&lt;=75,"Low",TRUE,"Moderate")</f>
        <v>Low</v>
      </c>
      <c r="O292" t="str">
        <f t="shared" si="4"/>
        <v>Adult</v>
      </c>
    </row>
    <row r="293" spans="1:15">
      <c r="A293" t="s">
        <v>361</v>
      </c>
      <c r="B293" t="s">
        <v>143</v>
      </c>
      <c r="C293" t="s">
        <v>21</v>
      </c>
      <c r="D293" t="s">
        <v>27</v>
      </c>
      <c r="E293" s="2">
        <v>74</v>
      </c>
      <c r="F293" t="s">
        <v>34</v>
      </c>
      <c r="G293" t="s">
        <v>18</v>
      </c>
      <c r="H293" s="2">
        <v>75</v>
      </c>
      <c r="I293" s="3">
        <v>6267</v>
      </c>
      <c r="J293" s="4">
        <v>15.33</v>
      </c>
      <c r="K293" s="2">
        <v>90</v>
      </c>
      <c r="L293" s="2">
        <v>3</v>
      </c>
      <c r="M293" s="3">
        <v>22144</v>
      </c>
      <c r="N293" t="str" cm="1">
        <f t="array" ref="N293">_xlfn.IFS(Table1_36[[#This Row],[Patient Satisfaction Score]]&gt;=83,"High",H293&lt;=75,"Low",TRUE,"Moderate")</f>
        <v>Low</v>
      </c>
      <c r="O293" t="str">
        <f t="shared" si="4"/>
        <v>Adult</v>
      </c>
    </row>
    <row r="294" spans="1:15">
      <c r="A294" t="s">
        <v>362</v>
      </c>
      <c r="B294" t="s">
        <v>84</v>
      </c>
      <c r="C294" t="s">
        <v>21</v>
      </c>
      <c r="D294" t="s">
        <v>27</v>
      </c>
      <c r="E294" s="2">
        <v>29</v>
      </c>
      <c r="F294" t="s">
        <v>22</v>
      </c>
      <c r="G294" t="s">
        <v>23</v>
      </c>
      <c r="H294" s="2">
        <v>78</v>
      </c>
      <c r="I294" s="3">
        <v>7578</v>
      </c>
      <c r="J294" s="4">
        <v>14.22</v>
      </c>
      <c r="K294" s="2">
        <v>71</v>
      </c>
      <c r="L294" s="2">
        <v>3</v>
      </c>
      <c r="M294" s="3">
        <v>24939</v>
      </c>
      <c r="N294" t="str" cm="1">
        <f t="array" ref="N294">_xlfn.IFS(Table1_36[[#This Row],[Patient Satisfaction Score]]&gt;=83,"High",H294&lt;=75,"Low",TRUE,"Moderate")</f>
        <v>Moderate</v>
      </c>
      <c r="O294" t="str">
        <f t="shared" si="4"/>
        <v>Adult</v>
      </c>
    </row>
    <row r="295" spans="1:15">
      <c r="A295" t="s">
        <v>363</v>
      </c>
      <c r="B295" t="s">
        <v>36</v>
      </c>
      <c r="C295" t="s">
        <v>21</v>
      </c>
      <c r="D295" t="s">
        <v>27</v>
      </c>
      <c r="E295" s="2">
        <v>46</v>
      </c>
      <c r="F295" t="s">
        <v>22</v>
      </c>
      <c r="G295" t="s">
        <v>49</v>
      </c>
      <c r="H295" s="2">
        <v>70</v>
      </c>
      <c r="I295" s="3">
        <v>4351</v>
      </c>
      <c r="J295" s="4">
        <v>19.809999999999999</v>
      </c>
      <c r="K295" s="2">
        <v>90</v>
      </c>
      <c r="L295" s="2">
        <v>4</v>
      </c>
      <c r="M295" s="3">
        <v>24410</v>
      </c>
      <c r="N295" t="str" cm="1">
        <f t="array" ref="N295">_xlfn.IFS(Table1_36[[#This Row],[Patient Satisfaction Score]]&gt;=83,"High",H295&lt;=75,"Low",TRUE,"Moderate")</f>
        <v>Low</v>
      </c>
      <c r="O295" t="str">
        <f t="shared" si="4"/>
        <v>Adult</v>
      </c>
    </row>
    <row r="296" spans="1:15">
      <c r="A296" t="s">
        <v>364</v>
      </c>
      <c r="B296" t="s">
        <v>44</v>
      </c>
      <c r="C296" t="s">
        <v>45</v>
      </c>
      <c r="D296" t="s">
        <v>16</v>
      </c>
      <c r="E296" s="2">
        <v>1</v>
      </c>
      <c r="F296" t="s">
        <v>22</v>
      </c>
      <c r="G296" t="s">
        <v>40</v>
      </c>
      <c r="H296" s="2">
        <v>73</v>
      </c>
      <c r="I296" s="3">
        <v>12240</v>
      </c>
      <c r="J296" s="4">
        <v>21.96</v>
      </c>
      <c r="K296" s="2">
        <v>98</v>
      </c>
      <c r="L296" s="2">
        <v>3</v>
      </c>
      <c r="M296" s="3">
        <v>40964</v>
      </c>
      <c r="N296" t="str" cm="1">
        <f t="array" ref="N296">_xlfn.IFS(Table1_36[[#This Row],[Patient Satisfaction Score]]&gt;=83,"High",H296&lt;=75,"Low",TRUE,"Moderate")</f>
        <v>Low</v>
      </c>
      <c r="O296" t="str">
        <f t="shared" si="4"/>
        <v>Pediatric</v>
      </c>
    </row>
    <row r="297" spans="1:15">
      <c r="A297" t="s">
        <v>365</v>
      </c>
      <c r="B297" t="s">
        <v>66</v>
      </c>
      <c r="C297" t="s">
        <v>39</v>
      </c>
      <c r="D297" t="s">
        <v>27</v>
      </c>
      <c r="E297" s="2">
        <v>11</v>
      </c>
      <c r="F297" t="s">
        <v>34</v>
      </c>
      <c r="G297" t="s">
        <v>70</v>
      </c>
      <c r="H297" s="2">
        <v>74</v>
      </c>
      <c r="I297" s="3">
        <v>3141</v>
      </c>
      <c r="J297" s="4">
        <v>13.48</v>
      </c>
      <c r="K297" s="2">
        <v>71</v>
      </c>
      <c r="L297" s="2">
        <v>4</v>
      </c>
      <c r="M297" s="3">
        <v>16376</v>
      </c>
      <c r="N297" t="str" cm="1">
        <f t="array" ref="N297">_xlfn.IFS(Table1_36[[#This Row],[Patient Satisfaction Score]]&gt;=83,"High",H297&lt;=75,"Low",TRUE,"Moderate")</f>
        <v>Low</v>
      </c>
      <c r="O297" t="str">
        <f t="shared" si="4"/>
        <v>Pediatric</v>
      </c>
    </row>
    <row r="298" spans="1:15">
      <c r="A298" t="s">
        <v>366</v>
      </c>
      <c r="B298" t="s">
        <v>150</v>
      </c>
      <c r="C298" t="s">
        <v>48</v>
      </c>
      <c r="D298" t="s">
        <v>16</v>
      </c>
      <c r="E298" s="2">
        <v>44</v>
      </c>
      <c r="F298" t="s">
        <v>34</v>
      </c>
      <c r="G298" t="s">
        <v>49</v>
      </c>
      <c r="H298" s="2">
        <v>82</v>
      </c>
      <c r="I298" s="3">
        <v>5166</v>
      </c>
      <c r="J298" s="4">
        <v>10.36</v>
      </c>
      <c r="K298" s="2">
        <v>39</v>
      </c>
      <c r="L298" s="2">
        <v>4</v>
      </c>
      <c r="M298" s="3">
        <v>26451</v>
      </c>
      <c r="N298" t="str" cm="1">
        <f t="array" ref="N298">_xlfn.IFS(Table1_36[[#This Row],[Patient Satisfaction Score]]&gt;=83,"High",H298&lt;=75,"Low",TRUE,"Moderate")</f>
        <v>Moderate</v>
      </c>
      <c r="O298" t="str">
        <f t="shared" si="4"/>
        <v>Adult</v>
      </c>
    </row>
    <row r="299" spans="1:15">
      <c r="A299" t="s">
        <v>367</v>
      </c>
      <c r="B299" t="s">
        <v>80</v>
      </c>
      <c r="C299" t="s">
        <v>15</v>
      </c>
      <c r="D299" t="s">
        <v>27</v>
      </c>
      <c r="E299" s="2">
        <v>32</v>
      </c>
      <c r="F299" t="s">
        <v>17</v>
      </c>
      <c r="G299" t="s">
        <v>23</v>
      </c>
      <c r="H299" s="2">
        <v>74</v>
      </c>
      <c r="I299" s="3">
        <v>8337</v>
      </c>
      <c r="J299" s="4">
        <v>11.87</v>
      </c>
      <c r="K299" s="2">
        <v>85</v>
      </c>
      <c r="L299" s="2">
        <v>4</v>
      </c>
      <c r="M299" s="3">
        <v>23815</v>
      </c>
      <c r="N299" t="str" cm="1">
        <f t="array" ref="N299">_xlfn.IFS(Table1_36[[#This Row],[Patient Satisfaction Score]]&gt;=83,"High",H299&lt;=75,"Low",TRUE,"Moderate")</f>
        <v>Low</v>
      </c>
      <c r="O299" t="str">
        <f t="shared" si="4"/>
        <v>Adult</v>
      </c>
    </row>
    <row r="300" spans="1:15">
      <c r="A300" t="s">
        <v>368</v>
      </c>
      <c r="B300" t="s">
        <v>25</v>
      </c>
      <c r="C300" t="s">
        <v>39</v>
      </c>
      <c r="D300" t="s">
        <v>27</v>
      </c>
      <c r="E300" s="2">
        <v>18</v>
      </c>
      <c r="F300" t="s">
        <v>17</v>
      </c>
      <c r="G300" t="s">
        <v>49</v>
      </c>
      <c r="H300" s="2">
        <v>85</v>
      </c>
      <c r="I300" s="3">
        <v>2714</v>
      </c>
      <c r="J300" s="4">
        <v>11.5</v>
      </c>
      <c r="K300" s="2">
        <v>43</v>
      </c>
      <c r="L300" s="2">
        <v>4</v>
      </c>
      <c r="M300" s="3">
        <v>10905</v>
      </c>
      <c r="N300" t="str" cm="1">
        <f t="array" ref="N300">_xlfn.IFS(Table1_36[[#This Row],[Patient Satisfaction Score]]&gt;=83,"High",H300&lt;=75,"Low",TRUE,"Moderate")</f>
        <v>High</v>
      </c>
      <c r="O300" t="str">
        <f t="shared" si="4"/>
        <v>Pediatric</v>
      </c>
    </row>
    <row r="301" spans="1:15">
      <c r="A301" t="s">
        <v>369</v>
      </c>
      <c r="B301" t="s">
        <v>103</v>
      </c>
      <c r="C301" t="s">
        <v>26</v>
      </c>
      <c r="D301" t="s">
        <v>16</v>
      </c>
      <c r="E301" s="2">
        <v>40</v>
      </c>
      <c r="F301" t="s">
        <v>22</v>
      </c>
      <c r="G301" t="s">
        <v>23</v>
      </c>
      <c r="H301" s="2">
        <v>89</v>
      </c>
      <c r="I301" s="3">
        <v>2467</v>
      </c>
      <c r="J301" s="4">
        <v>12.93</v>
      </c>
      <c r="K301" s="2">
        <v>60</v>
      </c>
      <c r="L301" s="2">
        <v>4</v>
      </c>
      <c r="M301" s="3">
        <v>12244</v>
      </c>
      <c r="N301" t="str" cm="1">
        <f t="array" ref="N301">_xlfn.IFS(Table1_36[[#This Row],[Patient Satisfaction Score]]&gt;=83,"High",H301&lt;=75,"Low",TRUE,"Moderate")</f>
        <v>High</v>
      </c>
      <c r="O301" t="str">
        <f t="shared" si="4"/>
        <v>Adult</v>
      </c>
    </row>
    <row r="302" spans="1:15">
      <c r="A302" t="s">
        <v>370</v>
      </c>
      <c r="B302" t="s">
        <v>44</v>
      </c>
      <c r="C302" t="s">
        <v>45</v>
      </c>
      <c r="D302" t="s">
        <v>16</v>
      </c>
      <c r="E302" s="2">
        <v>64</v>
      </c>
      <c r="F302" t="s">
        <v>34</v>
      </c>
      <c r="G302" t="s">
        <v>49</v>
      </c>
      <c r="H302" s="2">
        <v>68</v>
      </c>
      <c r="I302" s="3">
        <v>9159</v>
      </c>
      <c r="J302" s="4">
        <v>17.79</v>
      </c>
      <c r="K302" s="2">
        <v>119</v>
      </c>
      <c r="L302" s="2">
        <v>3</v>
      </c>
      <c r="M302" s="3">
        <v>47960</v>
      </c>
      <c r="N302" t="str" cm="1">
        <f t="array" ref="N302">_xlfn.IFS(Table1_36[[#This Row],[Patient Satisfaction Score]]&gt;=83,"High",H302&lt;=75,"Low",TRUE,"Moderate")</f>
        <v>Low</v>
      </c>
      <c r="O302" t="str">
        <f t="shared" si="4"/>
        <v>Adult</v>
      </c>
    </row>
    <row r="303" spans="1:15">
      <c r="A303" t="s">
        <v>371</v>
      </c>
      <c r="B303" t="s">
        <v>44</v>
      </c>
      <c r="C303" t="s">
        <v>45</v>
      </c>
      <c r="D303" t="s">
        <v>27</v>
      </c>
      <c r="E303" s="2">
        <v>36</v>
      </c>
      <c r="F303" t="s">
        <v>17</v>
      </c>
      <c r="G303" t="s">
        <v>70</v>
      </c>
      <c r="H303" s="2">
        <v>60</v>
      </c>
      <c r="I303" s="3">
        <v>9734</v>
      </c>
      <c r="J303" s="4">
        <v>16.5</v>
      </c>
      <c r="K303" s="2">
        <v>97</v>
      </c>
      <c r="L303" s="2">
        <v>3</v>
      </c>
      <c r="M303" s="3">
        <v>39928</v>
      </c>
      <c r="N303" t="str" cm="1">
        <f t="array" ref="N303">_xlfn.IFS(Table1_36[[#This Row],[Patient Satisfaction Score]]&gt;=83,"High",H303&lt;=75,"Low",TRUE,"Moderate")</f>
        <v>Low</v>
      </c>
      <c r="O303" t="str">
        <f t="shared" si="4"/>
        <v>Adult</v>
      </c>
    </row>
    <row r="304" spans="1:15">
      <c r="A304" t="s">
        <v>372</v>
      </c>
      <c r="B304" t="s">
        <v>80</v>
      </c>
      <c r="C304" t="s">
        <v>15</v>
      </c>
      <c r="D304" t="s">
        <v>72</v>
      </c>
      <c r="E304" s="2">
        <v>33</v>
      </c>
      <c r="F304" t="s">
        <v>17</v>
      </c>
      <c r="G304" t="s">
        <v>49</v>
      </c>
      <c r="H304" s="2">
        <v>78</v>
      </c>
      <c r="I304" s="3">
        <v>6288</v>
      </c>
      <c r="J304" s="4">
        <v>15.41</v>
      </c>
      <c r="K304" s="2">
        <v>60</v>
      </c>
      <c r="L304" s="2">
        <v>4</v>
      </c>
      <c r="M304" s="3">
        <v>33814</v>
      </c>
      <c r="N304" t="str" cm="1">
        <f t="array" ref="N304">_xlfn.IFS(Table1_36[[#This Row],[Patient Satisfaction Score]]&gt;=83,"High",H304&lt;=75,"Low",TRUE,"Moderate")</f>
        <v>Moderate</v>
      </c>
      <c r="O304" t="str">
        <f t="shared" si="4"/>
        <v>Adult</v>
      </c>
    </row>
    <row r="305" spans="1:15">
      <c r="A305" t="s">
        <v>373</v>
      </c>
      <c r="B305" t="s">
        <v>20</v>
      </c>
      <c r="C305" t="s">
        <v>21</v>
      </c>
      <c r="D305" t="s">
        <v>27</v>
      </c>
      <c r="E305" s="2">
        <v>37</v>
      </c>
      <c r="F305" t="s">
        <v>34</v>
      </c>
      <c r="G305" t="s">
        <v>70</v>
      </c>
      <c r="H305" s="2">
        <v>70</v>
      </c>
      <c r="I305" s="3">
        <v>6018</v>
      </c>
      <c r="J305" s="4">
        <v>23.42</v>
      </c>
      <c r="K305" s="2">
        <v>99</v>
      </c>
      <c r="L305" s="2">
        <v>4</v>
      </c>
      <c r="M305" s="3">
        <v>29321</v>
      </c>
      <c r="N305" t="str" cm="1">
        <f t="array" ref="N305">_xlfn.IFS(Table1_36[[#This Row],[Patient Satisfaction Score]]&gt;=83,"High",H305&lt;=75,"Low",TRUE,"Moderate")</f>
        <v>Low</v>
      </c>
      <c r="O305" t="str">
        <f t="shared" si="4"/>
        <v>Adult</v>
      </c>
    </row>
    <row r="306" spans="1:15">
      <c r="A306" t="s">
        <v>374</v>
      </c>
      <c r="B306" t="s">
        <v>129</v>
      </c>
      <c r="C306" t="s">
        <v>21</v>
      </c>
      <c r="D306" t="s">
        <v>27</v>
      </c>
      <c r="E306" s="2">
        <v>13</v>
      </c>
      <c r="F306" t="s">
        <v>34</v>
      </c>
      <c r="G306" t="s">
        <v>70</v>
      </c>
      <c r="H306" s="2">
        <v>72</v>
      </c>
      <c r="I306" s="3">
        <v>6989</v>
      </c>
      <c r="J306" s="4">
        <v>11.39</v>
      </c>
      <c r="K306" s="2">
        <v>106</v>
      </c>
      <c r="L306" s="2">
        <v>4</v>
      </c>
      <c r="M306" s="3">
        <v>33246</v>
      </c>
      <c r="N306" t="str" cm="1">
        <f t="array" ref="N306">_xlfn.IFS(Table1_36[[#This Row],[Patient Satisfaction Score]]&gt;=83,"High",H306&lt;=75,"Low",TRUE,"Moderate")</f>
        <v>Low</v>
      </c>
      <c r="O306" t="str">
        <f t="shared" si="4"/>
        <v>Pediatric</v>
      </c>
    </row>
    <row r="307" spans="1:15">
      <c r="A307" t="s">
        <v>375</v>
      </c>
      <c r="B307" t="s">
        <v>25</v>
      </c>
      <c r="C307" t="s">
        <v>26</v>
      </c>
      <c r="D307" t="s">
        <v>16</v>
      </c>
      <c r="E307" s="2">
        <v>75</v>
      </c>
      <c r="F307" t="s">
        <v>17</v>
      </c>
      <c r="G307" t="s">
        <v>31</v>
      </c>
      <c r="H307" s="2">
        <v>85</v>
      </c>
      <c r="I307" s="3">
        <v>2596</v>
      </c>
      <c r="J307" s="4">
        <v>4.41</v>
      </c>
      <c r="K307" s="2">
        <v>29</v>
      </c>
      <c r="L307" s="2">
        <v>4</v>
      </c>
      <c r="M307" s="3">
        <v>7017</v>
      </c>
      <c r="N307" t="str" cm="1">
        <f t="array" ref="N307">_xlfn.IFS(Table1_36[[#This Row],[Patient Satisfaction Score]]&gt;=83,"High",H307&lt;=75,"Low",TRUE,"Moderate")</f>
        <v>High</v>
      </c>
      <c r="O307" t="str">
        <f t="shared" si="4"/>
        <v>Adult</v>
      </c>
    </row>
    <row r="308" spans="1:15">
      <c r="A308" t="s">
        <v>376</v>
      </c>
      <c r="B308" t="s">
        <v>38</v>
      </c>
      <c r="C308" t="s">
        <v>39</v>
      </c>
      <c r="D308" t="s">
        <v>27</v>
      </c>
      <c r="E308" s="2">
        <v>17</v>
      </c>
      <c r="F308" t="s">
        <v>22</v>
      </c>
      <c r="G308" t="s">
        <v>31</v>
      </c>
      <c r="H308" s="2">
        <v>86</v>
      </c>
      <c r="I308" s="3">
        <v>3444</v>
      </c>
      <c r="J308" s="4">
        <v>5.95</v>
      </c>
      <c r="K308" s="2">
        <v>39</v>
      </c>
      <c r="L308" s="2">
        <v>4</v>
      </c>
      <c r="M308" s="3">
        <v>14550</v>
      </c>
      <c r="N308" t="str" cm="1">
        <f t="array" ref="N308">_xlfn.IFS(Table1_36[[#This Row],[Patient Satisfaction Score]]&gt;=83,"High",H308&lt;=75,"Low",TRUE,"Moderate")</f>
        <v>High</v>
      </c>
      <c r="O308" t="str">
        <f t="shared" si="4"/>
        <v>Pediatric</v>
      </c>
    </row>
    <row r="309" spans="1:15">
      <c r="A309" t="s">
        <v>377</v>
      </c>
      <c r="B309" t="s">
        <v>25</v>
      </c>
      <c r="C309" t="s">
        <v>26</v>
      </c>
      <c r="D309" t="s">
        <v>27</v>
      </c>
      <c r="E309" s="2">
        <v>60</v>
      </c>
      <c r="F309" t="s">
        <v>22</v>
      </c>
      <c r="G309" t="s">
        <v>49</v>
      </c>
      <c r="H309" s="2">
        <v>95</v>
      </c>
      <c r="I309" s="3">
        <v>2461</v>
      </c>
      <c r="J309" s="4">
        <v>5.0599999999999996</v>
      </c>
      <c r="K309" s="2">
        <v>5</v>
      </c>
      <c r="L309" s="2">
        <v>5</v>
      </c>
      <c r="M309" s="3">
        <v>10623</v>
      </c>
      <c r="N309" t="str" cm="1">
        <f t="array" ref="N309">_xlfn.IFS(Table1_36[[#This Row],[Patient Satisfaction Score]]&gt;=83,"High",H309&lt;=75,"Low",TRUE,"Moderate")</f>
        <v>High</v>
      </c>
      <c r="O309" t="str">
        <f t="shared" si="4"/>
        <v>Adult</v>
      </c>
    </row>
    <row r="310" spans="1:15">
      <c r="A310" t="s">
        <v>378</v>
      </c>
      <c r="B310" t="s">
        <v>129</v>
      </c>
      <c r="C310" t="s">
        <v>21</v>
      </c>
      <c r="D310" t="s">
        <v>27</v>
      </c>
      <c r="E310" s="2">
        <v>21</v>
      </c>
      <c r="F310" t="s">
        <v>22</v>
      </c>
      <c r="G310" t="s">
        <v>18</v>
      </c>
      <c r="H310" s="2">
        <v>74</v>
      </c>
      <c r="I310" s="3">
        <v>7429</v>
      </c>
      <c r="J310" s="4">
        <v>17.87</v>
      </c>
      <c r="K310" s="2">
        <v>112</v>
      </c>
      <c r="L310" s="2">
        <v>4</v>
      </c>
      <c r="M310" s="3">
        <v>21836</v>
      </c>
      <c r="N310" t="str" cm="1">
        <f t="array" ref="N310">_xlfn.IFS(Table1_36[[#This Row],[Patient Satisfaction Score]]&gt;=83,"High",H310&lt;=75,"Low",TRUE,"Moderate")</f>
        <v>Low</v>
      </c>
      <c r="O310" t="str">
        <f t="shared" si="4"/>
        <v>Adult</v>
      </c>
    </row>
    <row r="311" spans="1:15">
      <c r="A311" t="s">
        <v>379</v>
      </c>
      <c r="B311" t="s">
        <v>25</v>
      </c>
      <c r="C311" t="s">
        <v>39</v>
      </c>
      <c r="D311" t="s">
        <v>72</v>
      </c>
      <c r="E311" s="2">
        <v>17</v>
      </c>
      <c r="F311" t="s">
        <v>22</v>
      </c>
      <c r="G311" t="s">
        <v>31</v>
      </c>
      <c r="H311" s="2">
        <v>74</v>
      </c>
      <c r="I311" s="3">
        <v>3588</v>
      </c>
      <c r="J311" s="4">
        <v>5.03</v>
      </c>
      <c r="K311" s="2">
        <v>63</v>
      </c>
      <c r="L311" s="2">
        <v>4</v>
      </c>
      <c r="M311" s="3">
        <v>13638</v>
      </c>
      <c r="N311" t="str" cm="1">
        <f t="array" ref="N311">_xlfn.IFS(Table1_36[[#This Row],[Patient Satisfaction Score]]&gt;=83,"High",H311&lt;=75,"Low",TRUE,"Moderate")</f>
        <v>Low</v>
      </c>
      <c r="O311" t="str">
        <f t="shared" si="4"/>
        <v>Pediatric</v>
      </c>
    </row>
    <row r="312" spans="1:15">
      <c r="A312" t="s">
        <v>380</v>
      </c>
      <c r="B312" t="s">
        <v>33</v>
      </c>
      <c r="C312" t="s">
        <v>26</v>
      </c>
      <c r="D312" t="s">
        <v>16</v>
      </c>
      <c r="E312" s="2">
        <v>48</v>
      </c>
      <c r="F312" t="s">
        <v>17</v>
      </c>
      <c r="G312" t="s">
        <v>40</v>
      </c>
      <c r="H312" s="2">
        <v>85</v>
      </c>
      <c r="I312" s="3">
        <v>2586</v>
      </c>
      <c r="J312" s="4">
        <v>5.98</v>
      </c>
      <c r="K312" s="2">
        <v>46</v>
      </c>
      <c r="L312" s="2">
        <v>5</v>
      </c>
      <c r="M312" s="3">
        <v>10067</v>
      </c>
      <c r="N312" t="str" cm="1">
        <f t="array" ref="N312">_xlfn.IFS(Table1_36[[#This Row],[Patient Satisfaction Score]]&gt;=83,"High",H312&lt;=75,"Low",TRUE,"Moderate")</f>
        <v>High</v>
      </c>
      <c r="O312" t="str">
        <f t="shared" si="4"/>
        <v>Adult</v>
      </c>
    </row>
    <row r="313" spans="1:15">
      <c r="A313" t="s">
        <v>381</v>
      </c>
      <c r="B313" t="s">
        <v>25</v>
      </c>
      <c r="C313" t="s">
        <v>26</v>
      </c>
      <c r="D313" t="s">
        <v>16</v>
      </c>
      <c r="E313" s="2">
        <v>37</v>
      </c>
      <c r="F313" t="s">
        <v>22</v>
      </c>
      <c r="G313" t="s">
        <v>31</v>
      </c>
      <c r="H313" s="2">
        <v>97</v>
      </c>
      <c r="I313" s="3">
        <v>2128</v>
      </c>
      <c r="J313" s="4">
        <v>1.81</v>
      </c>
      <c r="K313" s="2">
        <v>41</v>
      </c>
      <c r="L313" s="2">
        <v>5</v>
      </c>
      <c r="M313" s="3">
        <v>8848</v>
      </c>
      <c r="N313" t="str" cm="1">
        <f t="array" ref="N313">_xlfn.IFS(Table1_36[[#This Row],[Patient Satisfaction Score]]&gt;=83,"High",H313&lt;=75,"Low",TRUE,"Moderate")</f>
        <v>High</v>
      </c>
      <c r="O313" t="str">
        <f t="shared" si="4"/>
        <v>Adult</v>
      </c>
    </row>
    <row r="314" spans="1:15">
      <c r="A314" t="s">
        <v>382</v>
      </c>
      <c r="B314" t="s">
        <v>88</v>
      </c>
      <c r="C314" t="s">
        <v>15</v>
      </c>
      <c r="D314" t="s">
        <v>16</v>
      </c>
      <c r="E314" s="2">
        <v>45</v>
      </c>
      <c r="F314" t="s">
        <v>17</v>
      </c>
      <c r="G314" t="s">
        <v>40</v>
      </c>
      <c r="H314" s="2">
        <v>75</v>
      </c>
      <c r="I314" s="3">
        <v>5235</v>
      </c>
      <c r="J314" s="4">
        <v>13.53</v>
      </c>
      <c r="K314" s="2">
        <v>89</v>
      </c>
      <c r="L314" s="2">
        <v>4</v>
      </c>
      <c r="M314" s="3">
        <v>24491</v>
      </c>
      <c r="N314" t="str" cm="1">
        <f t="array" ref="N314">_xlfn.IFS(Table1_36[[#This Row],[Patient Satisfaction Score]]&gt;=83,"High",H314&lt;=75,"Low",TRUE,"Moderate")</f>
        <v>Low</v>
      </c>
      <c r="O314" t="str">
        <f t="shared" si="4"/>
        <v>Adult</v>
      </c>
    </row>
    <row r="315" spans="1:15">
      <c r="A315" t="s">
        <v>383</v>
      </c>
      <c r="B315" t="s">
        <v>135</v>
      </c>
      <c r="C315" t="s">
        <v>48</v>
      </c>
      <c r="D315" t="s">
        <v>16</v>
      </c>
      <c r="E315" s="2">
        <v>52</v>
      </c>
      <c r="F315" t="s">
        <v>34</v>
      </c>
      <c r="G315" t="s">
        <v>70</v>
      </c>
      <c r="H315" s="2">
        <v>70</v>
      </c>
      <c r="I315" s="3">
        <v>6390</v>
      </c>
      <c r="J315" s="4">
        <v>10.52</v>
      </c>
      <c r="K315" s="2">
        <v>103</v>
      </c>
      <c r="L315" s="2">
        <v>4</v>
      </c>
      <c r="M315" s="3">
        <v>31051</v>
      </c>
      <c r="N315" t="str" cm="1">
        <f t="array" ref="N315">_xlfn.IFS(Table1_36[[#This Row],[Patient Satisfaction Score]]&gt;=83,"High",H315&lt;=75,"Low",TRUE,"Moderate")</f>
        <v>Low</v>
      </c>
      <c r="O315" t="str">
        <f t="shared" si="4"/>
        <v>Adult</v>
      </c>
    </row>
    <row r="316" spans="1:15">
      <c r="A316" t="s">
        <v>384</v>
      </c>
      <c r="B316" t="s">
        <v>60</v>
      </c>
      <c r="C316" t="s">
        <v>52</v>
      </c>
      <c r="D316" t="s">
        <v>72</v>
      </c>
      <c r="E316" s="2">
        <v>28</v>
      </c>
      <c r="F316" t="s">
        <v>17</v>
      </c>
      <c r="G316" t="s">
        <v>23</v>
      </c>
      <c r="H316" s="2">
        <v>85</v>
      </c>
      <c r="I316" s="3">
        <v>7625</v>
      </c>
      <c r="J316" s="4">
        <v>15.87</v>
      </c>
      <c r="K316" s="2">
        <v>54</v>
      </c>
      <c r="L316" s="2">
        <v>4</v>
      </c>
      <c r="M316" s="3">
        <v>37949</v>
      </c>
      <c r="N316" t="str" cm="1">
        <f t="array" ref="N316">_xlfn.IFS(Table1_36[[#This Row],[Patient Satisfaction Score]]&gt;=83,"High",H316&lt;=75,"Low",TRUE,"Moderate")</f>
        <v>High</v>
      </c>
      <c r="O316" t="str">
        <f t="shared" si="4"/>
        <v>Adult</v>
      </c>
    </row>
    <row r="317" spans="1:15">
      <c r="A317" t="s">
        <v>385</v>
      </c>
      <c r="B317" t="s">
        <v>58</v>
      </c>
      <c r="C317" t="s">
        <v>48</v>
      </c>
      <c r="D317" t="s">
        <v>16</v>
      </c>
      <c r="E317" s="2">
        <v>23</v>
      </c>
      <c r="F317" t="s">
        <v>22</v>
      </c>
      <c r="G317" t="s">
        <v>31</v>
      </c>
      <c r="H317" s="2">
        <v>79</v>
      </c>
      <c r="I317" s="3">
        <v>6045</v>
      </c>
      <c r="J317" s="4">
        <v>14.34</v>
      </c>
      <c r="K317" s="2">
        <v>71</v>
      </c>
      <c r="L317" s="2">
        <v>3</v>
      </c>
      <c r="M317" s="3">
        <v>29491</v>
      </c>
      <c r="N317" t="str" cm="1">
        <f t="array" ref="N317">_xlfn.IFS(Table1_36[[#This Row],[Patient Satisfaction Score]]&gt;=83,"High",H317&lt;=75,"Low",TRUE,"Moderate")</f>
        <v>Moderate</v>
      </c>
      <c r="O317" t="str">
        <f t="shared" si="4"/>
        <v>Adult</v>
      </c>
    </row>
    <row r="318" spans="1:15">
      <c r="A318" t="s">
        <v>386</v>
      </c>
      <c r="B318" t="s">
        <v>64</v>
      </c>
      <c r="C318" t="s">
        <v>30</v>
      </c>
      <c r="D318" t="s">
        <v>16</v>
      </c>
      <c r="E318" s="2">
        <v>41</v>
      </c>
      <c r="F318" t="s">
        <v>22</v>
      </c>
      <c r="G318" t="s">
        <v>18</v>
      </c>
      <c r="H318" s="2">
        <v>59</v>
      </c>
      <c r="I318" s="3">
        <v>3373</v>
      </c>
      <c r="J318" s="4">
        <v>23.49</v>
      </c>
      <c r="K318" s="2">
        <v>102</v>
      </c>
      <c r="L318" s="2">
        <v>4</v>
      </c>
      <c r="M318" s="3">
        <v>8950</v>
      </c>
      <c r="N318" t="str" cm="1">
        <f t="array" ref="N318">_xlfn.IFS(Table1_36[[#This Row],[Patient Satisfaction Score]]&gt;=83,"High",H318&lt;=75,"Low",TRUE,"Moderate")</f>
        <v>Low</v>
      </c>
      <c r="O318" t="str">
        <f t="shared" si="4"/>
        <v>Adult</v>
      </c>
    </row>
    <row r="319" spans="1:15">
      <c r="A319" t="s">
        <v>387</v>
      </c>
      <c r="B319" t="s">
        <v>33</v>
      </c>
      <c r="C319" t="s">
        <v>26</v>
      </c>
      <c r="D319" t="s">
        <v>27</v>
      </c>
      <c r="E319" s="2">
        <v>40</v>
      </c>
      <c r="F319" t="s">
        <v>22</v>
      </c>
      <c r="G319" t="s">
        <v>49</v>
      </c>
      <c r="H319" s="2">
        <v>89</v>
      </c>
      <c r="I319" s="3">
        <v>2723</v>
      </c>
      <c r="J319" s="4">
        <v>6.48</v>
      </c>
      <c r="K319" s="2">
        <v>20</v>
      </c>
      <c r="L319" s="2">
        <v>5</v>
      </c>
      <c r="M319" s="3">
        <v>9281</v>
      </c>
      <c r="N319" t="str" cm="1">
        <f t="array" ref="N319">_xlfn.IFS(Table1_36[[#This Row],[Patient Satisfaction Score]]&gt;=83,"High",H319&lt;=75,"Low",TRUE,"Moderate")</f>
        <v>High</v>
      </c>
      <c r="O319" t="str">
        <f t="shared" si="4"/>
        <v>Adult</v>
      </c>
    </row>
    <row r="320" spans="1:15">
      <c r="A320" t="s">
        <v>388</v>
      </c>
      <c r="B320" t="s">
        <v>36</v>
      </c>
      <c r="C320" t="s">
        <v>21</v>
      </c>
      <c r="D320" t="s">
        <v>27</v>
      </c>
      <c r="E320" s="2">
        <v>85</v>
      </c>
      <c r="F320" t="s">
        <v>34</v>
      </c>
      <c r="G320" t="s">
        <v>31</v>
      </c>
      <c r="H320" s="2">
        <v>83</v>
      </c>
      <c r="I320" s="3">
        <v>6746</v>
      </c>
      <c r="J320" s="4">
        <v>12.35</v>
      </c>
      <c r="K320" s="2">
        <v>62</v>
      </c>
      <c r="L320" s="2">
        <v>4</v>
      </c>
      <c r="M320" s="3">
        <v>34745</v>
      </c>
      <c r="N320" t="str" cm="1">
        <f t="array" ref="N320">_xlfn.IFS(Table1_36[[#This Row],[Patient Satisfaction Score]]&gt;=83,"High",H320&lt;=75,"Low",TRUE,"Moderate")</f>
        <v>High</v>
      </c>
      <c r="O320" t="str">
        <f t="shared" si="4"/>
        <v>Adult</v>
      </c>
    </row>
    <row r="321" spans="1:15">
      <c r="A321" t="s">
        <v>389</v>
      </c>
      <c r="B321" t="s">
        <v>185</v>
      </c>
      <c r="C321" t="s">
        <v>52</v>
      </c>
      <c r="D321" t="s">
        <v>16</v>
      </c>
      <c r="E321" s="2">
        <v>43</v>
      </c>
      <c r="F321" t="s">
        <v>22</v>
      </c>
      <c r="G321" t="s">
        <v>70</v>
      </c>
      <c r="H321" s="2">
        <v>86</v>
      </c>
      <c r="I321" s="3">
        <v>6461</v>
      </c>
      <c r="J321" s="4">
        <v>17.32</v>
      </c>
      <c r="K321" s="2">
        <v>55</v>
      </c>
      <c r="L321" s="2">
        <v>5</v>
      </c>
      <c r="M321" s="3">
        <v>19831</v>
      </c>
      <c r="N321" t="str" cm="1">
        <f t="array" ref="N321">_xlfn.IFS(Table1_36[[#This Row],[Patient Satisfaction Score]]&gt;=83,"High",H321&lt;=75,"Low",TRUE,"Moderate")</f>
        <v>High</v>
      </c>
      <c r="O321" t="str">
        <f t="shared" si="4"/>
        <v>Adult</v>
      </c>
    </row>
    <row r="322" spans="1:15">
      <c r="A322" t="s">
        <v>390</v>
      </c>
      <c r="B322" t="s">
        <v>95</v>
      </c>
      <c r="C322" t="s">
        <v>52</v>
      </c>
      <c r="D322" t="s">
        <v>27</v>
      </c>
      <c r="E322" s="2">
        <v>74</v>
      </c>
      <c r="F322" t="s">
        <v>34</v>
      </c>
      <c r="G322" t="s">
        <v>18</v>
      </c>
      <c r="H322" s="2">
        <v>71</v>
      </c>
      <c r="I322" s="3">
        <v>7499</v>
      </c>
      <c r="J322" s="4">
        <v>14</v>
      </c>
      <c r="K322" s="2">
        <v>87</v>
      </c>
      <c r="L322" s="2">
        <v>4</v>
      </c>
      <c r="M322" s="3">
        <v>27190</v>
      </c>
      <c r="N322" t="str" cm="1">
        <f t="array" ref="N322">_xlfn.IFS(Table1_36[[#This Row],[Patient Satisfaction Score]]&gt;=83,"High",H322&lt;=75,"Low",TRUE,"Moderate")</f>
        <v>Low</v>
      </c>
      <c r="O322" t="str">
        <f t="shared" ref="O322:O385" si="5">IF(E322&lt;19,"Pediatric","Adult")</f>
        <v>Adult</v>
      </c>
    </row>
    <row r="323" spans="1:15">
      <c r="A323" t="s">
        <v>391</v>
      </c>
      <c r="B323" t="s">
        <v>42</v>
      </c>
      <c r="C323" t="s">
        <v>39</v>
      </c>
      <c r="D323" t="s">
        <v>72</v>
      </c>
      <c r="E323" s="2">
        <v>18</v>
      </c>
      <c r="F323" t="s">
        <v>34</v>
      </c>
      <c r="G323" t="s">
        <v>40</v>
      </c>
      <c r="H323" s="2">
        <v>83</v>
      </c>
      <c r="I323" s="3">
        <v>2907</v>
      </c>
      <c r="J323" s="4">
        <v>4.51</v>
      </c>
      <c r="K323" s="2">
        <v>74</v>
      </c>
      <c r="L323" s="2">
        <v>4</v>
      </c>
      <c r="M323" s="3">
        <v>14007</v>
      </c>
      <c r="N323" t="str" cm="1">
        <f t="array" ref="N323">_xlfn.IFS(Table1_36[[#This Row],[Patient Satisfaction Score]]&gt;=83,"High",H323&lt;=75,"Low",TRUE,"Moderate")</f>
        <v>High</v>
      </c>
      <c r="O323" t="str">
        <f t="shared" si="5"/>
        <v>Pediatric</v>
      </c>
    </row>
    <row r="324" spans="1:15">
      <c r="A324" t="s">
        <v>392</v>
      </c>
      <c r="B324" t="s">
        <v>137</v>
      </c>
      <c r="C324" t="s">
        <v>26</v>
      </c>
      <c r="D324" t="s">
        <v>16</v>
      </c>
      <c r="E324" s="2">
        <v>37</v>
      </c>
      <c r="F324" t="s">
        <v>17</v>
      </c>
      <c r="G324" t="s">
        <v>18</v>
      </c>
      <c r="H324" s="2">
        <v>86</v>
      </c>
      <c r="I324" s="3">
        <v>2872</v>
      </c>
      <c r="J324" s="4">
        <v>4.28</v>
      </c>
      <c r="K324" s="2">
        <v>32</v>
      </c>
      <c r="L324" s="2">
        <v>5</v>
      </c>
      <c r="M324" s="3">
        <v>11124</v>
      </c>
      <c r="N324" t="str" cm="1">
        <f t="array" ref="N324">_xlfn.IFS(Table1_36[[#This Row],[Patient Satisfaction Score]]&gt;=83,"High",H324&lt;=75,"Low",TRUE,"Moderate")</f>
        <v>High</v>
      </c>
      <c r="O324" t="str">
        <f t="shared" si="5"/>
        <v>Adult</v>
      </c>
    </row>
    <row r="325" spans="1:15">
      <c r="A325" t="s">
        <v>393</v>
      </c>
      <c r="B325" t="s">
        <v>129</v>
      </c>
      <c r="C325" t="s">
        <v>21</v>
      </c>
      <c r="D325" t="s">
        <v>27</v>
      </c>
      <c r="E325" s="2">
        <v>49</v>
      </c>
      <c r="F325" t="s">
        <v>34</v>
      </c>
      <c r="G325" t="s">
        <v>40</v>
      </c>
      <c r="H325" s="2">
        <v>81</v>
      </c>
      <c r="I325" s="3">
        <v>6630</v>
      </c>
      <c r="J325" s="4">
        <v>17.350000000000001</v>
      </c>
      <c r="K325" s="2">
        <v>93</v>
      </c>
      <c r="L325" s="2">
        <v>4</v>
      </c>
      <c r="M325" s="3">
        <v>22399</v>
      </c>
      <c r="N325" t="str" cm="1">
        <f t="array" ref="N325">_xlfn.IFS(Table1_36[[#This Row],[Patient Satisfaction Score]]&gt;=83,"High",H325&lt;=75,"Low",TRUE,"Moderate")</f>
        <v>Moderate</v>
      </c>
      <c r="O325" t="str">
        <f t="shared" si="5"/>
        <v>Adult</v>
      </c>
    </row>
    <row r="326" spans="1:15">
      <c r="A326" t="s">
        <v>394</v>
      </c>
      <c r="B326" t="s">
        <v>78</v>
      </c>
      <c r="C326" t="s">
        <v>15</v>
      </c>
      <c r="D326" t="s">
        <v>16</v>
      </c>
      <c r="E326" s="2">
        <v>5</v>
      </c>
      <c r="F326" t="s">
        <v>34</v>
      </c>
      <c r="G326" t="s">
        <v>23</v>
      </c>
      <c r="H326" s="2">
        <v>73</v>
      </c>
      <c r="I326" s="3">
        <v>5304</v>
      </c>
      <c r="J326" s="4">
        <v>18.920000000000002</v>
      </c>
      <c r="K326" s="2">
        <v>102</v>
      </c>
      <c r="L326" s="2">
        <v>3</v>
      </c>
      <c r="M326" s="3">
        <v>17359</v>
      </c>
      <c r="N326" t="str" cm="1">
        <f t="array" ref="N326">_xlfn.IFS(Table1_36[[#This Row],[Patient Satisfaction Score]]&gt;=83,"High",H326&lt;=75,"Low",TRUE,"Moderate")</f>
        <v>Low</v>
      </c>
      <c r="O326" t="str">
        <f t="shared" si="5"/>
        <v>Pediatric</v>
      </c>
    </row>
    <row r="327" spans="1:15">
      <c r="A327" t="s">
        <v>395</v>
      </c>
      <c r="B327" t="s">
        <v>129</v>
      </c>
      <c r="C327" t="s">
        <v>21</v>
      </c>
      <c r="D327" t="s">
        <v>27</v>
      </c>
      <c r="E327" s="2">
        <v>49</v>
      </c>
      <c r="F327" t="s">
        <v>22</v>
      </c>
      <c r="G327" t="s">
        <v>18</v>
      </c>
      <c r="H327" s="2">
        <v>76</v>
      </c>
      <c r="I327" s="3">
        <v>4497</v>
      </c>
      <c r="J327" s="4">
        <v>22.93</v>
      </c>
      <c r="K327" s="2">
        <v>86</v>
      </c>
      <c r="L327" s="2">
        <v>5</v>
      </c>
      <c r="M327" s="3">
        <v>23185</v>
      </c>
      <c r="N327" t="str" cm="1">
        <f t="array" ref="N327">_xlfn.IFS(Table1_36[[#This Row],[Patient Satisfaction Score]]&gt;=83,"High",H327&lt;=75,"Low",TRUE,"Moderate")</f>
        <v>Moderate</v>
      </c>
      <c r="O327" t="str">
        <f t="shared" si="5"/>
        <v>Adult</v>
      </c>
    </row>
    <row r="328" spans="1:15">
      <c r="A328" t="s">
        <v>396</v>
      </c>
      <c r="B328" t="s">
        <v>25</v>
      </c>
      <c r="C328" t="s">
        <v>26</v>
      </c>
      <c r="D328" t="s">
        <v>16</v>
      </c>
      <c r="E328" s="2">
        <v>27</v>
      </c>
      <c r="F328" t="s">
        <v>17</v>
      </c>
      <c r="G328" t="s">
        <v>70</v>
      </c>
      <c r="H328" s="2">
        <v>88</v>
      </c>
      <c r="I328" s="3">
        <v>2405</v>
      </c>
      <c r="J328" s="4">
        <v>8.69</v>
      </c>
      <c r="K328" s="2">
        <v>18</v>
      </c>
      <c r="L328" s="2">
        <v>5</v>
      </c>
      <c r="M328" s="3">
        <v>10200</v>
      </c>
      <c r="N328" t="str" cm="1">
        <f t="array" ref="N328">_xlfn.IFS(Table1_36[[#This Row],[Patient Satisfaction Score]]&gt;=83,"High",H328&lt;=75,"Low",TRUE,"Moderate")</f>
        <v>High</v>
      </c>
      <c r="O328" t="str">
        <f t="shared" si="5"/>
        <v>Adult</v>
      </c>
    </row>
    <row r="329" spans="1:15">
      <c r="A329" t="s">
        <v>397</v>
      </c>
      <c r="B329" t="s">
        <v>38</v>
      </c>
      <c r="C329" t="s">
        <v>39</v>
      </c>
      <c r="D329" t="s">
        <v>27</v>
      </c>
      <c r="E329" s="2">
        <v>14</v>
      </c>
      <c r="F329" t="s">
        <v>34</v>
      </c>
      <c r="G329" t="s">
        <v>49</v>
      </c>
      <c r="H329" s="2">
        <v>87</v>
      </c>
      <c r="I329" s="3">
        <v>2669</v>
      </c>
      <c r="J329" s="4">
        <v>3.9</v>
      </c>
      <c r="K329" s="2">
        <v>33</v>
      </c>
      <c r="L329" s="2">
        <v>5</v>
      </c>
      <c r="M329" s="3">
        <v>7337</v>
      </c>
      <c r="N329" t="str" cm="1">
        <f t="array" ref="N329">_xlfn.IFS(Table1_36[[#This Row],[Patient Satisfaction Score]]&gt;=83,"High",H329&lt;=75,"Low",TRUE,"Moderate")</f>
        <v>High</v>
      </c>
      <c r="O329" t="str">
        <f t="shared" si="5"/>
        <v>Pediatric</v>
      </c>
    </row>
    <row r="330" spans="1:15">
      <c r="A330" t="s">
        <v>398</v>
      </c>
      <c r="B330" t="s">
        <v>66</v>
      </c>
      <c r="C330" t="s">
        <v>39</v>
      </c>
      <c r="D330" t="s">
        <v>27</v>
      </c>
      <c r="E330" s="2">
        <v>1</v>
      </c>
      <c r="F330" t="s">
        <v>17</v>
      </c>
      <c r="G330" t="s">
        <v>40</v>
      </c>
      <c r="H330" s="2">
        <v>88</v>
      </c>
      <c r="I330" s="3">
        <v>3262</v>
      </c>
      <c r="J330" s="4">
        <v>9.6199999999999992</v>
      </c>
      <c r="K330" s="2">
        <v>63</v>
      </c>
      <c r="L330" s="2">
        <v>4</v>
      </c>
      <c r="M330" s="3">
        <v>16958</v>
      </c>
      <c r="N330" t="str" cm="1">
        <f t="array" ref="N330">_xlfn.IFS(Table1_36[[#This Row],[Patient Satisfaction Score]]&gt;=83,"High",H330&lt;=75,"Low",TRUE,"Moderate")</f>
        <v>High</v>
      </c>
      <c r="O330" t="str">
        <f t="shared" si="5"/>
        <v>Pediatric</v>
      </c>
    </row>
    <row r="331" spans="1:15">
      <c r="A331" t="s">
        <v>399</v>
      </c>
      <c r="B331" t="s">
        <v>51</v>
      </c>
      <c r="C331" t="s">
        <v>52</v>
      </c>
      <c r="D331" t="s">
        <v>27</v>
      </c>
      <c r="E331" s="2">
        <v>25</v>
      </c>
      <c r="F331" t="s">
        <v>17</v>
      </c>
      <c r="G331" t="s">
        <v>31</v>
      </c>
      <c r="H331" s="2">
        <v>72</v>
      </c>
      <c r="I331" s="3">
        <v>8175</v>
      </c>
      <c r="J331" s="4">
        <v>18.21</v>
      </c>
      <c r="K331" s="2">
        <v>88</v>
      </c>
      <c r="L331" s="2">
        <v>3</v>
      </c>
      <c r="M331" s="3">
        <v>21512</v>
      </c>
      <c r="N331" t="str" cm="1">
        <f t="array" ref="N331">_xlfn.IFS(Table1_36[[#This Row],[Patient Satisfaction Score]]&gt;=83,"High",H331&lt;=75,"Low",TRUE,"Moderate")</f>
        <v>Low</v>
      </c>
      <c r="O331" t="str">
        <f t="shared" si="5"/>
        <v>Adult</v>
      </c>
    </row>
    <row r="332" spans="1:15">
      <c r="A332" t="s">
        <v>400</v>
      </c>
      <c r="B332" t="s">
        <v>66</v>
      </c>
      <c r="C332" t="s">
        <v>39</v>
      </c>
      <c r="D332" t="s">
        <v>27</v>
      </c>
      <c r="E332" s="2">
        <v>3</v>
      </c>
      <c r="F332" t="s">
        <v>34</v>
      </c>
      <c r="G332" t="s">
        <v>70</v>
      </c>
      <c r="H332" s="2">
        <v>79</v>
      </c>
      <c r="I332" s="3">
        <v>2594</v>
      </c>
      <c r="J332" s="4">
        <v>8.14</v>
      </c>
      <c r="K332" s="2">
        <v>50</v>
      </c>
      <c r="L332" s="2">
        <v>4</v>
      </c>
      <c r="M332" s="3">
        <v>8576</v>
      </c>
      <c r="N332" t="str" cm="1">
        <f t="array" ref="N332">_xlfn.IFS(Table1_36[[#This Row],[Patient Satisfaction Score]]&gt;=83,"High",H332&lt;=75,"Low",TRUE,"Moderate")</f>
        <v>Moderate</v>
      </c>
      <c r="O332" t="str">
        <f t="shared" si="5"/>
        <v>Pediatric</v>
      </c>
    </row>
    <row r="333" spans="1:15">
      <c r="A333" t="s">
        <v>401</v>
      </c>
      <c r="B333" t="s">
        <v>36</v>
      </c>
      <c r="C333" t="s">
        <v>21</v>
      </c>
      <c r="D333" t="s">
        <v>27</v>
      </c>
      <c r="E333" s="2">
        <v>69</v>
      </c>
      <c r="F333" t="s">
        <v>17</v>
      </c>
      <c r="G333" t="s">
        <v>23</v>
      </c>
      <c r="H333" s="2">
        <v>67</v>
      </c>
      <c r="I333" s="3">
        <v>6172</v>
      </c>
      <c r="J333" s="4">
        <v>19.53</v>
      </c>
      <c r="K333" s="2">
        <v>106</v>
      </c>
      <c r="L333" s="2">
        <v>3</v>
      </c>
      <c r="M333" s="3">
        <v>30824</v>
      </c>
      <c r="N333" t="str" cm="1">
        <f t="array" ref="N333">_xlfn.IFS(Table1_36[[#This Row],[Patient Satisfaction Score]]&gt;=83,"High",H333&lt;=75,"Low",TRUE,"Moderate")</f>
        <v>Low</v>
      </c>
      <c r="O333" t="str">
        <f t="shared" si="5"/>
        <v>Adult</v>
      </c>
    </row>
    <row r="334" spans="1:15">
      <c r="A334" t="s">
        <v>402</v>
      </c>
      <c r="B334" t="s">
        <v>64</v>
      </c>
      <c r="C334" t="s">
        <v>30</v>
      </c>
      <c r="D334" t="s">
        <v>27</v>
      </c>
      <c r="E334" s="2">
        <v>35</v>
      </c>
      <c r="F334" t="s">
        <v>17</v>
      </c>
      <c r="G334" t="s">
        <v>49</v>
      </c>
      <c r="H334" s="2">
        <v>69</v>
      </c>
      <c r="I334" s="3">
        <v>4048</v>
      </c>
      <c r="J334" s="4">
        <v>16.989999999999998</v>
      </c>
      <c r="K334" s="2">
        <v>119</v>
      </c>
      <c r="L334" s="2">
        <v>4</v>
      </c>
      <c r="M334" s="3">
        <v>18488</v>
      </c>
      <c r="N334" t="str" cm="1">
        <f t="array" ref="N334">_xlfn.IFS(Table1_36[[#This Row],[Patient Satisfaction Score]]&gt;=83,"High",H334&lt;=75,"Low",TRUE,"Moderate")</f>
        <v>Low</v>
      </c>
      <c r="O334" t="str">
        <f t="shared" si="5"/>
        <v>Adult</v>
      </c>
    </row>
    <row r="335" spans="1:15">
      <c r="A335" t="s">
        <v>403</v>
      </c>
      <c r="B335" t="s">
        <v>25</v>
      </c>
      <c r="C335" t="s">
        <v>26</v>
      </c>
      <c r="D335" t="s">
        <v>16</v>
      </c>
      <c r="E335" s="2">
        <v>33</v>
      </c>
      <c r="F335" t="s">
        <v>17</v>
      </c>
      <c r="G335" t="s">
        <v>40</v>
      </c>
      <c r="H335" s="2">
        <v>88</v>
      </c>
      <c r="I335" s="3">
        <v>3401</v>
      </c>
      <c r="J335" s="4">
        <v>6.53</v>
      </c>
      <c r="K335" s="2">
        <v>49</v>
      </c>
      <c r="L335" s="2">
        <v>4</v>
      </c>
      <c r="M335" s="3">
        <v>15451</v>
      </c>
      <c r="N335" t="str" cm="1">
        <f t="array" ref="N335">_xlfn.IFS(Table1_36[[#This Row],[Patient Satisfaction Score]]&gt;=83,"High",H335&lt;=75,"Low",TRUE,"Moderate")</f>
        <v>High</v>
      </c>
      <c r="O335" t="str">
        <f t="shared" si="5"/>
        <v>Adult</v>
      </c>
    </row>
    <row r="336" spans="1:15">
      <c r="A336" t="s">
        <v>404</v>
      </c>
      <c r="B336" t="s">
        <v>14</v>
      </c>
      <c r="C336" t="s">
        <v>15</v>
      </c>
      <c r="D336" t="s">
        <v>27</v>
      </c>
      <c r="E336" s="2">
        <v>58</v>
      </c>
      <c r="F336" t="s">
        <v>22</v>
      </c>
      <c r="G336" t="s">
        <v>49</v>
      </c>
      <c r="H336" s="2">
        <v>80</v>
      </c>
      <c r="I336" s="3">
        <v>8472</v>
      </c>
      <c r="J336" s="4">
        <v>12.01</v>
      </c>
      <c r="K336" s="2">
        <v>54</v>
      </c>
      <c r="L336" s="2">
        <v>4</v>
      </c>
      <c r="M336" s="3">
        <v>36416</v>
      </c>
      <c r="N336" t="str" cm="1">
        <f t="array" ref="N336">_xlfn.IFS(Table1_36[[#This Row],[Patient Satisfaction Score]]&gt;=83,"High",H336&lt;=75,"Low",TRUE,"Moderate")</f>
        <v>Moderate</v>
      </c>
      <c r="O336" t="str">
        <f t="shared" si="5"/>
        <v>Adult</v>
      </c>
    </row>
    <row r="337" spans="1:15">
      <c r="A337" t="s">
        <v>405</v>
      </c>
      <c r="B337" t="s">
        <v>74</v>
      </c>
      <c r="C337" t="s">
        <v>45</v>
      </c>
      <c r="D337" t="s">
        <v>27</v>
      </c>
      <c r="E337" s="2">
        <v>1</v>
      </c>
      <c r="F337" t="s">
        <v>34</v>
      </c>
      <c r="G337" t="s">
        <v>49</v>
      </c>
      <c r="H337" s="2">
        <v>76</v>
      </c>
      <c r="I337" s="3">
        <v>10947</v>
      </c>
      <c r="J337" s="4">
        <v>20.98</v>
      </c>
      <c r="K337" s="2">
        <v>98</v>
      </c>
      <c r="L337" s="2">
        <v>4</v>
      </c>
      <c r="M337" s="3">
        <v>53980</v>
      </c>
      <c r="N337" t="str" cm="1">
        <f t="array" ref="N337">_xlfn.IFS(Table1_36[[#This Row],[Patient Satisfaction Score]]&gt;=83,"High",H337&lt;=75,"Low",TRUE,"Moderate")</f>
        <v>Moderate</v>
      </c>
      <c r="O337" t="str">
        <f t="shared" si="5"/>
        <v>Pediatric</v>
      </c>
    </row>
    <row r="338" spans="1:15">
      <c r="A338" t="s">
        <v>406</v>
      </c>
      <c r="B338" t="s">
        <v>29</v>
      </c>
      <c r="C338" t="s">
        <v>30</v>
      </c>
      <c r="D338" t="s">
        <v>16</v>
      </c>
      <c r="E338" s="2">
        <v>58</v>
      </c>
      <c r="F338" t="s">
        <v>22</v>
      </c>
      <c r="G338" t="s">
        <v>18</v>
      </c>
      <c r="H338" s="2">
        <v>70</v>
      </c>
      <c r="I338" s="3">
        <v>4087</v>
      </c>
      <c r="J338" s="4">
        <v>15.53</v>
      </c>
      <c r="K338" s="2">
        <v>118</v>
      </c>
      <c r="L338" s="2">
        <v>3</v>
      </c>
      <c r="M338" s="3">
        <v>15018</v>
      </c>
      <c r="N338" t="str" cm="1">
        <f t="array" ref="N338">_xlfn.IFS(Table1_36[[#This Row],[Patient Satisfaction Score]]&gt;=83,"High",H338&lt;=75,"Low",TRUE,"Moderate")</f>
        <v>Low</v>
      </c>
      <c r="O338" t="str">
        <f t="shared" si="5"/>
        <v>Adult</v>
      </c>
    </row>
    <row r="339" spans="1:15">
      <c r="A339" t="s">
        <v>407</v>
      </c>
      <c r="B339" t="s">
        <v>122</v>
      </c>
      <c r="C339" t="s">
        <v>48</v>
      </c>
      <c r="D339" t="s">
        <v>27</v>
      </c>
      <c r="E339" s="2">
        <v>66</v>
      </c>
      <c r="F339" t="s">
        <v>34</v>
      </c>
      <c r="G339" t="s">
        <v>18</v>
      </c>
      <c r="H339" s="2">
        <v>65</v>
      </c>
      <c r="I339" s="3">
        <v>6760</v>
      </c>
      <c r="J339" s="4">
        <v>12.35</v>
      </c>
      <c r="K339" s="2">
        <v>93</v>
      </c>
      <c r="L339" s="2">
        <v>3</v>
      </c>
      <c r="M339" s="3">
        <v>20757</v>
      </c>
      <c r="N339" t="str" cm="1">
        <f t="array" ref="N339">_xlfn.IFS(Table1_36[[#This Row],[Patient Satisfaction Score]]&gt;=83,"High",H339&lt;=75,"Low",TRUE,"Moderate")</f>
        <v>Low</v>
      </c>
      <c r="O339" t="str">
        <f t="shared" si="5"/>
        <v>Adult</v>
      </c>
    </row>
    <row r="340" spans="1:15">
      <c r="A340" t="s">
        <v>408</v>
      </c>
      <c r="B340" t="s">
        <v>33</v>
      </c>
      <c r="C340" t="s">
        <v>26</v>
      </c>
      <c r="D340" t="s">
        <v>16</v>
      </c>
      <c r="E340" s="2">
        <v>58</v>
      </c>
      <c r="F340" t="s">
        <v>17</v>
      </c>
      <c r="G340" t="s">
        <v>49</v>
      </c>
      <c r="H340" s="2">
        <v>77</v>
      </c>
      <c r="I340" s="3">
        <v>2353</v>
      </c>
      <c r="J340" s="4">
        <v>4.71</v>
      </c>
      <c r="K340" s="2">
        <v>61</v>
      </c>
      <c r="L340" s="2">
        <v>4</v>
      </c>
      <c r="M340" s="3">
        <v>11687</v>
      </c>
      <c r="N340" t="str" cm="1">
        <f t="array" ref="N340">_xlfn.IFS(Table1_36[[#This Row],[Patient Satisfaction Score]]&gt;=83,"High",H340&lt;=75,"Low",TRUE,"Moderate")</f>
        <v>Moderate</v>
      </c>
      <c r="O340" t="str">
        <f t="shared" si="5"/>
        <v>Adult</v>
      </c>
    </row>
    <row r="341" spans="1:15">
      <c r="A341" t="s">
        <v>409</v>
      </c>
      <c r="B341" t="s">
        <v>38</v>
      </c>
      <c r="C341" t="s">
        <v>39</v>
      </c>
      <c r="D341" t="s">
        <v>16</v>
      </c>
      <c r="E341" s="2">
        <v>4</v>
      </c>
      <c r="F341" t="s">
        <v>22</v>
      </c>
      <c r="G341" t="s">
        <v>49</v>
      </c>
      <c r="H341" s="2">
        <v>79</v>
      </c>
      <c r="I341" s="3">
        <v>4091</v>
      </c>
      <c r="J341" s="4">
        <v>8.16</v>
      </c>
      <c r="K341" s="2">
        <v>86</v>
      </c>
      <c r="L341" s="2">
        <v>4</v>
      </c>
      <c r="M341" s="3">
        <v>21682</v>
      </c>
      <c r="N341" t="str" cm="1">
        <f t="array" ref="N341">_xlfn.IFS(Table1_36[[#This Row],[Patient Satisfaction Score]]&gt;=83,"High",H341&lt;=75,"Low",TRUE,"Moderate")</f>
        <v>Moderate</v>
      </c>
      <c r="O341" t="str">
        <f t="shared" si="5"/>
        <v>Pediatric</v>
      </c>
    </row>
    <row r="342" spans="1:15">
      <c r="A342" t="s">
        <v>410</v>
      </c>
      <c r="B342" t="s">
        <v>187</v>
      </c>
      <c r="C342" t="s">
        <v>30</v>
      </c>
      <c r="D342" t="s">
        <v>16</v>
      </c>
      <c r="E342" s="2">
        <v>1</v>
      </c>
      <c r="F342" t="s">
        <v>17</v>
      </c>
      <c r="G342" t="s">
        <v>31</v>
      </c>
      <c r="H342" s="2">
        <v>75</v>
      </c>
      <c r="I342" s="3">
        <v>3164</v>
      </c>
      <c r="J342" s="4">
        <v>14.55</v>
      </c>
      <c r="K342" s="2">
        <v>131</v>
      </c>
      <c r="L342" s="2">
        <v>4</v>
      </c>
      <c r="M342" s="3">
        <v>15359</v>
      </c>
      <c r="N342" t="str" cm="1">
        <f t="array" ref="N342">_xlfn.IFS(Table1_36[[#This Row],[Patient Satisfaction Score]]&gt;=83,"High",H342&lt;=75,"Low",TRUE,"Moderate")</f>
        <v>Low</v>
      </c>
      <c r="O342" t="str">
        <f t="shared" si="5"/>
        <v>Pediatric</v>
      </c>
    </row>
    <row r="343" spans="1:15">
      <c r="A343" t="s">
        <v>411</v>
      </c>
      <c r="B343" t="s">
        <v>25</v>
      </c>
      <c r="C343" t="s">
        <v>26</v>
      </c>
      <c r="D343" t="s">
        <v>27</v>
      </c>
      <c r="E343" s="2">
        <v>32</v>
      </c>
      <c r="F343" t="s">
        <v>17</v>
      </c>
      <c r="G343" t="s">
        <v>40</v>
      </c>
      <c r="H343" s="2">
        <v>81</v>
      </c>
      <c r="I343" s="3">
        <v>3055</v>
      </c>
      <c r="J343" s="4">
        <v>12.74</v>
      </c>
      <c r="K343" s="2">
        <v>60</v>
      </c>
      <c r="L343" s="2">
        <v>4</v>
      </c>
      <c r="M343" s="3">
        <v>10713</v>
      </c>
      <c r="N343" t="str" cm="1">
        <f t="array" ref="N343">_xlfn.IFS(Table1_36[[#This Row],[Patient Satisfaction Score]]&gt;=83,"High",H343&lt;=75,"Low",TRUE,"Moderate")</f>
        <v>Moderate</v>
      </c>
      <c r="O343" t="str">
        <f t="shared" si="5"/>
        <v>Adult</v>
      </c>
    </row>
    <row r="344" spans="1:15">
      <c r="A344" t="s">
        <v>412</v>
      </c>
      <c r="B344" t="s">
        <v>80</v>
      </c>
      <c r="C344" t="s">
        <v>15</v>
      </c>
      <c r="D344" t="s">
        <v>27</v>
      </c>
      <c r="E344" s="2">
        <v>24</v>
      </c>
      <c r="F344" t="s">
        <v>22</v>
      </c>
      <c r="G344" t="s">
        <v>31</v>
      </c>
      <c r="H344" s="2">
        <v>75</v>
      </c>
      <c r="I344" s="3">
        <v>4868</v>
      </c>
      <c r="J344" s="4">
        <v>20.45</v>
      </c>
      <c r="K344" s="2">
        <v>57</v>
      </c>
      <c r="L344" s="2">
        <v>4</v>
      </c>
      <c r="M344" s="3">
        <v>13334</v>
      </c>
      <c r="N344" t="str" cm="1">
        <f t="array" ref="N344">_xlfn.IFS(Table1_36[[#This Row],[Patient Satisfaction Score]]&gt;=83,"High",H344&lt;=75,"Low",TRUE,"Moderate")</f>
        <v>Low</v>
      </c>
      <c r="O344" t="str">
        <f t="shared" si="5"/>
        <v>Adult</v>
      </c>
    </row>
    <row r="345" spans="1:15">
      <c r="A345" t="s">
        <v>413</v>
      </c>
      <c r="B345" t="s">
        <v>78</v>
      </c>
      <c r="C345" t="s">
        <v>15</v>
      </c>
      <c r="D345" t="s">
        <v>16</v>
      </c>
      <c r="E345" s="2">
        <v>30</v>
      </c>
      <c r="F345" t="s">
        <v>34</v>
      </c>
      <c r="G345" t="s">
        <v>18</v>
      </c>
      <c r="H345" s="2">
        <v>73</v>
      </c>
      <c r="I345" s="3">
        <v>9538</v>
      </c>
      <c r="J345" s="4">
        <v>13.37</v>
      </c>
      <c r="K345" s="2">
        <v>103</v>
      </c>
      <c r="L345" s="2">
        <v>4</v>
      </c>
      <c r="M345" s="3">
        <v>36327</v>
      </c>
      <c r="N345" t="str" cm="1">
        <f t="array" ref="N345">_xlfn.IFS(Table1_36[[#This Row],[Patient Satisfaction Score]]&gt;=83,"High",H345&lt;=75,"Low",TRUE,"Moderate")</f>
        <v>Low</v>
      </c>
      <c r="O345" t="str">
        <f t="shared" si="5"/>
        <v>Adult</v>
      </c>
    </row>
    <row r="346" spans="1:15">
      <c r="A346" t="s">
        <v>414</v>
      </c>
      <c r="B346" t="s">
        <v>64</v>
      </c>
      <c r="C346" t="s">
        <v>30</v>
      </c>
      <c r="D346" t="s">
        <v>16</v>
      </c>
      <c r="E346" s="2">
        <v>48</v>
      </c>
      <c r="F346" t="s">
        <v>22</v>
      </c>
      <c r="G346" t="s">
        <v>18</v>
      </c>
      <c r="H346" s="2">
        <v>66</v>
      </c>
      <c r="I346" s="3">
        <v>4282</v>
      </c>
      <c r="J346" s="4">
        <v>23.79</v>
      </c>
      <c r="K346" s="2">
        <v>120</v>
      </c>
      <c r="L346" s="2">
        <v>3</v>
      </c>
      <c r="M346" s="3">
        <v>21959</v>
      </c>
      <c r="N346" t="str" cm="1">
        <f t="array" ref="N346">_xlfn.IFS(Table1_36[[#This Row],[Patient Satisfaction Score]]&gt;=83,"High",H346&lt;=75,"Low",TRUE,"Moderate")</f>
        <v>Low</v>
      </c>
      <c r="O346" t="str">
        <f t="shared" si="5"/>
        <v>Adult</v>
      </c>
    </row>
    <row r="347" spans="1:15">
      <c r="A347" t="s">
        <v>415</v>
      </c>
      <c r="B347" t="s">
        <v>168</v>
      </c>
      <c r="C347" t="s">
        <v>45</v>
      </c>
      <c r="D347" t="s">
        <v>16</v>
      </c>
      <c r="E347" s="2">
        <v>39</v>
      </c>
      <c r="F347" t="s">
        <v>17</v>
      </c>
      <c r="G347" t="s">
        <v>23</v>
      </c>
      <c r="H347" s="2">
        <v>73</v>
      </c>
      <c r="I347" s="3">
        <v>8087</v>
      </c>
      <c r="J347" s="4">
        <v>10.33</v>
      </c>
      <c r="K347" s="2">
        <v>84</v>
      </c>
      <c r="L347" s="2">
        <v>4</v>
      </c>
      <c r="M347" s="3">
        <v>47692</v>
      </c>
      <c r="N347" t="str" cm="1">
        <f t="array" ref="N347">_xlfn.IFS(Table1_36[[#This Row],[Patient Satisfaction Score]]&gt;=83,"High",H347&lt;=75,"Low",TRUE,"Moderate")</f>
        <v>Low</v>
      </c>
      <c r="O347" t="str">
        <f t="shared" si="5"/>
        <v>Adult</v>
      </c>
    </row>
    <row r="348" spans="1:15">
      <c r="A348" t="s">
        <v>416</v>
      </c>
      <c r="B348" t="s">
        <v>74</v>
      </c>
      <c r="C348" t="s">
        <v>45</v>
      </c>
      <c r="D348" t="s">
        <v>27</v>
      </c>
      <c r="E348" s="2">
        <v>40</v>
      </c>
      <c r="F348" t="s">
        <v>17</v>
      </c>
      <c r="G348" t="s">
        <v>18</v>
      </c>
      <c r="H348" s="2">
        <v>66</v>
      </c>
      <c r="I348" s="3">
        <v>10602</v>
      </c>
      <c r="J348" s="4">
        <v>21.14</v>
      </c>
      <c r="K348" s="2">
        <v>76</v>
      </c>
      <c r="L348" s="2">
        <v>3</v>
      </c>
      <c r="M348" s="3">
        <v>41259</v>
      </c>
      <c r="N348" t="str" cm="1">
        <f t="array" ref="N348">_xlfn.IFS(Table1_36[[#This Row],[Patient Satisfaction Score]]&gt;=83,"High",H348&lt;=75,"Low",TRUE,"Moderate")</f>
        <v>Low</v>
      </c>
      <c r="O348" t="str">
        <f t="shared" si="5"/>
        <v>Adult</v>
      </c>
    </row>
    <row r="349" spans="1:15">
      <c r="A349" t="s">
        <v>417</v>
      </c>
      <c r="B349" t="s">
        <v>64</v>
      </c>
      <c r="C349" t="s">
        <v>30</v>
      </c>
      <c r="D349" t="s">
        <v>16</v>
      </c>
      <c r="E349" s="2">
        <v>28</v>
      </c>
      <c r="F349" t="s">
        <v>22</v>
      </c>
      <c r="G349" t="s">
        <v>70</v>
      </c>
      <c r="H349" s="2">
        <v>79</v>
      </c>
      <c r="I349" s="3">
        <v>2276</v>
      </c>
      <c r="J349" s="4">
        <v>17.489999999999998</v>
      </c>
      <c r="K349" s="2">
        <v>96</v>
      </c>
      <c r="L349" s="2">
        <v>3</v>
      </c>
      <c r="M349" s="3">
        <v>13405</v>
      </c>
      <c r="N349" t="str" cm="1">
        <f t="array" ref="N349">_xlfn.IFS(Table1_36[[#This Row],[Patient Satisfaction Score]]&gt;=83,"High",H349&lt;=75,"Low",TRUE,"Moderate")</f>
        <v>Moderate</v>
      </c>
      <c r="O349" t="str">
        <f t="shared" si="5"/>
        <v>Adult</v>
      </c>
    </row>
    <row r="350" spans="1:15">
      <c r="A350" t="s">
        <v>418</v>
      </c>
      <c r="B350" t="s">
        <v>56</v>
      </c>
      <c r="C350" t="s">
        <v>45</v>
      </c>
      <c r="D350" t="s">
        <v>27</v>
      </c>
      <c r="E350" s="2">
        <v>30</v>
      </c>
      <c r="F350" t="s">
        <v>22</v>
      </c>
      <c r="G350" t="s">
        <v>18</v>
      </c>
      <c r="H350" s="2">
        <v>83</v>
      </c>
      <c r="I350" s="3">
        <v>8015</v>
      </c>
      <c r="J350" s="4">
        <v>15.91</v>
      </c>
      <c r="K350" s="2">
        <v>98</v>
      </c>
      <c r="L350" s="2">
        <v>5</v>
      </c>
      <c r="M350" s="3">
        <v>38229</v>
      </c>
      <c r="N350" t="str" cm="1">
        <f t="array" ref="N350">_xlfn.IFS(Table1_36[[#This Row],[Patient Satisfaction Score]]&gt;=83,"High",H350&lt;=75,"Low",TRUE,"Moderate")</f>
        <v>High</v>
      </c>
      <c r="O350" t="str">
        <f t="shared" si="5"/>
        <v>Adult</v>
      </c>
    </row>
    <row r="351" spans="1:15">
      <c r="A351" t="s">
        <v>419</v>
      </c>
      <c r="B351" t="s">
        <v>150</v>
      </c>
      <c r="C351" t="s">
        <v>48</v>
      </c>
      <c r="D351" t="s">
        <v>16</v>
      </c>
      <c r="E351" s="2">
        <v>68</v>
      </c>
      <c r="F351" t="s">
        <v>17</v>
      </c>
      <c r="G351" t="s">
        <v>31</v>
      </c>
      <c r="H351" s="2">
        <v>79</v>
      </c>
      <c r="I351" s="3">
        <v>4110</v>
      </c>
      <c r="J351" s="4">
        <v>15.7</v>
      </c>
      <c r="K351" s="2">
        <v>95</v>
      </c>
      <c r="L351" s="2">
        <v>3</v>
      </c>
      <c r="M351" s="3">
        <v>22733</v>
      </c>
      <c r="N351" t="str" cm="1">
        <f t="array" ref="N351">_xlfn.IFS(Table1_36[[#This Row],[Patient Satisfaction Score]]&gt;=83,"High",H351&lt;=75,"Low",TRUE,"Moderate")</f>
        <v>Moderate</v>
      </c>
      <c r="O351" t="str">
        <f t="shared" si="5"/>
        <v>Adult</v>
      </c>
    </row>
    <row r="352" spans="1:15">
      <c r="A352" t="s">
        <v>420</v>
      </c>
      <c r="B352" t="s">
        <v>25</v>
      </c>
      <c r="C352" t="s">
        <v>39</v>
      </c>
      <c r="D352" t="s">
        <v>27</v>
      </c>
      <c r="E352" s="2">
        <v>7</v>
      </c>
      <c r="F352" t="s">
        <v>34</v>
      </c>
      <c r="G352" t="s">
        <v>70</v>
      </c>
      <c r="H352" s="2">
        <v>91</v>
      </c>
      <c r="I352" s="3">
        <v>3234</v>
      </c>
      <c r="J352" s="4">
        <v>2.69</v>
      </c>
      <c r="K352" s="2">
        <v>66</v>
      </c>
      <c r="L352" s="2">
        <v>5</v>
      </c>
      <c r="M352" s="3">
        <v>12704</v>
      </c>
      <c r="N352" t="str" cm="1">
        <f t="array" ref="N352">_xlfn.IFS(Table1_36[[#This Row],[Patient Satisfaction Score]]&gt;=83,"High",H352&lt;=75,"Low",TRUE,"Moderate")</f>
        <v>High</v>
      </c>
      <c r="O352" t="str">
        <f t="shared" si="5"/>
        <v>Pediatric</v>
      </c>
    </row>
    <row r="353" spans="1:15">
      <c r="A353" t="s">
        <v>421</v>
      </c>
      <c r="B353" t="s">
        <v>103</v>
      </c>
      <c r="C353" t="s">
        <v>26</v>
      </c>
      <c r="D353" t="s">
        <v>16</v>
      </c>
      <c r="E353" s="2">
        <v>45</v>
      </c>
      <c r="F353" t="s">
        <v>34</v>
      </c>
      <c r="G353" t="s">
        <v>40</v>
      </c>
      <c r="H353" s="2">
        <v>90</v>
      </c>
      <c r="I353" s="3">
        <v>2336</v>
      </c>
      <c r="J353" s="4">
        <v>0</v>
      </c>
      <c r="K353" s="2">
        <v>39</v>
      </c>
      <c r="L353" s="2">
        <v>5</v>
      </c>
      <c r="M353" s="3">
        <v>12706</v>
      </c>
      <c r="N353" t="str" cm="1">
        <f t="array" ref="N353">_xlfn.IFS(Table1_36[[#This Row],[Patient Satisfaction Score]]&gt;=83,"High",H353&lt;=75,"Low",TRUE,"Moderate")</f>
        <v>High</v>
      </c>
      <c r="O353" t="str">
        <f t="shared" si="5"/>
        <v>Adult</v>
      </c>
    </row>
    <row r="354" spans="1:15">
      <c r="A354" t="s">
        <v>422</v>
      </c>
      <c r="B354" t="s">
        <v>36</v>
      </c>
      <c r="C354" t="s">
        <v>21</v>
      </c>
      <c r="D354" t="s">
        <v>16</v>
      </c>
      <c r="E354" s="2">
        <v>56</v>
      </c>
      <c r="F354" t="s">
        <v>34</v>
      </c>
      <c r="G354" t="s">
        <v>49</v>
      </c>
      <c r="H354" s="2">
        <v>80</v>
      </c>
      <c r="I354" s="3">
        <v>6469</v>
      </c>
      <c r="J354" s="4">
        <v>14.3</v>
      </c>
      <c r="K354" s="2">
        <v>69</v>
      </c>
      <c r="L354" s="2">
        <v>4</v>
      </c>
      <c r="M354" s="3">
        <v>36879</v>
      </c>
      <c r="N354" t="str" cm="1">
        <f t="array" ref="N354">_xlfn.IFS(Table1_36[[#This Row],[Patient Satisfaction Score]]&gt;=83,"High",H354&lt;=75,"Low",TRUE,"Moderate")</f>
        <v>Moderate</v>
      </c>
      <c r="O354" t="str">
        <f t="shared" si="5"/>
        <v>Adult</v>
      </c>
    </row>
    <row r="355" spans="1:15">
      <c r="A355" t="s">
        <v>423</v>
      </c>
      <c r="B355" t="s">
        <v>58</v>
      </c>
      <c r="C355" t="s">
        <v>48</v>
      </c>
      <c r="D355" t="s">
        <v>16</v>
      </c>
      <c r="E355" s="2">
        <v>12</v>
      </c>
      <c r="F355" t="s">
        <v>17</v>
      </c>
      <c r="G355" t="s">
        <v>70</v>
      </c>
      <c r="H355" s="2">
        <v>82</v>
      </c>
      <c r="I355" s="3">
        <v>8012</v>
      </c>
      <c r="J355" s="4">
        <v>10.029999999999999</v>
      </c>
      <c r="K355" s="2">
        <v>66</v>
      </c>
      <c r="L355" s="2">
        <v>4</v>
      </c>
      <c r="M355" s="3">
        <v>37227</v>
      </c>
      <c r="N355" t="str" cm="1">
        <f t="array" ref="N355">_xlfn.IFS(Table1_36[[#This Row],[Patient Satisfaction Score]]&gt;=83,"High",H355&lt;=75,"Low",TRUE,"Moderate")</f>
        <v>Moderate</v>
      </c>
      <c r="O355" t="str">
        <f t="shared" si="5"/>
        <v>Pediatric</v>
      </c>
    </row>
    <row r="356" spans="1:15">
      <c r="A356" t="s">
        <v>424</v>
      </c>
      <c r="B356" t="s">
        <v>84</v>
      </c>
      <c r="C356" t="s">
        <v>21</v>
      </c>
      <c r="D356" t="s">
        <v>27</v>
      </c>
      <c r="E356" s="2">
        <v>19</v>
      </c>
      <c r="F356" t="s">
        <v>17</v>
      </c>
      <c r="G356" t="s">
        <v>23</v>
      </c>
      <c r="H356" s="2">
        <v>76</v>
      </c>
      <c r="I356" s="3">
        <v>5846</v>
      </c>
      <c r="J356" s="4">
        <v>16.05</v>
      </c>
      <c r="K356" s="2">
        <v>103</v>
      </c>
      <c r="L356" s="2">
        <v>4</v>
      </c>
      <c r="M356" s="3">
        <v>29730</v>
      </c>
      <c r="N356" t="str" cm="1">
        <f t="array" ref="N356">_xlfn.IFS(Table1_36[[#This Row],[Patient Satisfaction Score]]&gt;=83,"High",H356&lt;=75,"Low",TRUE,"Moderate")</f>
        <v>Moderate</v>
      </c>
      <c r="O356" t="str">
        <f t="shared" si="5"/>
        <v>Adult</v>
      </c>
    </row>
    <row r="357" spans="1:15">
      <c r="A357" t="s">
        <v>425</v>
      </c>
      <c r="B357" t="s">
        <v>25</v>
      </c>
      <c r="C357" t="s">
        <v>39</v>
      </c>
      <c r="D357" t="s">
        <v>27</v>
      </c>
      <c r="E357" s="2">
        <v>13</v>
      </c>
      <c r="F357" t="s">
        <v>22</v>
      </c>
      <c r="G357" t="s">
        <v>31</v>
      </c>
      <c r="H357" s="2">
        <v>94</v>
      </c>
      <c r="I357" s="3">
        <v>4023</v>
      </c>
      <c r="J357" s="4">
        <v>6.8</v>
      </c>
      <c r="K357" s="2">
        <v>42</v>
      </c>
      <c r="L357" s="2">
        <v>5</v>
      </c>
      <c r="M357" s="3">
        <v>11200</v>
      </c>
      <c r="N357" t="str" cm="1">
        <f t="array" ref="N357">_xlfn.IFS(Table1_36[[#This Row],[Patient Satisfaction Score]]&gt;=83,"High",H357&lt;=75,"Low",TRUE,"Moderate")</f>
        <v>High</v>
      </c>
      <c r="O357" t="str">
        <f t="shared" si="5"/>
        <v>Pediatric</v>
      </c>
    </row>
    <row r="358" spans="1:15">
      <c r="A358" t="s">
        <v>426</v>
      </c>
      <c r="B358" t="s">
        <v>33</v>
      </c>
      <c r="C358" t="s">
        <v>26</v>
      </c>
      <c r="D358" t="s">
        <v>16</v>
      </c>
      <c r="E358" s="2">
        <v>54</v>
      </c>
      <c r="F358" t="s">
        <v>34</v>
      </c>
      <c r="G358" t="s">
        <v>70</v>
      </c>
      <c r="H358" s="2">
        <v>87</v>
      </c>
      <c r="I358" s="3">
        <v>2537</v>
      </c>
      <c r="J358" s="4">
        <v>7.97</v>
      </c>
      <c r="K358" s="2">
        <v>54</v>
      </c>
      <c r="L358" s="2">
        <v>4</v>
      </c>
      <c r="M358" s="3">
        <v>12938</v>
      </c>
      <c r="N358" t="str" cm="1">
        <f t="array" ref="N358">_xlfn.IFS(Table1_36[[#This Row],[Patient Satisfaction Score]]&gt;=83,"High",H358&lt;=75,"Low",TRUE,"Moderate")</f>
        <v>High</v>
      </c>
      <c r="O358" t="str">
        <f t="shared" si="5"/>
        <v>Adult</v>
      </c>
    </row>
    <row r="359" spans="1:15">
      <c r="A359" t="s">
        <v>427</v>
      </c>
      <c r="B359" t="s">
        <v>64</v>
      </c>
      <c r="C359" t="s">
        <v>30</v>
      </c>
      <c r="D359" t="s">
        <v>16</v>
      </c>
      <c r="E359" s="2">
        <v>48</v>
      </c>
      <c r="F359" t="s">
        <v>34</v>
      </c>
      <c r="G359" t="s">
        <v>40</v>
      </c>
      <c r="H359" s="2">
        <v>70</v>
      </c>
      <c r="I359" s="3">
        <v>3370</v>
      </c>
      <c r="J359" s="4">
        <v>15.52</v>
      </c>
      <c r="K359" s="2">
        <v>144</v>
      </c>
      <c r="L359" s="2">
        <v>4</v>
      </c>
      <c r="M359" s="3">
        <v>14774</v>
      </c>
      <c r="N359" t="str" cm="1">
        <f t="array" ref="N359">_xlfn.IFS(Table1_36[[#This Row],[Patient Satisfaction Score]]&gt;=83,"High",H359&lt;=75,"Low",TRUE,"Moderate")</f>
        <v>Low</v>
      </c>
      <c r="O359" t="str">
        <f t="shared" si="5"/>
        <v>Adult</v>
      </c>
    </row>
    <row r="360" spans="1:15">
      <c r="A360" t="s">
        <v>428</v>
      </c>
      <c r="B360" t="s">
        <v>109</v>
      </c>
      <c r="C360" t="s">
        <v>30</v>
      </c>
      <c r="D360" t="s">
        <v>16</v>
      </c>
      <c r="E360" s="2">
        <v>29</v>
      </c>
      <c r="F360" t="s">
        <v>34</v>
      </c>
      <c r="G360" t="s">
        <v>40</v>
      </c>
      <c r="H360" s="2">
        <v>73</v>
      </c>
      <c r="I360" s="3">
        <v>3712</v>
      </c>
      <c r="J360" s="4">
        <v>20.89</v>
      </c>
      <c r="K360" s="2">
        <v>82</v>
      </c>
      <c r="L360" s="2">
        <v>4</v>
      </c>
      <c r="M360" s="3">
        <v>17468</v>
      </c>
      <c r="N360" t="str" cm="1">
        <f t="array" ref="N360">_xlfn.IFS(Table1_36[[#This Row],[Patient Satisfaction Score]]&gt;=83,"High",H360&lt;=75,"Low",TRUE,"Moderate")</f>
        <v>Low</v>
      </c>
      <c r="O360" t="str">
        <f t="shared" si="5"/>
        <v>Adult</v>
      </c>
    </row>
    <row r="361" spans="1:15">
      <c r="A361" t="s">
        <v>429</v>
      </c>
      <c r="B361" t="s">
        <v>20</v>
      </c>
      <c r="C361" t="s">
        <v>21</v>
      </c>
      <c r="D361" t="s">
        <v>27</v>
      </c>
      <c r="E361" s="2">
        <v>61</v>
      </c>
      <c r="F361" t="s">
        <v>22</v>
      </c>
      <c r="G361" t="s">
        <v>31</v>
      </c>
      <c r="H361" s="2">
        <v>86</v>
      </c>
      <c r="I361" s="3">
        <v>4400</v>
      </c>
      <c r="J361" s="4">
        <v>6.86</v>
      </c>
      <c r="K361" s="2">
        <v>69</v>
      </c>
      <c r="L361" s="2">
        <v>4</v>
      </c>
      <c r="M361" s="3">
        <v>11985</v>
      </c>
      <c r="N361" t="str" cm="1">
        <f t="array" ref="N361">_xlfn.IFS(Table1_36[[#This Row],[Patient Satisfaction Score]]&gt;=83,"High",H361&lt;=75,"Low",TRUE,"Moderate")</f>
        <v>High</v>
      </c>
      <c r="O361" t="str">
        <f t="shared" si="5"/>
        <v>Adult</v>
      </c>
    </row>
    <row r="362" spans="1:15">
      <c r="A362" t="s">
        <v>430</v>
      </c>
      <c r="B362" t="s">
        <v>74</v>
      </c>
      <c r="C362" t="s">
        <v>45</v>
      </c>
      <c r="D362" t="s">
        <v>27</v>
      </c>
      <c r="E362" s="2">
        <v>34</v>
      </c>
      <c r="F362" t="s">
        <v>17</v>
      </c>
      <c r="G362" t="s">
        <v>31</v>
      </c>
      <c r="H362" s="2">
        <v>73</v>
      </c>
      <c r="I362" s="3">
        <v>8303</v>
      </c>
      <c r="J362" s="4">
        <v>16.82</v>
      </c>
      <c r="K362" s="2">
        <v>112</v>
      </c>
      <c r="L362" s="2">
        <v>3</v>
      </c>
      <c r="M362" s="3">
        <v>22390</v>
      </c>
      <c r="N362" t="str" cm="1">
        <f t="array" ref="N362">_xlfn.IFS(Table1_36[[#This Row],[Patient Satisfaction Score]]&gt;=83,"High",H362&lt;=75,"Low",TRUE,"Moderate")</f>
        <v>Low</v>
      </c>
      <c r="O362" t="str">
        <f t="shared" si="5"/>
        <v>Adult</v>
      </c>
    </row>
    <row r="363" spans="1:15">
      <c r="A363" t="s">
        <v>431</v>
      </c>
      <c r="B363" t="s">
        <v>25</v>
      </c>
      <c r="C363" t="s">
        <v>39</v>
      </c>
      <c r="D363" t="s">
        <v>27</v>
      </c>
      <c r="E363" s="2">
        <v>10</v>
      </c>
      <c r="F363" t="s">
        <v>22</v>
      </c>
      <c r="G363" t="s">
        <v>23</v>
      </c>
      <c r="H363" s="2">
        <v>93</v>
      </c>
      <c r="I363" s="3">
        <v>3151</v>
      </c>
      <c r="J363" s="4">
        <v>6.5</v>
      </c>
      <c r="K363" s="2">
        <v>59</v>
      </c>
      <c r="L363" s="2">
        <v>4</v>
      </c>
      <c r="M363" s="3">
        <v>10747</v>
      </c>
      <c r="N363" t="str" cm="1">
        <f t="array" ref="N363">_xlfn.IFS(Table1_36[[#This Row],[Patient Satisfaction Score]]&gt;=83,"High",H363&lt;=75,"Low",TRUE,"Moderate")</f>
        <v>High</v>
      </c>
      <c r="O363" t="str">
        <f t="shared" si="5"/>
        <v>Pediatric</v>
      </c>
    </row>
    <row r="364" spans="1:15">
      <c r="A364" t="s">
        <v>432</v>
      </c>
      <c r="B364" t="s">
        <v>36</v>
      </c>
      <c r="C364" t="s">
        <v>21</v>
      </c>
      <c r="D364" t="s">
        <v>16</v>
      </c>
      <c r="E364" s="2">
        <v>39</v>
      </c>
      <c r="F364" t="s">
        <v>34</v>
      </c>
      <c r="G364" t="s">
        <v>70</v>
      </c>
      <c r="H364" s="2">
        <v>79</v>
      </c>
      <c r="I364" s="3">
        <v>7527</v>
      </c>
      <c r="J364" s="4">
        <v>16.36</v>
      </c>
      <c r="K364" s="2">
        <v>84</v>
      </c>
      <c r="L364" s="2">
        <v>4</v>
      </c>
      <c r="M364" s="3">
        <v>21726</v>
      </c>
      <c r="N364" t="str" cm="1">
        <f t="array" ref="N364">_xlfn.IFS(Table1_36[[#This Row],[Patient Satisfaction Score]]&gt;=83,"High",H364&lt;=75,"Low",TRUE,"Moderate")</f>
        <v>Moderate</v>
      </c>
      <c r="O364" t="str">
        <f t="shared" si="5"/>
        <v>Adult</v>
      </c>
    </row>
    <row r="365" spans="1:15">
      <c r="A365" t="s">
        <v>433</v>
      </c>
      <c r="B365" t="s">
        <v>78</v>
      </c>
      <c r="C365" t="s">
        <v>15</v>
      </c>
      <c r="D365" t="s">
        <v>27</v>
      </c>
      <c r="E365" s="2">
        <v>24</v>
      </c>
      <c r="F365" t="s">
        <v>34</v>
      </c>
      <c r="G365" t="s">
        <v>70</v>
      </c>
      <c r="H365" s="2">
        <v>72</v>
      </c>
      <c r="I365" s="3">
        <v>7139</v>
      </c>
      <c r="J365" s="4">
        <v>9.36</v>
      </c>
      <c r="K365" s="2">
        <v>62</v>
      </c>
      <c r="L365" s="2">
        <v>4</v>
      </c>
      <c r="M365" s="3">
        <v>26687</v>
      </c>
      <c r="N365" t="str" cm="1">
        <f t="array" ref="N365">_xlfn.IFS(Table1_36[[#This Row],[Patient Satisfaction Score]]&gt;=83,"High",H365&lt;=75,"Low",TRUE,"Moderate")</f>
        <v>Low</v>
      </c>
      <c r="O365" t="str">
        <f t="shared" si="5"/>
        <v>Adult</v>
      </c>
    </row>
    <row r="366" spans="1:15">
      <c r="A366" t="s">
        <v>434</v>
      </c>
      <c r="B366" t="s">
        <v>25</v>
      </c>
      <c r="C366" t="s">
        <v>39</v>
      </c>
      <c r="D366" t="s">
        <v>27</v>
      </c>
      <c r="E366" s="2">
        <v>6</v>
      </c>
      <c r="F366" t="s">
        <v>17</v>
      </c>
      <c r="G366" t="s">
        <v>23</v>
      </c>
      <c r="H366" s="2">
        <v>82</v>
      </c>
      <c r="I366" s="3">
        <v>3329</v>
      </c>
      <c r="J366" s="4">
        <v>6.98</v>
      </c>
      <c r="K366" s="2">
        <v>70</v>
      </c>
      <c r="L366" s="2">
        <v>4</v>
      </c>
      <c r="M366" s="3">
        <v>12452</v>
      </c>
      <c r="N366" t="str" cm="1">
        <f t="array" ref="N366">_xlfn.IFS(Table1_36[[#This Row],[Patient Satisfaction Score]]&gt;=83,"High",H366&lt;=75,"Low",TRUE,"Moderate")</f>
        <v>Moderate</v>
      </c>
      <c r="O366" t="str">
        <f t="shared" si="5"/>
        <v>Pediatric</v>
      </c>
    </row>
    <row r="367" spans="1:15">
      <c r="A367" t="s">
        <v>435</v>
      </c>
      <c r="B367" t="s">
        <v>36</v>
      </c>
      <c r="C367" t="s">
        <v>21</v>
      </c>
      <c r="D367" t="s">
        <v>16</v>
      </c>
      <c r="E367" s="2">
        <v>59</v>
      </c>
      <c r="F367" t="s">
        <v>22</v>
      </c>
      <c r="G367" t="s">
        <v>23</v>
      </c>
      <c r="H367" s="2">
        <v>74</v>
      </c>
      <c r="I367" s="3">
        <v>7884</v>
      </c>
      <c r="J367" s="4">
        <v>6.44</v>
      </c>
      <c r="K367" s="2">
        <v>90</v>
      </c>
      <c r="L367" s="2">
        <v>4</v>
      </c>
      <c r="M367" s="3">
        <v>43408</v>
      </c>
      <c r="N367" t="str" cm="1">
        <f t="array" ref="N367">_xlfn.IFS(Table1_36[[#This Row],[Patient Satisfaction Score]]&gt;=83,"High",H367&lt;=75,"Low",TRUE,"Moderate")</f>
        <v>Low</v>
      </c>
      <c r="O367" t="str">
        <f t="shared" si="5"/>
        <v>Adult</v>
      </c>
    </row>
    <row r="368" spans="1:15">
      <c r="A368" t="s">
        <v>436</v>
      </c>
      <c r="B368" t="s">
        <v>150</v>
      </c>
      <c r="C368" t="s">
        <v>48</v>
      </c>
      <c r="D368" t="s">
        <v>16</v>
      </c>
      <c r="E368" s="2">
        <v>63</v>
      </c>
      <c r="F368" t="s">
        <v>17</v>
      </c>
      <c r="G368" t="s">
        <v>49</v>
      </c>
      <c r="H368" s="2">
        <v>88</v>
      </c>
      <c r="I368" s="3">
        <v>6504</v>
      </c>
      <c r="J368" s="4">
        <v>14.43</v>
      </c>
      <c r="K368" s="2">
        <v>84</v>
      </c>
      <c r="L368" s="2">
        <v>4</v>
      </c>
      <c r="M368" s="3">
        <v>19910</v>
      </c>
      <c r="N368" t="str" cm="1">
        <f t="array" ref="N368">_xlfn.IFS(Table1_36[[#This Row],[Patient Satisfaction Score]]&gt;=83,"High",H368&lt;=75,"Low",TRUE,"Moderate")</f>
        <v>High</v>
      </c>
      <c r="O368" t="str">
        <f t="shared" si="5"/>
        <v>Adult</v>
      </c>
    </row>
    <row r="369" spans="1:15">
      <c r="A369" t="s">
        <v>437</v>
      </c>
      <c r="B369" t="s">
        <v>122</v>
      </c>
      <c r="C369" t="s">
        <v>48</v>
      </c>
      <c r="D369" t="s">
        <v>27</v>
      </c>
      <c r="E369" s="2">
        <v>25</v>
      </c>
      <c r="F369" t="s">
        <v>17</v>
      </c>
      <c r="G369" t="s">
        <v>23</v>
      </c>
      <c r="H369" s="2">
        <v>77</v>
      </c>
      <c r="I369" s="3">
        <v>4755</v>
      </c>
      <c r="J369" s="4">
        <v>14.98</v>
      </c>
      <c r="K369" s="2">
        <v>85</v>
      </c>
      <c r="L369" s="2">
        <v>5</v>
      </c>
      <c r="M369" s="3">
        <v>14572</v>
      </c>
      <c r="N369" t="str" cm="1">
        <f t="array" ref="N369">_xlfn.IFS(Table1_36[[#This Row],[Patient Satisfaction Score]]&gt;=83,"High",H369&lt;=75,"Low",TRUE,"Moderate")</f>
        <v>Moderate</v>
      </c>
      <c r="O369" t="str">
        <f t="shared" si="5"/>
        <v>Adult</v>
      </c>
    </row>
    <row r="370" spans="1:15">
      <c r="A370" t="s">
        <v>438</v>
      </c>
      <c r="B370" t="s">
        <v>68</v>
      </c>
      <c r="C370" t="s">
        <v>45</v>
      </c>
      <c r="D370" t="s">
        <v>16</v>
      </c>
      <c r="E370" s="2">
        <v>30</v>
      </c>
      <c r="F370" t="s">
        <v>34</v>
      </c>
      <c r="G370" t="s">
        <v>23</v>
      </c>
      <c r="H370" s="2">
        <v>91</v>
      </c>
      <c r="I370" s="3">
        <v>8609</v>
      </c>
      <c r="J370" s="4">
        <v>15.77</v>
      </c>
      <c r="K370" s="2">
        <v>69</v>
      </c>
      <c r="L370" s="2">
        <v>5</v>
      </c>
      <c r="M370" s="3">
        <v>28915</v>
      </c>
      <c r="N370" t="str" cm="1">
        <f t="array" ref="N370">_xlfn.IFS(Table1_36[[#This Row],[Patient Satisfaction Score]]&gt;=83,"High",H370&lt;=75,"Low",TRUE,"Moderate")</f>
        <v>High</v>
      </c>
      <c r="O370" t="str">
        <f t="shared" si="5"/>
        <v>Adult</v>
      </c>
    </row>
    <row r="371" spans="1:15">
      <c r="A371" t="s">
        <v>439</v>
      </c>
      <c r="B371" t="s">
        <v>25</v>
      </c>
      <c r="C371" t="s">
        <v>39</v>
      </c>
      <c r="D371" t="s">
        <v>16</v>
      </c>
      <c r="E371" s="2">
        <v>13</v>
      </c>
      <c r="F371" t="s">
        <v>22</v>
      </c>
      <c r="G371" t="s">
        <v>49</v>
      </c>
      <c r="H371" s="2">
        <v>87</v>
      </c>
      <c r="I371" s="3">
        <v>2557</v>
      </c>
      <c r="J371" s="4">
        <v>5.21</v>
      </c>
      <c r="K371" s="2">
        <v>48</v>
      </c>
      <c r="L371" s="2">
        <v>5</v>
      </c>
      <c r="M371" s="3">
        <v>11376</v>
      </c>
      <c r="N371" t="str" cm="1">
        <f t="array" ref="N371">_xlfn.IFS(Table1_36[[#This Row],[Patient Satisfaction Score]]&gt;=83,"High",H371&lt;=75,"Low",TRUE,"Moderate")</f>
        <v>High</v>
      </c>
      <c r="O371" t="str">
        <f t="shared" si="5"/>
        <v>Pediatric</v>
      </c>
    </row>
    <row r="372" spans="1:15">
      <c r="A372" t="s">
        <v>440</v>
      </c>
      <c r="B372" t="s">
        <v>150</v>
      </c>
      <c r="C372" t="s">
        <v>48</v>
      </c>
      <c r="D372" t="s">
        <v>16</v>
      </c>
      <c r="E372" s="2">
        <v>13</v>
      </c>
      <c r="F372" t="s">
        <v>22</v>
      </c>
      <c r="G372" t="s">
        <v>31</v>
      </c>
      <c r="H372" s="2">
        <v>79</v>
      </c>
      <c r="I372" s="3">
        <v>8245</v>
      </c>
      <c r="J372" s="4">
        <v>13.56</v>
      </c>
      <c r="K372" s="2">
        <v>37</v>
      </c>
      <c r="L372" s="2">
        <v>4</v>
      </c>
      <c r="M372" s="3">
        <v>35044</v>
      </c>
      <c r="N372" t="str" cm="1">
        <f t="array" ref="N372">_xlfn.IFS(Table1_36[[#This Row],[Patient Satisfaction Score]]&gt;=83,"High",H372&lt;=75,"Low",TRUE,"Moderate")</f>
        <v>Moderate</v>
      </c>
      <c r="O372" t="str">
        <f t="shared" si="5"/>
        <v>Pediatric</v>
      </c>
    </row>
    <row r="373" spans="1:15">
      <c r="A373" t="s">
        <v>441</v>
      </c>
      <c r="B373" t="s">
        <v>129</v>
      </c>
      <c r="C373" t="s">
        <v>21</v>
      </c>
      <c r="D373" t="s">
        <v>16</v>
      </c>
      <c r="E373" s="2">
        <v>65</v>
      </c>
      <c r="F373" t="s">
        <v>17</v>
      </c>
      <c r="G373" t="s">
        <v>18</v>
      </c>
      <c r="H373" s="2">
        <v>74</v>
      </c>
      <c r="I373" s="3">
        <v>7213</v>
      </c>
      <c r="J373" s="4">
        <v>23.88</v>
      </c>
      <c r="K373" s="2">
        <v>85</v>
      </c>
      <c r="L373" s="2">
        <v>3</v>
      </c>
      <c r="M373" s="3">
        <v>20991</v>
      </c>
      <c r="N373" t="str" cm="1">
        <f t="array" ref="N373">_xlfn.IFS(Table1_36[[#This Row],[Patient Satisfaction Score]]&gt;=83,"High",H373&lt;=75,"Low",TRUE,"Moderate")</f>
        <v>Low</v>
      </c>
      <c r="O373" t="str">
        <f t="shared" si="5"/>
        <v>Adult</v>
      </c>
    </row>
    <row r="374" spans="1:15">
      <c r="A374" t="s">
        <v>442</v>
      </c>
      <c r="B374" t="s">
        <v>143</v>
      </c>
      <c r="C374" t="s">
        <v>21</v>
      </c>
      <c r="D374" t="s">
        <v>16</v>
      </c>
      <c r="E374" s="2">
        <v>27</v>
      </c>
      <c r="F374" t="s">
        <v>17</v>
      </c>
      <c r="G374" t="s">
        <v>40</v>
      </c>
      <c r="H374" s="2">
        <v>80</v>
      </c>
      <c r="I374" s="3">
        <v>5205</v>
      </c>
      <c r="J374" s="4">
        <v>17.600000000000001</v>
      </c>
      <c r="K374" s="2">
        <v>81</v>
      </c>
      <c r="L374" s="2">
        <v>4</v>
      </c>
      <c r="M374" s="3">
        <v>16734</v>
      </c>
      <c r="N374" t="str" cm="1">
        <f t="array" ref="N374">_xlfn.IFS(Table1_36[[#This Row],[Patient Satisfaction Score]]&gt;=83,"High",H374&lt;=75,"Low",TRUE,"Moderate")</f>
        <v>Moderate</v>
      </c>
      <c r="O374" t="str">
        <f t="shared" si="5"/>
        <v>Adult</v>
      </c>
    </row>
    <row r="375" spans="1:15">
      <c r="A375" t="s">
        <v>443</v>
      </c>
      <c r="B375" t="s">
        <v>54</v>
      </c>
      <c r="C375" t="s">
        <v>39</v>
      </c>
      <c r="D375" t="s">
        <v>16</v>
      </c>
      <c r="E375" s="2">
        <v>4</v>
      </c>
      <c r="F375" t="s">
        <v>22</v>
      </c>
      <c r="G375" t="s">
        <v>18</v>
      </c>
      <c r="H375" s="2">
        <v>95</v>
      </c>
      <c r="I375" s="3">
        <v>2972</v>
      </c>
      <c r="J375" s="4">
        <v>4.9400000000000004</v>
      </c>
      <c r="K375" s="2">
        <v>65</v>
      </c>
      <c r="L375" s="2">
        <v>5</v>
      </c>
      <c r="M375" s="3">
        <v>14593</v>
      </c>
      <c r="N375" t="str" cm="1">
        <f t="array" ref="N375">_xlfn.IFS(Table1_36[[#This Row],[Patient Satisfaction Score]]&gt;=83,"High",H375&lt;=75,"Low",TRUE,"Moderate")</f>
        <v>High</v>
      </c>
      <c r="O375" t="str">
        <f t="shared" si="5"/>
        <v>Pediatric</v>
      </c>
    </row>
    <row r="376" spans="1:15">
      <c r="A376" t="s">
        <v>444</v>
      </c>
      <c r="B376" t="s">
        <v>14</v>
      </c>
      <c r="C376" t="s">
        <v>15</v>
      </c>
      <c r="D376" t="s">
        <v>27</v>
      </c>
      <c r="E376" s="2">
        <v>50</v>
      </c>
      <c r="F376" t="s">
        <v>22</v>
      </c>
      <c r="G376" t="s">
        <v>31</v>
      </c>
      <c r="H376" s="2">
        <v>71</v>
      </c>
      <c r="I376" s="3">
        <v>7520</v>
      </c>
      <c r="J376" s="4">
        <v>17.559999999999999</v>
      </c>
      <c r="K376" s="2">
        <v>120</v>
      </c>
      <c r="L376" s="2">
        <v>4</v>
      </c>
      <c r="M376" s="3">
        <v>27581</v>
      </c>
      <c r="N376" t="str" cm="1">
        <f t="array" ref="N376">_xlfn.IFS(Table1_36[[#This Row],[Patient Satisfaction Score]]&gt;=83,"High",H376&lt;=75,"Low",TRUE,"Moderate")</f>
        <v>Low</v>
      </c>
      <c r="O376" t="str">
        <f t="shared" si="5"/>
        <v>Adult</v>
      </c>
    </row>
    <row r="377" spans="1:15">
      <c r="A377" t="s">
        <v>445</v>
      </c>
      <c r="B377" t="s">
        <v>44</v>
      </c>
      <c r="C377" t="s">
        <v>45</v>
      </c>
      <c r="D377" t="s">
        <v>27</v>
      </c>
      <c r="E377" s="2">
        <v>40</v>
      </c>
      <c r="F377" t="s">
        <v>34</v>
      </c>
      <c r="G377" t="s">
        <v>49</v>
      </c>
      <c r="H377" s="2">
        <v>71</v>
      </c>
      <c r="I377" s="3">
        <v>9600</v>
      </c>
      <c r="J377" s="4">
        <v>15.81</v>
      </c>
      <c r="K377" s="2">
        <v>123</v>
      </c>
      <c r="L377" s="2">
        <v>4</v>
      </c>
      <c r="M377" s="3">
        <v>26543</v>
      </c>
      <c r="N377" t="str" cm="1">
        <f t="array" ref="N377">_xlfn.IFS(Table1_36[[#This Row],[Patient Satisfaction Score]]&gt;=83,"High",H377&lt;=75,"Low",TRUE,"Moderate")</f>
        <v>Low</v>
      </c>
      <c r="O377" t="str">
        <f t="shared" si="5"/>
        <v>Adult</v>
      </c>
    </row>
    <row r="378" spans="1:15">
      <c r="A378" t="s">
        <v>446</v>
      </c>
      <c r="B378" t="s">
        <v>54</v>
      </c>
      <c r="C378" t="s">
        <v>15</v>
      </c>
      <c r="D378" t="s">
        <v>72</v>
      </c>
      <c r="E378" s="2">
        <v>69</v>
      </c>
      <c r="F378" t="s">
        <v>22</v>
      </c>
      <c r="G378" t="s">
        <v>23</v>
      </c>
      <c r="H378" s="2">
        <v>82</v>
      </c>
      <c r="I378" s="3">
        <v>6940</v>
      </c>
      <c r="J378" s="4">
        <v>16.23</v>
      </c>
      <c r="K378" s="2">
        <v>75</v>
      </c>
      <c r="L378" s="2">
        <v>3</v>
      </c>
      <c r="M378" s="3">
        <v>40864</v>
      </c>
      <c r="N378" t="str" cm="1">
        <f t="array" ref="N378">_xlfn.IFS(Table1_36[[#This Row],[Patient Satisfaction Score]]&gt;=83,"High",H378&lt;=75,"Low",TRUE,"Moderate")</f>
        <v>Moderate</v>
      </c>
      <c r="O378" t="str">
        <f t="shared" si="5"/>
        <v>Adult</v>
      </c>
    </row>
    <row r="379" spans="1:15">
      <c r="A379" t="s">
        <v>447</v>
      </c>
      <c r="B379" t="s">
        <v>168</v>
      </c>
      <c r="C379" t="s">
        <v>45</v>
      </c>
      <c r="D379" t="s">
        <v>16</v>
      </c>
      <c r="E379" s="2">
        <v>48</v>
      </c>
      <c r="F379" t="s">
        <v>34</v>
      </c>
      <c r="G379" t="s">
        <v>18</v>
      </c>
      <c r="H379" s="2">
        <v>76</v>
      </c>
      <c r="I379" s="3">
        <v>8650</v>
      </c>
      <c r="J379" s="4">
        <v>14.35</v>
      </c>
      <c r="K379" s="2">
        <v>83</v>
      </c>
      <c r="L379" s="2">
        <v>4</v>
      </c>
      <c r="M379" s="3">
        <v>51814</v>
      </c>
      <c r="N379" t="str" cm="1">
        <f t="array" ref="N379">_xlfn.IFS(Table1_36[[#This Row],[Patient Satisfaction Score]]&gt;=83,"High",H379&lt;=75,"Low",TRUE,"Moderate")</f>
        <v>Moderate</v>
      </c>
      <c r="O379" t="str">
        <f t="shared" si="5"/>
        <v>Adult</v>
      </c>
    </row>
    <row r="380" spans="1:15">
      <c r="A380" t="s">
        <v>448</v>
      </c>
      <c r="B380" t="s">
        <v>143</v>
      </c>
      <c r="C380" t="s">
        <v>21</v>
      </c>
      <c r="D380" t="s">
        <v>27</v>
      </c>
      <c r="E380" s="2">
        <v>7</v>
      </c>
      <c r="F380" t="s">
        <v>17</v>
      </c>
      <c r="G380" t="s">
        <v>23</v>
      </c>
      <c r="H380" s="2">
        <v>74</v>
      </c>
      <c r="I380" s="3">
        <v>5674</v>
      </c>
      <c r="J380" s="4">
        <v>10.24</v>
      </c>
      <c r="K380" s="2">
        <v>102</v>
      </c>
      <c r="L380" s="2">
        <v>4</v>
      </c>
      <c r="M380" s="3">
        <v>21524</v>
      </c>
      <c r="N380" t="str" cm="1">
        <f t="array" ref="N380">_xlfn.IFS(Table1_36[[#This Row],[Patient Satisfaction Score]]&gt;=83,"High",H380&lt;=75,"Low",TRUE,"Moderate")</f>
        <v>Low</v>
      </c>
      <c r="O380" t="str">
        <f t="shared" si="5"/>
        <v>Pediatric</v>
      </c>
    </row>
    <row r="381" spans="1:15">
      <c r="A381" t="s">
        <v>449</v>
      </c>
      <c r="B381" t="s">
        <v>129</v>
      </c>
      <c r="C381" t="s">
        <v>21</v>
      </c>
      <c r="D381" t="s">
        <v>27</v>
      </c>
      <c r="E381" s="2">
        <v>80</v>
      </c>
      <c r="F381" t="s">
        <v>34</v>
      </c>
      <c r="G381" t="s">
        <v>31</v>
      </c>
      <c r="H381" s="2">
        <v>74</v>
      </c>
      <c r="I381" s="3">
        <v>8176</v>
      </c>
      <c r="J381" s="4">
        <v>18.87</v>
      </c>
      <c r="K381" s="2">
        <v>84</v>
      </c>
      <c r="L381" s="2">
        <v>5</v>
      </c>
      <c r="M381" s="3">
        <v>20592</v>
      </c>
      <c r="N381" t="str" cm="1">
        <f t="array" ref="N381">_xlfn.IFS(Table1_36[[#This Row],[Patient Satisfaction Score]]&gt;=83,"High",H381&lt;=75,"Low",TRUE,"Moderate")</f>
        <v>Low</v>
      </c>
      <c r="O381" t="str">
        <f t="shared" si="5"/>
        <v>Adult</v>
      </c>
    </row>
    <row r="382" spans="1:15">
      <c r="A382" t="s">
        <v>450</v>
      </c>
      <c r="B382" t="s">
        <v>62</v>
      </c>
      <c r="C382" t="s">
        <v>52</v>
      </c>
      <c r="D382" t="s">
        <v>16</v>
      </c>
      <c r="E382" s="2">
        <v>56</v>
      </c>
      <c r="F382" t="s">
        <v>22</v>
      </c>
      <c r="G382" t="s">
        <v>40</v>
      </c>
      <c r="H382" s="2">
        <v>78</v>
      </c>
      <c r="I382" s="3">
        <v>6825</v>
      </c>
      <c r="J382" s="4">
        <v>14.33</v>
      </c>
      <c r="K382" s="2">
        <v>93</v>
      </c>
      <c r="L382" s="2">
        <v>4</v>
      </c>
      <c r="M382" s="3">
        <v>35741</v>
      </c>
      <c r="N382" t="str" cm="1">
        <f t="array" ref="N382">_xlfn.IFS(Table1_36[[#This Row],[Patient Satisfaction Score]]&gt;=83,"High",H382&lt;=75,"Low",TRUE,"Moderate")</f>
        <v>Moderate</v>
      </c>
      <c r="O382" t="str">
        <f t="shared" si="5"/>
        <v>Adult</v>
      </c>
    </row>
    <row r="383" spans="1:15">
      <c r="A383" t="s">
        <v>451</v>
      </c>
      <c r="B383" t="s">
        <v>80</v>
      </c>
      <c r="C383" t="s">
        <v>15</v>
      </c>
      <c r="D383" t="s">
        <v>27</v>
      </c>
      <c r="E383" s="2">
        <v>60</v>
      </c>
      <c r="F383" t="s">
        <v>22</v>
      </c>
      <c r="G383" t="s">
        <v>40</v>
      </c>
      <c r="H383" s="2">
        <v>80</v>
      </c>
      <c r="I383" s="3">
        <v>5398</v>
      </c>
      <c r="J383" s="4">
        <v>16.23</v>
      </c>
      <c r="K383" s="2">
        <v>97</v>
      </c>
      <c r="L383" s="2">
        <v>5</v>
      </c>
      <c r="M383" s="3">
        <v>27518</v>
      </c>
      <c r="N383" t="str" cm="1">
        <f t="array" ref="N383">_xlfn.IFS(Table1_36[[#This Row],[Patient Satisfaction Score]]&gt;=83,"High",H383&lt;=75,"Low",TRUE,"Moderate")</f>
        <v>Moderate</v>
      </c>
      <c r="O383" t="str">
        <f t="shared" si="5"/>
        <v>Adult</v>
      </c>
    </row>
    <row r="384" spans="1:15">
      <c r="A384" t="s">
        <v>452</v>
      </c>
      <c r="B384" t="s">
        <v>129</v>
      </c>
      <c r="C384" t="s">
        <v>21</v>
      </c>
      <c r="D384" t="s">
        <v>16</v>
      </c>
      <c r="E384" s="2">
        <v>36</v>
      </c>
      <c r="F384" t="s">
        <v>17</v>
      </c>
      <c r="G384" t="s">
        <v>49</v>
      </c>
      <c r="H384" s="2">
        <v>78</v>
      </c>
      <c r="I384" s="3">
        <v>6885</v>
      </c>
      <c r="J384" s="4">
        <v>16.850000000000001</v>
      </c>
      <c r="K384" s="2">
        <v>80</v>
      </c>
      <c r="L384" s="2">
        <v>4</v>
      </c>
      <c r="M384" s="3">
        <v>31602</v>
      </c>
      <c r="N384" t="str" cm="1">
        <f t="array" ref="N384">_xlfn.IFS(Table1_36[[#This Row],[Patient Satisfaction Score]]&gt;=83,"High",H384&lt;=75,"Low",TRUE,"Moderate")</f>
        <v>Moderate</v>
      </c>
      <c r="O384" t="str">
        <f t="shared" si="5"/>
        <v>Adult</v>
      </c>
    </row>
    <row r="385" spans="1:15">
      <c r="A385" t="s">
        <v>453</v>
      </c>
      <c r="B385" t="s">
        <v>84</v>
      </c>
      <c r="C385" t="s">
        <v>21</v>
      </c>
      <c r="D385" t="s">
        <v>16</v>
      </c>
      <c r="E385" s="2">
        <v>60</v>
      </c>
      <c r="F385" t="s">
        <v>17</v>
      </c>
      <c r="G385" t="s">
        <v>18</v>
      </c>
      <c r="H385" s="2">
        <v>73</v>
      </c>
      <c r="I385" s="3">
        <v>8924</v>
      </c>
      <c r="J385" s="4">
        <v>19.440000000000001</v>
      </c>
      <c r="K385" s="2">
        <v>96</v>
      </c>
      <c r="L385" s="2">
        <v>3</v>
      </c>
      <c r="M385" s="3">
        <v>44685</v>
      </c>
      <c r="N385" t="str" cm="1">
        <f t="array" ref="N385">_xlfn.IFS(Table1_36[[#This Row],[Patient Satisfaction Score]]&gt;=83,"High",H385&lt;=75,"Low",TRUE,"Moderate")</f>
        <v>Low</v>
      </c>
      <c r="O385" t="str">
        <f t="shared" si="5"/>
        <v>Adult</v>
      </c>
    </row>
    <row r="386" spans="1:15">
      <c r="A386" t="s">
        <v>454</v>
      </c>
      <c r="B386" t="s">
        <v>42</v>
      </c>
      <c r="C386" t="s">
        <v>39</v>
      </c>
      <c r="D386" t="s">
        <v>27</v>
      </c>
      <c r="E386" s="2">
        <v>12</v>
      </c>
      <c r="F386" t="s">
        <v>17</v>
      </c>
      <c r="G386" t="s">
        <v>23</v>
      </c>
      <c r="H386" s="2">
        <v>85</v>
      </c>
      <c r="I386" s="3">
        <v>2346</v>
      </c>
      <c r="J386" s="4">
        <v>4.8600000000000003</v>
      </c>
      <c r="K386" s="2">
        <v>46</v>
      </c>
      <c r="L386" s="2">
        <v>4</v>
      </c>
      <c r="M386" s="3">
        <v>13319</v>
      </c>
      <c r="N386" t="str" cm="1">
        <f t="array" ref="N386">_xlfn.IFS(Table1_36[[#This Row],[Patient Satisfaction Score]]&gt;=83,"High",H386&lt;=75,"Low",TRUE,"Moderate")</f>
        <v>High</v>
      </c>
      <c r="O386" t="str">
        <f t="shared" ref="O386:O449" si="6">IF(E386&lt;19,"Pediatric","Adult")</f>
        <v>Pediatric</v>
      </c>
    </row>
    <row r="387" spans="1:15">
      <c r="A387" t="s">
        <v>455</v>
      </c>
      <c r="B387" t="s">
        <v>29</v>
      </c>
      <c r="C387" t="s">
        <v>30</v>
      </c>
      <c r="D387" t="s">
        <v>27</v>
      </c>
      <c r="E387" s="2">
        <v>17</v>
      </c>
      <c r="F387" t="s">
        <v>17</v>
      </c>
      <c r="G387" t="s">
        <v>49</v>
      </c>
      <c r="H387" s="2">
        <v>79</v>
      </c>
      <c r="I387" s="3">
        <v>3655</v>
      </c>
      <c r="J387" s="4">
        <v>16.079999999999998</v>
      </c>
      <c r="K387" s="2">
        <v>110</v>
      </c>
      <c r="L387" s="2">
        <v>4</v>
      </c>
      <c r="M387" s="3">
        <v>17574</v>
      </c>
      <c r="N387" t="str" cm="1">
        <f t="array" ref="N387">_xlfn.IFS(Table1_36[[#This Row],[Patient Satisfaction Score]]&gt;=83,"High",H387&lt;=75,"Low",TRUE,"Moderate")</f>
        <v>Moderate</v>
      </c>
      <c r="O387" t="str">
        <f t="shared" si="6"/>
        <v>Pediatric</v>
      </c>
    </row>
    <row r="388" spans="1:15">
      <c r="A388" t="s">
        <v>456</v>
      </c>
      <c r="B388" t="s">
        <v>137</v>
      </c>
      <c r="C388" t="s">
        <v>26</v>
      </c>
      <c r="D388" t="s">
        <v>16</v>
      </c>
      <c r="E388" s="2">
        <v>31</v>
      </c>
      <c r="F388" t="s">
        <v>34</v>
      </c>
      <c r="G388" t="s">
        <v>31</v>
      </c>
      <c r="H388" s="2">
        <v>84</v>
      </c>
      <c r="I388" s="3">
        <v>1954</v>
      </c>
      <c r="J388" s="4">
        <v>8.56</v>
      </c>
      <c r="K388" s="2">
        <v>62</v>
      </c>
      <c r="L388" s="2">
        <v>4</v>
      </c>
      <c r="M388" s="3">
        <v>7104</v>
      </c>
      <c r="N388" t="str" cm="1">
        <f t="array" ref="N388">_xlfn.IFS(Table1_36[[#This Row],[Patient Satisfaction Score]]&gt;=83,"High",H388&lt;=75,"Low",TRUE,"Moderate")</f>
        <v>High</v>
      </c>
      <c r="O388" t="str">
        <f t="shared" si="6"/>
        <v>Adult</v>
      </c>
    </row>
    <row r="389" spans="1:15">
      <c r="A389" t="s">
        <v>457</v>
      </c>
      <c r="B389" t="s">
        <v>150</v>
      </c>
      <c r="C389" t="s">
        <v>48</v>
      </c>
      <c r="D389" t="s">
        <v>16</v>
      </c>
      <c r="E389" s="2">
        <v>28</v>
      </c>
      <c r="F389" t="s">
        <v>22</v>
      </c>
      <c r="G389" t="s">
        <v>70</v>
      </c>
      <c r="H389" s="2">
        <v>72</v>
      </c>
      <c r="I389" s="3">
        <v>4784</v>
      </c>
      <c r="J389" s="4">
        <v>14.8</v>
      </c>
      <c r="K389" s="2">
        <v>62</v>
      </c>
      <c r="L389" s="2">
        <v>4</v>
      </c>
      <c r="M389" s="3">
        <v>23044</v>
      </c>
      <c r="N389" t="str" cm="1">
        <f t="array" ref="N389">_xlfn.IFS(Table1_36[[#This Row],[Patient Satisfaction Score]]&gt;=83,"High",H389&lt;=75,"Low",TRUE,"Moderate")</f>
        <v>Low</v>
      </c>
      <c r="O389" t="str">
        <f t="shared" si="6"/>
        <v>Adult</v>
      </c>
    </row>
    <row r="390" spans="1:15">
      <c r="A390" t="s">
        <v>458</v>
      </c>
      <c r="B390" t="s">
        <v>122</v>
      </c>
      <c r="C390" t="s">
        <v>48</v>
      </c>
      <c r="D390" t="s">
        <v>27</v>
      </c>
      <c r="E390" s="2">
        <v>56</v>
      </c>
      <c r="F390" t="s">
        <v>17</v>
      </c>
      <c r="G390" t="s">
        <v>18</v>
      </c>
      <c r="H390" s="2">
        <v>78</v>
      </c>
      <c r="I390" s="3">
        <v>5163</v>
      </c>
      <c r="J390" s="4">
        <v>14.33</v>
      </c>
      <c r="K390" s="2">
        <v>87</v>
      </c>
      <c r="L390" s="2">
        <v>4</v>
      </c>
      <c r="M390" s="3">
        <v>19563</v>
      </c>
      <c r="N390" t="str" cm="1">
        <f t="array" ref="N390">_xlfn.IFS(Table1_36[[#This Row],[Patient Satisfaction Score]]&gt;=83,"High",H390&lt;=75,"Low",TRUE,"Moderate")</f>
        <v>Moderate</v>
      </c>
      <c r="O390" t="str">
        <f t="shared" si="6"/>
        <v>Adult</v>
      </c>
    </row>
    <row r="391" spans="1:15">
      <c r="A391" t="s">
        <v>459</v>
      </c>
      <c r="B391" t="s">
        <v>168</v>
      </c>
      <c r="C391" t="s">
        <v>45</v>
      </c>
      <c r="D391" t="s">
        <v>16</v>
      </c>
      <c r="E391" s="2">
        <v>35</v>
      </c>
      <c r="F391" t="s">
        <v>17</v>
      </c>
      <c r="G391" t="s">
        <v>40</v>
      </c>
      <c r="H391" s="2">
        <v>71</v>
      </c>
      <c r="I391" s="3">
        <v>8401</v>
      </c>
      <c r="J391" s="4">
        <v>18.97</v>
      </c>
      <c r="K391" s="2">
        <v>93</v>
      </c>
      <c r="L391" s="2">
        <v>4</v>
      </c>
      <c r="M391" s="3">
        <v>40610</v>
      </c>
      <c r="N391" t="str" cm="1">
        <f t="array" ref="N391">_xlfn.IFS(Table1_36[[#This Row],[Patient Satisfaction Score]]&gt;=83,"High",H391&lt;=75,"Low",TRUE,"Moderate")</f>
        <v>Low</v>
      </c>
      <c r="O391" t="str">
        <f t="shared" si="6"/>
        <v>Adult</v>
      </c>
    </row>
    <row r="392" spans="1:15">
      <c r="A392" t="s">
        <v>460</v>
      </c>
      <c r="B392" t="s">
        <v>129</v>
      </c>
      <c r="C392" t="s">
        <v>21</v>
      </c>
      <c r="D392" t="s">
        <v>16</v>
      </c>
      <c r="E392" s="2">
        <v>58</v>
      </c>
      <c r="F392" t="s">
        <v>34</v>
      </c>
      <c r="G392" t="s">
        <v>31</v>
      </c>
      <c r="H392" s="2">
        <v>77</v>
      </c>
      <c r="I392" s="3">
        <v>6071</v>
      </c>
      <c r="J392" s="4">
        <v>17.93</v>
      </c>
      <c r="K392" s="2">
        <v>83</v>
      </c>
      <c r="L392" s="2">
        <v>4</v>
      </c>
      <c r="M392" s="3">
        <v>20468</v>
      </c>
      <c r="N392" t="str" cm="1">
        <f t="array" ref="N392">_xlfn.IFS(Table1_36[[#This Row],[Patient Satisfaction Score]]&gt;=83,"High",H392&lt;=75,"Low",TRUE,"Moderate")</f>
        <v>Moderate</v>
      </c>
      <c r="O392" t="str">
        <f t="shared" si="6"/>
        <v>Adult</v>
      </c>
    </row>
    <row r="393" spans="1:15">
      <c r="A393" t="s">
        <v>461</v>
      </c>
      <c r="B393" t="s">
        <v>54</v>
      </c>
      <c r="C393" t="s">
        <v>39</v>
      </c>
      <c r="D393" t="s">
        <v>27</v>
      </c>
      <c r="E393" s="2">
        <v>17</v>
      </c>
      <c r="F393" t="s">
        <v>34</v>
      </c>
      <c r="G393" t="s">
        <v>49</v>
      </c>
      <c r="H393" s="2">
        <v>87</v>
      </c>
      <c r="I393" s="3">
        <v>3696</v>
      </c>
      <c r="J393" s="4">
        <v>4.75</v>
      </c>
      <c r="K393" s="2">
        <v>62</v>
      </c>
      <c r="L393" s="2">
        <v>4</v>
      </c>
      <c r="M393" s="3">
        <v>22145</v>
      </c>
      <c r="N393" t="str" cm="1">
        <f t="array" ref="N393">_xlfn.IFS(Table1_36[[#This Row],[Patient Satisfaction Score]]&gt;=83,"High",H393&lt;=75,"Low",TRUE,"Moderate")</f>
        <v>High</v>
      </c>
      <c r="O393" t="str">
        <f t="shared" si="6"/>
        <v>Pediatric</v>
      </c>
    </row>
    <row r="394" spans="1:15">
      <c r="A394" t="s">
        <v>462</v>
      </c>
      <c r="B394" t="s">
        <v>80</v>
      </c>
      <c r="C394" t="s">
        <v>15</v>
      </c>
      <c r="D394" t="s">
        <v>27</v>
      </c>
      <c r="E394" s="2">
        <v>24</v>
      </c>
      <c r="F394" t="s">
        <v>17</v>
      </c>
      <c r="G394" t="s">
        <v>40</v>
      </c>
      <c r="H394" s="2">
        <v>79</v>
      </c>
      <c r="I394" s="3">
        <v>6944</v>
      </c>
      <c r="J394" s="4">
        <v>15.46</v>
      </c>
      <c r="K394" s="2">
        <v>80</v>
      </c>
      <c r="L394" s="2">
        <v>5</v>
      </c>
      <c r="M394" s="3">
        <v>24961</v>
      </c>
      <c r="N394" t="str" cm="1">
        <f t="array" ref="N394">_xlfn.IFS(Table1_36[[#This Row],[Patient Satisfaction Score]]&gt;=83,"High",H394&lt;=75,"Low",TRUE,"Moderate")</f>
        <v>Moderate</v>
      </c>
      <c r="O394" t="str">
        <f t="shared" si="6"/>
        <v>Adult</v>
      </c>
    </row>
    <row r="395" spans="1:15">
      <c r="A395" t="s">
        <v>463</v>
      </c>
      <c r="B395" t="s">
        <v>68</v>
      </c>
      <c r="C395" t="s">
        <v>45</v>
      </c>
      <c r="D395" t="s">
        <v>27</v>
      </c>
      <c r="E395" s="2">
        <v>20</v>
      </c>
      <c r="F395" t="s">
        <v>17</v>
      </c>
      <c r="G395" t="s">
        <v>40</v>
      </c>
      <c r="H395" s="2">
        <v>77</v>
      </c>
      <c r="I395" s="3">
        <v>11402</v>
      </c>
      <c r="J395" s="4">
        <v>19.52</v>
      </c>
      <c r="K395" s="2">
        <v>108</v>
      </c>
      <c r="L395" s="2">
        <v>5</v>
      </c>
      <c r="M395" s="3">
        <v>53431</v>
      </c>
      <c r="N395" t="str" cm="1">
        <f t="array" ref="N395">_xlfn.IFS(Table1_36[[#This Row],[Patient Satisfaction Score]]&gt;=83,"High",H395&lt;=75,"Low",TRUE,"Moderate")</f>
        <v>Moderate</v>
      </c>
      <c r="O395" t="str">
        <f t="shared" si="6"/>
        <v>Adult</v>
      </c>
    </row>
    <row r="396" spans="1:15">
      <c r="A396" t="s">
        <v>464</v>
      </c>
      <c r="B396" t="s">
        <v>137</v>
      </c>
      <c r="C396" t="s">
        <v>26</v>
      </c>
      <c r="D396" t="s">
        <v>27</v>
      </c>
      <c r="E396" s="2">
        <v>49</v>
      </c>
      <c r="F396" t="s">
        <v>17</v>
      </c>
      <c r="G396" t="s">
        <v>40</v>
      </c>
      <c r="H396" s="2">
        <v>83</v>
      </c>
      <c r="I396" s="3">
        <v>2572</v>
      </c>
      <c r="J396" s="4">
        <v>5.0999999999999996</v>
      </c>
      <c r="K396" s="2">
        <v>65</v>
      </c>
      <c r="L396" s="2">
        <v>5</v>
      </c>
      <c r="M396" s="3">
        <v>12797</v>
      </c>
      <c r="N396" t="str" cm="1">
        <f t="array" ref="N396">_xlfn.IFS(Table1_36[[#This Row],[Patient Satisfaction Score]]&gt;=83,"High",H396&lt;=75,"Low",TRUE,"Moderate")</f>
        <v>High</v>
      </c>
      <c r="O396" t="str">
        <f t="shared" si="6"/>
        <v>Adult</v>
      </c>
    </row>
    <row r="397" spans="1:15">
      <c r="A397" t="s">
        <v>465</v>
      </c>
      <c r="B397" t="s">
        <v>66</v>
      </c>
      <c r="C397" t="s">
        <v>39</v>
      </c>
      <c r="D397" t="s">
        <v>16</v>
      </c>
      <c r="E397" s="2">
        <v>17</v>
      </c>
      <c r="F397" t="s">
        <v>34</v>
      </c>
      <c r="G397" t="s">
        <v>49</v>
      </c>
      <c r="H397" s="2">
        <v>84</v>
      </c>
      <c r="I397" s="3">
        <v>3422</v>
      </c>
      <c r="J397" s="4">
        <v>8.64</v>
      </c>
      <c r="K397" s="2">
        <v>48</v>
      </c>
      <c r="L397" s="2">
        <v>4</v>
      </c>
      <c r="M397" s="3">
        <v>14874</v>
      </c>
      <c r="N397" t="str" cm="1">
        <f t="array" ref="N397">_xlfn.IFS(Table1_36[[#This Row],[Patient Satisfaction Score]]&gt;=83,"High",H397&lt;=75,"Low",TRUE,"Moderate")</f>
        <v>High</v>
      </c>
      <c r="O397" t="str">
        <f t="shared" si="6"/>
        <v>Pediatric</v>
      </c>
    </row>
    <row r="398" spans="1:15">
      <c r="A398" t="s">
        <v>466</v>
      </c>
      <c r="B398" t="s">
        <v>168</v>
      </c>
      <c r="C398" t="s">
        <v>45</v>
      </c>
      <c r="D398" t="s">
        <v>16</v>
      </c>
      <c r="E398" s="2">
        <v>57</v>
      </c>
      <c r="F398" t="s">
        <v>34</v>
      </c>
      <c r="G398" t="s">
        <v>23</v>
      </c>
      <c r="H398" s="2">
        <v>82</v>
      </c>
      <c r="I398" s="3">
        <v>7933</v>
      </c>
      <c r="J398" s="4">
        <v>17.489999999999998</v>
      </c>
      <c r="K398" s="2">
        <v>112</v>
      </c>
      <c r="L398" s="2">
        <v>4</v>
      </c>
      <c r="M398" s="3">
        <v>38644</v>
      </c>
      <c r="N398" t="str" cm="1">
        <f t="array" ref="N398">_xlfn.IFS(Table1_36[[#This Row],[Patient Satisfaction Score]]&gt;=83,"High",H398&lt;=75,"Low",TRUE,"Moderate")</f>
        <v>Moderate</v>
      </c>
      <c r="O398" t="str">
        <f t="shared" si="6"/>
        <v>Adult</v>
      </c>
    </row>
    <row r="399" spans="1:15">
      <c r="A399" t="s">
        <v>467</v>
      </c>
      <c r="B399" t="s">
        <v>88</v>
      </c>
      <c r="C399" t="s">
        <v>15</v>
      </c>
      <c r="D399" t="s">
        <v>16</v>
      </c>
      <c r="E399" s="2">
        <v>56</v>
      </c>
      <c r="F399" t="s">
        <v>17</v>
      </c>
      <c r="G399" t="s">
        <v>18</v>
      </c>
      <c r="H399" s="2">
        <v>85</v>
      </c>
      <c r="I399" s="3">
        <v>7001</v>
      </c>
      <c r="J399" s="4">
        <v>10.89</v>
      </c>
      <c r="K399" s="2">
        <v>81</v>
      </c>
      <c r="L399" s="2">
        <v>5</v>
      </c>
      <c r="M399" s="3">
        <v>33396</v>
      </c>
      <c r="N399" t="str" cm="1">
        <f t="array" ref="N399">_xlfn.IFS(Table1_36[[#This Row],[Patient Satisfaction Score]]&gt;=83,"High",H399&lt;=75,"Low",TRUE,"Moderate")</f>
        <v>High</v>
      </c>
      <c r="O399" t="str">
        <f t="shared" si="6"/>
        <v>Adult</v>
      </c>
    </row>
    <row r="400" spans="1:15">
      <c r="A400" t="s">
        <v>468</v>
      </c>
      <c r="B400" t="s">
        <v>38</v>
      </c>
      <c r="C400" t="s">
        <v>39</v>
      </c>
      <c r="D400" t="s">
        <v>27</v>
      </c>
      <c r="E400" s="2">
        <v>18</v>
      </c>
      <c r="F400" t="s">
        <v>34</v>
      </c>
      <c r="G400" t="s">
        <v>49</v>
      </c>
      <c r="H400" s="2">
        <v>84</v>
      </c>
      <c r="I400" s="3">
        <v>3738</v>
      </c>
      <c r="J400" s="4">
        <v>14.74</v>
      </c>
      <c r="K400" s="2">
        <v>50</v>
      </c>
      <c r="L400" s="2">
        <v>4</v>
      </c>
      <c r="M400" s="3">
        <v>15300</v>
      </c>
      <c r="N400" t="str" cm="1">
        <f t="array" ref="N400">_xlfn.IFS(Table1_36[[#This Row],[Patient Satisfaction Score]]&gt;=83,"High",H400&lt;=75,"Low",TRUE,"Moderate")</f>
        <v>High</v>
      </c>
      <c r="O400" t="str">
        <f t="shared" si="6"/>
        <v>Pediatric</v>
      </c>
    </row>
    <row r="401" spans="1:15">
      <c r="A401" t="s">
        <v>469</v>
      </c>
      <c r="B401" t="s">
        <v>56</v>
      </c>
      <c r="C401" t="s">
        <v>45</v>
      </c>
      <c r="D401" t="s">
        <v>16</v>
      </c>
      <c r="E401" s="2">
        <v>64</v>
      </c>
      <c r="F401" t="s">
        <v>17</v>
      </c>
      <c r="G401" t="s">
        <v>70</v>
      </c>
      <c r="H401" s="2">
        <v>75</v>
      </c>
      <c r="I401" s="3">
        <v>9941</v>
      </c>
      <c r="J401" s="4">
        <v>22.32</v>
      </c>
      <c r="K401" s="2">
        <v>104</v>
      </c>
      <c r="L401" s="2">
        <v>4</v>
      </c>
      <c r="M401" s="3">
        <v>52785</v>
      </c>
      <c r="N401" t="str" cm="1">
        <f t="array" ref="N401">_xlfn.IFS(Table1_36[[#This Row],[Patient Satisfaction Score]]&gt;=83,"High",H401&lt;=75,"Low",TRUE,"Moderate")</f>
        <v>Low</v>
      </c>
      <c r="O401" t="str">
        <f t="shared" si="6"/>
        <v>Adult</v>
      </c>
    </row>
    <row r="402" spans="1:15">
      <c r="A402" t="s">
        <v>470</v>
      </c>
      <c r="B402" t="s">
        <v>129</v>
      </c>
      <c r="C402" t="s">
        <v>21</v>
      </c>
      <c r="D402" t="s">
        <v>16</v>
      </c>
      <c r="E402" s="2">
        <v>45</v>
      </c>
      <c r="F402" t="s">
        <v>34</v>
      </c>
      <c r="G402" t="s">
        <v>40</v>
      </c>
      <c r="H402" s="2">
        <v>77</v>
      </c>
      <c r="I402" s="3">
        <v>3211</v>
      </c>
      <c r="J402" s="4">
        <v>13.81</v>
      </c>
      <c r="K402" s="2">
        <v>101</v>
      </c>
      <c r="L402" s="2">
        <v>3</v>
      </c>
      <c r="M402" s="3">
        <v>11140</v>
      </c>
      <c r="N402" t="str" cm="1">
        <f t="array" ref="N402">_xlfn.IFS(Table1_36[[#This Row],[Patient Satisfaction Score]]&gt;=83,"High",H402&lt;=75,"Low",TRUE,"Moderate")</f>
        <v>Moderate</v>
      </c>
      <c r="O402" t="str">
        <f t="shared" si="6"/>
        <v>Adult</v>
      </c>
    </row>
    <row r="403" spans="1:15">
      <c r="A403" t="s">
        <v>471</v>
      </c>
      <c r="B403" t="s">
        <v>187</v>
      </c>
      <c r="C403" t="s">
        <v>30</v>
      </c>
      <c r="D403" t="s">
        <v>27</v>
      </c>
      <c r="E403" s="2">
        <v>48</v>
      </c>
      <c r="F403" t="s">
        <v>22</v>
      </c>
      <c r="G403" t="s">
        <v>18</v>
      </c>
      <c r="H403" s="2">
        <v>64</v>
      </c>
      <c r="I403" s="3">
        <v>2282</v>
      </c>
      <c r="J403" s="4">
        <v>22.45</v>
      </c>
      <c r="K403" s="2">
        <v>125</v>
      </c>
      <c r="L403" s="2">
        <v>3</v>
      </c>
      <c r="M403" s="3">
        <v>10551</v>
      </c>
      <c r="N403" t="str" cm="1">
        <f t="array" ref="N403">_xlfn.IFS(Table1_36[[#This Row],[Patient Satisfaction Score]]&gt;=83,"High",H403&lt;=75,"Low",TRUE,"Moderate")</f>
        <v>Low</v>
      </c>
      <c r="O403" t="str">
        <f t="shared" si="6"/>
        <v>Adult</v>
      </c>
    </row>
    <row r="404" spans="1:15">
      <c r="A404" t="s">
        <v>472</v>
      </c>
      <c r="B404" t="s">
        <v>42</v>
      </c>
      <c r="C404" t="s">
        <v>39</v>
      </c>
      <c r="D404" t="s">
        <v>27</v>
      </c>
      <c r="E404" s="2">
        <v>16</v>
      </c>
      <c r="F404" t="s">
        <v>34</v>
      </c>
      <c r="G404" t="s">
        <v>49</v>
      </c>
      <c r="H404" s="2">
        <v>88</v>
      </c>
      <c r="I404" s="3">
        <v>3377</v>
      </c>
      <c r="J404" s="4">
        <v>4.78</v>
      </c>
      <c r="K404" s="2">
        <v>72</v>
      </c>
      <c r="L404" s="2">
        <v>4</v>
      </c>
      <c r="M404" s="3">
        <v>20229</v>
      </c>
      <c r="N404" t="str" cm="1">
        <f t="array" ref="N404">_xlfn.IFS(Table1_36[[#This Row],[Patient Satisfaction Score]]&gt;=83,"High",H404&lt;=75,"Low",TRUE,"Moderate")</f>
        <v>High</v>
      </c>
      <c r="O404" t="str">
        <f t="shared" si="6"/>
        <v>Pediatric</v>
      </c>
    </row>
    <row r="405" spans="1:15">
      <c r="A405" t="s">
        <v>473</v>
      </c>
      <c r="B405" t="s">
        <v>44</v>
      </c>
      <c r="C405" t="s">
        <v>45</v>
      </c>
      <c r="D405" t="s">
        <v>27</v>
      </c>
      <c r="E405" s="2">
        <v>50</v>
      </c>
      <c r="F405" t="s">
        <v>22</v>
      </c>
      <c r="G405" t="s">
        <v>31</v>
      </c>
      <c r="H405" s="2">
        <v>74</v>
      </c>
      <c r="I405" s="3">
        <v>11146</v>
      </c>
      <c r="J405" s="4">
        <v>16.52</v>
      </c>
      <c r="K405" s="2">
        <v>96</v>
      </c>
      <c r="L405" s="2">
        <v>4</v>
      </c>
      <c r="M405" s="3">
        <v>30479</v>
      </c>
      <c r="N405" t="str" cm="1">
        <f t="array" ref="N405">_xlfn.IFS(Table1_36[[#This Row],[Patient Satisfaction Score]]&gt;=83,"High",H405&lt;=75,"Low",TRUE,"Moderate")</f>
        <v>Low</v>
      </c>
      <c r="O405" t="str">
        <f t="shared" si="6"/>
        <v>Adult</v>
      </c>
    </row>
    <row r="406" spans="1:15">
      <c r="A406" t="s">
        <v>474</v>
      </c>
      <c r="B406" t="s">
        <v>54</v>
      </c>
      <c r="C406" t="s">
        <v>15</v>
      </c>
      <c r="D406" t="s">
        <v>72</v>
      </c>
      <c r="E406" s="2">
        <v>40</v>
      </c>
      <c r="F406" t="s">
        <v>34</v>
      </c>
      <c r="G406" t="s">
        <v>40</v>
      </c>
      <c r="H406" s="2">
        <v>79</v>
      </c>
      <c r="I406" s="3">
        <v>6752</v>
      </c>
      <c r="J406" s="4">
        <v>9.81</v>
      </c>
      <c r="K406" s="2">
        <v>70</v>
      </c>
      <c r="L406" s="2">
        <v>4</v>
      </c>
      <c r="M406" s="3">
        <v>20838</v>
      </c>
      <c r="N406" t="str" cm="1">
        <f t="array" ref="N406">_xlfn.IFS(Table1_36[[#This Row],[Patient Satisfaction Score]]&gt;=83,"High",H406&lt;=75,"Low",TRUE,"Moderate")</f>
        <v>Moderate</v>
      </c>
      <c r="O406" t="str">
        <f t="shared" si="6"/>
        <v>Adult</v>
      </c>
    </row>
    <row r="407" spans="1:15">
      <c r="A407" t="s">
        <v>475</v>
      </c>
      <c r="B407" t="s">
        <v>42</v>
      </c>
      <c r="C407" t="s">
        <v>39</v>
      </c>
      <c r="D407" t="s">
        <v>16</v>
      </c>
      <c r="E407" s="2">
        <v>10</v>
      </c>
      <c r="F407" t="s">
        <v>17</v>
      </c>
      <c r="G407" t="s">
        <v>18</v>
      </c>
      <c r="H407" s="2">
        <v>78</v>
      </c>
      <c r="I407" s="3">
        <v>2632</v>
      </c>
      <c r="J407" s="4">
        <v>12.21</v>
      </c>
      <c r="K407" s="2">
        <v>50</v>
      </c>
      <c r="L407" s="2">
        <v>4</v>
      </c>
      <c r="M407" s="3">
        <v>7774</v>
      </c>
      <c r="N407" t="str" cm="1">
        <f t="array" ref="N407">_xlfn.IFS(Table1_36[[#This Row],[Patient Satisfaction Score]]&gt;=83,"High",H407&lt;=75,"Low",TRUE,"Moderate")</f>
        <v>Moderate</v>
      </c>
      <c r="O407" t="str">
        <f t="shared" si="6"/>
        <v>Pediatric</v>
      </c>
    </row>
    <row r="408" spans="1:15">
      <c r="A408" t="s">
        <v>476</v>
      </c>
      <c r="B408" t="s">
        <v>137</v>
      </c>
      <c r="C408" t="s">
        <v>26</v>
      </c>
      <c r="D408" t="s">
        <v>27</v>
      </c>
      <c r="E408" s="2">
        <v>29</v>
      </c>
      <c r="F408" t="s">
        <v>17</v>
      </c>
      <c r="G408" t="s">
        <v>18</v>
      </c>
      <c r="H408" s="2">
        <v>93</v>
      </c>
      <c r="I408" s="3">
        <v>2271</v>
      </c>
      <c r="J408" s="4">
        <v>5.73</v>
      </c>
      <c r="K408" s="2">
        <v>19</v>
      </c>
      <c r="L408" s="2">
        <v>4</v>
      </c>
      <c r="M408" s="3">
        <v>6845</v>
      </c>
      <c r="N408" t="str" cm="1">
        <f t="array" ref="N408">_xlfn.IFS(Table1_36[[#This Row],[Patient Satisfaction Score]]&gt;=83,"High",H408&lt;=75,"Low",TRUE,"Moderate")</f>
        <v>High</v>
      </c>
      <c r="O408" t="str">
        <f t="shared" si="6"/>
        <v>Adult</v>
      </c>
    </row>
    <row r="409" spans="1:15">
      <c r="A409" t="s">
        <v>477</v>
      </c>
      <c r="B409" t="s">
        <v>54</v>
      </c>
      <c r="C409" t="s">
        <v>39</v>
      </c>
      <c r="D409" t="s">
        <v>16</v>
      </c>
      <c r="E409" s="2">
        <v>16</v>
      </c>
      <c r="F409" t="s">
        <v>17</v>
      </c>
      <c r="G409" t="s">
        <v>49</v>
      </c>
      <c r="H409" s="2">
        <v>92</v>
      </c>
      <c r="I409" s="3">
        <v>1849</v>
      </c>
      <c r="J409" s="4">
        <v>7.4</v>
      </c>
      <c r="K409" s="2">
        <v>52</v>
      </c>
      <c r="L409" s="2">
        <v>5</v>
      </c>
      <c r="M409" s="3">
        <v>5510</v>
      </c>
      <c r="N409" t="str" cm="1">
        <f t="array" ref="N409">_xlfn.IFS(Table1_36[[#This Row],[Patient Satisfaction Score]]&gt;=83,"High",H409&lt;=75,"Low",TRUE,"Moderate")</f>
        <v>High</v>
      </c>
      <c r="O409" t="str">
        <f t="shared" si="6"/>
        <v>Pediatric</v>
      </c>
    </row>
    <row r="410" spans="1:15">
      <c r="A410" t="s">
        <v>478</v>
      </c>
      <c r="B410" t="s">
        <v>129</v>
      </c>
      <c r="C410" t="s">
        <v>21</v>
      </c>
      <c r="D410" t="s">
        <v>16</v>
      </c>
      <c r="E410" s="2">
        <v>48</v>
      </c>
      <c r="F410" t="s">
        <v>34</v>
      </c>
      <c r="G410" t="s">
        <v>18</v>
      </c>
      <c r="H410" s="2">
        <v>71</v>
      </c>
      <c r="I410" s="3">
        <v>6954</v>
      </c>
      <c r="J410" s="4">
        <v>10.98</v>
      </c>
      <c r="K410" s="2">
        <v>143</v>
      </c>
      <c r="L410" s="2">
        <v>3</v>
      </c>
      <c r="M410" s="3">
        <v>19387</v>
      </c>
      <c r="N410" t="str" cm="1">
        <f t="array" ref="N410">_xlfn.IFS(Table1_36[[#This Row],[Patient Satisfaction Score]]&gt;=83,"High",H410&lt;=75,"Low",TRUE,"Moderate")</f>
        <v>Low</v>
      </c>
      <c r="O410" t="str">
        <f t="shared" si="6"/>
        <v>Adult</v>
      </c>
    </row>
    <row r="411" spans="1:15">
      <c r="A411" t="s">
        <v>479</v>
      </c>
      <c r="B411" t="s">
        <v>137</v>
      </c>
      <c r="C411" t="s">
        <v>26</v>
      </c>
      <c r="D411" t="s">
        <v>16</v>
      </c>
      <c r="E411" s="2">
        <v>7</v>
      </c>
      <c r="F411" t="s">
        <v>34</v>
      </c>
      <c r="G411" t="s">
        <v>49</v>
      </c>
      <c r="H411" s="2">
        <v>93</v>
      </c>
      <c r="I411" s="3">
        <v>1907</v>
      </c>
      <c r="J411" s="4">
        <v>0</v>
      </c>
      <c r="K411" s="2">
        <v>37</v>
      </c>
      <c r="L411" s="2">
        <v>5</v>
      </c>
      <c r="M411" s="3">
        <v>9220</v>
      </c>
      <c r="N411" t="str" cm="1">
        <f t="array" ref="N411">_xlfn.IFS(Table1_36[[#This Row],[Patient Satisfaction Score]]&gt;=83,"High",H411&lt;=75,"Low",TRUE,"Moderate")</f>
        <v>High</v>
      </c>
      <c r="O411" t="str">
        <f t="shared" si="6"/>
        <v>Pediatric</v>
      </c>
    </row>
    <row r="412" spans="1:15">
      <c r="A412" t="s">
        <v>480</v>
      </c>
      <c r="B412" t="s">
        <v>42</v>
      </c>
      <c r="C412" t="s">
        <v>39</v>
      </c>
      <c r="D412" t="s">
        <v>16</v>
      </c>
      <c r="E412" s="2">
        <v>15</v>
      </c>
      <c r="F412" t="s">
        <v>22</v>
      </c>
      <c r="G412" t="s">
        <v>70</v>
      </c>
      <c r="H412" s="2">
        <v>85</v>
      </c>
      <c r="I412" s="3">
        <v>3236</v>
      </c>
      <c r="J412" s="4">
        <v>0.28999999999999998</v>
      </c>
      <c r="K412" s="2">
        <v>67</v>
      </c>
      <c r="L412" s="2">
        <v>5</v>
      </c>
      <c r="M412" s="3">
        <v>10300</v>
      </c>
      <c r="N412" t="str" cm="1">
        <f t="array" ref="N412">_xlfn.IFS(Table1_36[[#This Row],[Patient Satisfaction Score]]&gt;=83,"High",H412&lt;=75,"Low",TRUE,"Moderate")</f>
        <v>High</v>
      </c>
      <c r="O412" t="str">
        <f t="shared" si="6"/>
        <v>Pediatric</v>
      </c>
    </row>
    <row r="413" spans="1:15">
      <c r="A413" t="s">
        <v>481</v>
      </c>
      <c r="B413" t="s">
        <v>122</v>
      </c>
      <c r="C413" t="s">
        <v>48</v>
      </c>
      <c r="D413" t="s">
        <v>16</v>
      </c>
      <c r="E413" s="2">
        <v>79</v>
      </c>
      <c r="F413" t="s">
        <v>34</v>
      </c>
      <c r="G413" t="s">
        <v>40</v>
      </c>
      <c r="H413" s="2">
        <v>81</v>
      </c>
      <c r="I413" s="3">
        <v>2010</v>
      </c>
      <c r="J413" s="4">
        <v>6.12</v>
      </c>
      <c r="K413" s="2">
        <v>73</v>
      </c>
      <c r="L413" s="2">
        <v>4</v>
      </c>
      <c r="M413" s="3">
        <v>11073</v>
      </c>
      <c r="N413" t="str" cm="1">
        <f t="array" ref="N413">_xlfn.IFS(Table1_36[[#This Row],[Patient Satisfaction Score]]&gt;=83,"High",H413&lt;=75,"Low",TRUE,"Moderate")</f>
        <v>Moderate</v>
      </c>
      <c r="O413" t="str">
        <f t="shared" si="6"/>
        <v>Adult</v>
      </c>
    </row>
    <row r="414" spans="1:15">
      <c r="A414" t="s">
        <v>482</v>
      </c>
      <c r="B414" t="s">
        <v>88</v>
      </c>
      <c r="C414" t="s">
        <v>15</v>
      </c>
      <c r="D414" t="s">
        <v>16</v>
      </c>
      <c r="E414" s="2">
        <v>10</v>
      </c>
      <c r="F414" t="s">
        <v>22</v>
      </c>
      <c r="G414" t="s">
        <v>31</v>
      </c>
      <c r="H414" s="2">
        <v>78</v>
      </c>
      <c r="I414" s="3">
        <v>9188</v>
      </c>
      <c r="J414" s="4">
        <v>14.9</v>
      </c>
      <c r="K414" s="2">
        <v>66</v>
      </c>
      <c r="L414" s="2">
        <v>4</v>
      </c>
      <c r="M414" s="3">
        <v>53566</v>
      </c>
      <c r="N414" t="str" cm="1">
        <f t="array" ref="N414">_xlfn.IFS(Table1_36[[#This Row],[Patient Satisfaction Score]]&gt;=83,"High",H414&lt;=75,"Low",TRUE,"Moderate")</f>
        <v>Moderate</v>
      </c>
      <c r="O414" t="str">
        <f t="shared" si="6"/>
        <v>Pediatric</v>
      </c>
    </row>
    <row r="415" spans="1:15">
      <c r="A415" t="s">
        <v>483</v>
      </c>
      <c r="B415" t="s">
        <v>29</v>
      </c>
      <c r="C415" t="s">
        <v>30</v>
      </c>
      <c r="D415" t="s">
        <v>27</v>
      </c>
      <c r="E415" s="2">
        <v>50</v>
      </c>
      <c r="F415" t="s">
        <v>22</v>
      </c>
      <c r="G415" t="s">
        <v>49</v>
      </c>
      <c r="H415" s="2">
        <v>64</v>
      </c>
      <c r="I415" s="3">
        <v>3254</v>
      </c>
      <c r="J415" s="4">
        <v>28.74</v>
      </c>
      <c r="K415" s="2">
        <v>84</v>
      </c>
      <c r="L415" s="2">
        <v>3</v>
      </c>
      <c r="M415" s="3">
        <v>14429</v>
      </c>
      <c r="N415" t="str" cm="1">
        <f t="array" ref="N415">_xlfn.IFS(Table1_36[[#This Row],[Patient Satisfaction Score]]&gt;=83,"High",H415&lt;=75,"Low",TRUE,"Moderate")</f>
        <v>Low</v>
      </c>
      <c r="O415" t="str">
        <f t="shared" si="6"/>
        <v>Adult</v>
      </c>
    </row>
    <row r="416" spans="1:15">
      <c r="A416" t="s">
        <v>484</v>
      </c>
      <c r="B416" t="s">
        <v>51</v>
      </c>
      <c r="C416" t="s">
        <v>52</v>
      </c>
      <c r="D416" t="s">
        <v>16</v>
      </c>
      <c r="E416" s="2">
        <v>74</v>
      </c>
      <c r="F416" t="s">
        <v>17</v>
      </c>
      <c r="G416" t="s">
        <v>49</v>
      </c>
      <c r="H416" s="2">
        <v>80</v>
      </c>
      <c r="I416" s="3">
        <v>8346</v>
      </c>
      <c r="J416" s="4">
        <v>9.61</v>
      </c>
      <c r="K416" s="2">
        <v>56</v>
      </c>
      <c r="L416" s="2">
        <v>4</v>
      </c>
      <c r="M416" s="3">
        <v>27253</v>
      </c>
      <c r="N416" t="str" cm="1">
        <f t="array" ref="N416">_xlfn.IFS(Table1_36[[#This Row],[Patient Satisfaction Score]]&gt;=83,"High",H416&lt;=75,"Low",TRUE,"Moderate")</f>
        <v>Moderate</v>
      </c>
      <c r="O416" t="str">
        <f t="shared" si="6"/>
        <v>Adult</v>
      </c>
    </row>
    <row r="417" spans="1:15">
      <c r="A417" t="s">
        <v>485</v>
      </c>
      <c r="B417" t="s">
        <v>33</v>
      </c>
      <c r="C417" t="s">
        <v>26</v>
      </c>
      <c r="D417" t="s">
        <v>16</v>
      </c>
      <c r="E417" s="2">
        <v>53</v>
      </c>
      <c r="F417" t="s">
        <v>17</v>
      </c>
      <c r="G417" t="s">
        <v>23</v>
      </c>
      <c r="H417" s="2">
        <v>89</v>
      </c>
      <c r="I417" s="3">
        <v>2690</v>
      </c>
      <c r="J417" s="4">
        <v>4.24</v>
      </c>
      <c r="K417" s="2">
        <v>36</v>
      </c>
      <c r="L417" s="2">
        <v>5</v>
      </c>
      <c r="M417" s="3">
        <v>8071</v>
      </c>
      <c r="N417" t="str" cm="1">
        <f t="array" ref="N417">_xlfn.IFS(Table1_36[[#This Row],[Patient Satisfaction Score]]&gt;=83,"High",H417&lt;=75,"Low",TRUE,"Moderate")</f>
        <v>High</v>
      </c>
      <c r="O417" t="str">
        <f t="shared" si="6"/>
        <v>Adult</v>
      </c>
    </row>
    <row r="418" spans="1:15">
      <c r="A418" t="s">
        <v>486</v>
      </c>
      <c r="B418" t="s">
        <v>54</v>
      </c>
      <c r="C418" t="s">
        <v>15</v>
      </c>
      <c r="D418" t="s">
        <v>27</v>
      </c>
      <c r="E418" s="2">
        <v>69</v>
      </c>
      <c r="F418" t="s">
        <v>34</v>
      </c>
      <c r="G418" t="s">
        <v>70</v>
      </c>
      <c r="H418" s="2">
        <v>84</v>
      </c>
      <c r="I418" s="3">
        <v>5994</v>
      </c>
      <c r="J418" s="4">
        <v>15.08</v>
      </c>
      <c r="K418" s="2">
        <v>74</v>
      </c>
      <c r="L418" s="2">
        <v>4</v>
      </c>
      <c r="M418" s="3">
        <v>31682</v>
      </c>
      <c r="N418" t="str" cm="1">
        <f t="array" ref="N418">_xlfn.IFS(Table1_36[[#This Row],[Patient Satisfaction Score]]&gt;=83,"High",H418&lt;=75,"Low",TRUE,"Moderate")</f>
        <v>High</v>
      </c>
      <c r="O418" t="str">
        <f t="shared" si="6"/>
        <v>Adult</v>
      </c>
    </row>
    <row r="419" spans="1:15">
      <c r="A419" t="s">
        <v>487</v>
      </c>
      <c r="B419" t="s">
        <v>36</v>
      </c>
      <c r="C419" t="s">
        <v>21</v>
      </c>
      <c r="D419" t="s">
        <v>16</v>
      </c>
      <c r="E419" s="2">
        <v>55</v>
      </c>
      <c r="F419" t="s">
        <v>34</v>
      </c>
      <c r="G419" t="s">
        <v>49</v>
      </c>
      <c r="H419" s="2">
        <v>78</v>
      </c>
      <c r="I419" s="3">
        <v>5612</v>
      </c>
      <c r="J419" s="4">
        <v>12.29</v>
      </c>
      <c r="K419" s="2">
        <v>70</v>
      </c>
      <c r="L419" s="2">
        <v>4</v>
      </c>
      <c r="M419" s="3">
        <v>19200</v>
      </c>
      <c r="N419" t="str" cm="1">
        <f t="array" ref="N419">_xlfn.IFS(Table1_36[[#This Row],[Patient Satisfaction Score]]&gt;=83,"High",H419&lt;=75,"Low",TRUE,"Moderate")</f>
        <v>Moderate</v>
      </c>
      <c r="O419" t="str">
        <f t="shared" si="6"/>
        <v>Adult</v>
      </c>
    </row>
    <row r="420" spans="1:15">
      <c r="A420" t="s">
        <v>488</v>
      </c>
      <c r="B420" t="s">
        <v>74</v>
      </c>
      <c r="C420" t="s">
        <v>45</v>
      </c>
      <c r="D420" t="s">
        <v>16</v>
      </c>
      <c r="E420" s="2">
        <v>55</v>
      </c>
      <c r="F420" t="s">
        <v>22</v>
      </c>
      <c r="G420" t="s">
        <v>18</v>
      </c>
      <c r="H420" s="2">
        <v>60</v>
      </c>
      <c r="I420" s="3">
        <v>7852</v>
      </c>
      <c r="J420" s="4">
        <v>18.829999999999998</v>
      </c>
      <c r="K420" s="2">
        <v>119</v>
      </c>
      <c r="L420" s="2">
        <v>3</v>
      </c>
      <c r="M420" s="3">
        <v>22207</v>
      </c>
      <c r="N420" t="str" cm="1">
        <f t="array" ref="N420">_xlfn.IFS(Table1_36[[#This Row],[Patient Satisfaction Score]]&gt;=83,"High",H420&lt;=75,"Low",TRUE,"Moderate")</f>
        <v>Low</v>
      </c>
      <c r="O420" t="str">
        <f t="shared" si="6"/>
        <v>Adult</v>
      </c>
    </row>
    <row r="421" spans="1:15">
      <c r="A421" t="s">
        <v>489</v>
      </c>
      <c r="B421" t="s">
        <v>54</v>
      </c>
      <c r="C421" t="s">
        <v>39</v>
      </c>
      <c r="D421" t="s">
        <v>16</v>
      </c>
      <c r="E421" s="2">
        <v>4</v>
      </c>
      <c r="F421" t="s">
        <v>34</v>
      </c>
      <c r="G421" t="s">
        <v>18</v>
      </c>
      <c r="H421" s="2">
        <v>85</v>
      </c>
      <c r="I421" s="3">
        <v>2606</v>
      </c>
      <c r="J421" s="4">
        <v>5.07</v>
      </c>
      <c r="K421" s="2">
        <v>59</v>
      </c>
      <c r="L421" s="2">
        <v>5</v>
      </c>
      <c r="M421" s="3">
        <v>10768</v>
      </c>
      <c r="N421" t="str" cm="1">
        <f t="array" ref="N421">_xlfn.IFS(Table1_36[[#This Row],[Patient Satisfaction Score]]&gt;=83,"High",H421&lt;=75,"Low",TRUE,"Moderate")</f>
        <v>High</v>
      </c>
      <c r="O421" t="str">
        <f t="shared" si="6"/>
        <v>Pediatric</v>
      </c>
    </row>
    <row r="422" spans="1:15">
      <c r="A422" t="s">
        <v>490</v>
      </c>
      <c r="B422" t="s">
        <v>44</v>
      </c>
      <c r="C422" t="s">
        <v>45</v>
      </c>
      <c r="D422" t="s">
        <v>27</v>
      </c>
      <c r="E422" s="2">
        <v>32</v>
      </c>
      <c r="F422" t="s">
        <v>34</v>
      </c>
      <c r="G422" t="s">
        <v>31</v>
      </c>
      <c r="H422" s="2">
        <v>72</v>
      </c>
      <c r="I422" s="3">
        <v>4054</v>
      </c>
      <c r="J422" s="4">
        <v>15</v>
      </c>
      <c r="K422" s="2">
        <v>104</v>
      </c>
      <c r="L422" s="2">
        <v>4</v>
      </c>
      <c r="M422" s="3">
        <v>21877</v>
      </c>
      <c r="N422" t="str" cm="1">
        <f t="array" ref="N422">_xlfn.IFS(Table1_36[[#This Row],[Patient Satisfaction Score]]&gt;=83,"High",H422&lt;=75,"Low",TRUE,"Moderate")</f>
        <v>Low</v>
      </c>
      <c r="O422" t="str">
        <f t="shared" si="6"/>
        <v>Adult</v>
      </c>
    </row>
    <row r="423" spans="1:15">
      <c r="A423" t="s">
        <v>491</v>
      </c>
      <c r="B423" t="s">
        <v>47</v>
      </c>
      <c r="C423" t="s">
        <v>48</v>
      </c>
      <c r="D423" t="s">
        <v>16</v>
      </c>
      <c r="E423" s="2">
        <v>33</v>
      </c>
      <c r="F423" t="s">
        <v>17</v>
      </c>
      <c r="G423" t="s">
        <v>40</v>
      </c>
      <c r="H423" s="2">
        <v>82</v>
      </c>
      <c r="I423" s="3">
        <v>8892</v>
      </c>
      <c r="J423" s="4">
        <v>12.89</v>
      </c>
      <c r="K423" s="2">
        <v>52</v>
      </c>
      <c r="L423" s="2">
        <v>4</v>
      </c>
      <c r="M423" s="3">
        <v>37830</v>
      </c>
      <c r="N423" t="str" cm="1">
        <f t="array" ref="N423">_xlfn.IFS(Table1_36[[#This Row],[Patient Satisfaction Score]]&gt;=83,"High",H423&lt;=75,"Low",TRUE,"Moderate")</f>
        <v>Moderate</v>
      </c>
      <c r="O423" t="str">
        <f t="shared" si="6"/>
        <v>Adult</v>
      </c>
    </row>
    <row r="424" spans="1:15">
      <c r="A424" t="s">
        <v>492</v>
      </c>
      <c r="B424" t="s">
        <v>135</v>
      </c>
      <c r="C424" t="s">
        <v>48</v>
      </c>
      <c r="D424" t="s">
        <v>16</v>
      </c>
      <c r="E424" s="2">
        <v>3</v>
      </c>
      <c r="F424" t="s">
        <v>34</v>
      </c>
      <c r="G424" t="s">
        <v>40</v>
      </c>
      <c r="H424" s="2">
        <v>75</v>
      </c>
      <c r="I424" s="3">
        <v>5655</v>
      </c>
      <c r="J424" s="4">
        <v>13.15</v>
      </c>
      <c r="K424" s="2">
        <v>109</v>
      </c>
      <c r="L424" s="2">
        <v>4</v>
      </c>
      <c r="M424" s="3">
        <v>18837</v>
      </c>
      <c r="N424" t="str" cm="1">
        <f t="array" ref="N424">_xlfn.IFS(Table1_36[[#This Row],[Patient Satisfaction Score]]&gt;=83,"High",H424&lt;=75,"Low",TRUE,"Moderate")</f>
        <v>Low</v>
      </c>
      <c r="O424" t="str">
        <f t="shared" si="6"/>
        <v>Pediatric</v>
      </c>
    </row>
    <row r="425" spans="1:15">
      <c r="A425" t="s">
        <v>493</v>
      </c>
      <c r="B425" t="s">
        <v>185</v>
      </c>
      <c r="C425" t="s">
        <v>52</v>
      </c>
      <c r="D425" t="s">
        <v>27</v>
      </c>
      <c r="E425" s="2">
        <v>49</v>
      </c>
      <c r="F425" t="s">
        <v>34</v>
      </c>
      <c r="G425" t="s">
        <v>49</v>
      </c>
      <c r="H425" s="2">
        <v>87</v>
      </c>
      <c r="I425" s="3">
        <v>6696</v>
      </c>
      <c r="J425" s="4">
        <v>11.81</v>
      </c>
      <c r="K425" s="2">
        <v>62</v>
      </c>
      <c r="L425" s="2">
        <v>4</v>
      </c>
      <c r="M425" s="3">
        <v>25929</v>
      </c>
      <c r="N425" t="str" cm="1">
        <f t="array" ref="N425">_xlfn.IFS(Table1_36[[#This Row],[Patient Satisfaction Score]]&gt;=83,"High",H425&lt;=75,"Low",TRUE,"Moderate")</f>
        <v>High</v>
      </c>
      <c r="O425" t="str">
        <f t="shared" si="6"/>
        <v>Adult</v>
      </c>
    </row>
    <row r="426" spans="1:15">
      <c r="A426" t="s">
        <v>494</v>
      </c>
      <c r="B426" t="s">
        <v>150</v>
      </c>
      <c r="C426" t="s">
        <v>48</v>
      </c>
      <c r="D426" t="s">
        <v>27</v>
      </c>
      <c r="E426" s="2">
        <v>34</v>
      </c>
      <c r="F426" t="s">
        <v>22</v>
      </c>
      <c r="G426" t="s">
        <v>49</v>
      </c>
      <c r="H426" s="2">
        <v>81</v>
      </c>
      <c r="I426" s="3">
        <v>5122</v>
      </c>
      <c r="J426" s="4">
        <v>15.03</v>
      </c>
      <c r="K426" s="2">
        <v>82</v>
      </c>
      <c r="L426" s="2">
        <v>5</v>
      </c>
      <c r="M426" s="3">
        <v>29461</v>
      </c>
      <c r="N426" t="str" cm="1">
        <f t="array" ref="N426">_xlfn.IFS(Table1_36[[#This Row],[Patient Satisfaction Score]]&gt;=83,"High",H426&lt;=75,"Low",TRUE,"Moderate")</f>
        <v>Moderate</v>
      </c>
      <c r="O426" t="str">
        <f t="shared" si="6"/>
        <v>Adult</v>
      </c>
    </row>
    <row r="427" spans="1:15">
      <c r="A427" t="s">
        <v>495</v>
      </c>
      <c r="B427" t="s">
        <v>103</v>
      </c>
      <c r="C427" t="s">
        <v>26</v>
      </c>
      <c r="D427" t="s">
        <v>16</v>
      </c>
      <c r="E427" s="2">
        <v>32</v>
      </c>
      <c r="F427" t="s">
        <v>17</v>
      </c>
      <c r="G427" t="s">
        <v>40</v>
      </c>
      <c r="H427" s="2">
        <v>84</v>
      </c>
      <c r="I427" s="3">
        <v>3266</v>
      </c>
      <c r="J427" s="4">
        <v>5.55</v>
      </c>
      <c r="K427" s="2">
        <v>41</v>
      </c>
      <c r="L427" s="2">
        <v>4</v>
      </c>
      <c r="M427" s="3">
        <v>8509</v>
      </c>
      <c r="N427" t="str" cm="1">
        <f t="array" ref="N427">_xlfn.IFS(Table1_36[[#This Row],[Patient Satisfaction Score]]&gt;=83,"High",H427&lt;=75,"Low",TRUE,"Moderate")</f>
        <v>High</v>
      </c>
      <c r="O427" t="str">
        <f t="shared" si="6"/>
        <v>Adult</v>
      </c>
    </row>
    <row r="428" spans="1:15">
      <c r="A428" t="s">
        <v>496</v>
      </c>
      <c r="B428" t="s">
        <v>64</v>
      </c>
      <c r="C428" t="s">
        <v>30</v>
      </c>
      <c r="D428" t="s">
        <v>16</v>
      </c>
      <c r="E428" s="2">
        <v>46</v>
      </c>
      <c r="F428" t="s">
        <v>17</v>
      </c>
      <c r="G428" t="s">
        <v>40</v>
      </c>
      <c r="H428" s="2">
        <v>79</v>
      </c>
      <c r="I428" s="3">
        <v>3418</v>
      </c>
      <c r="J428" s="4">
        <v>18.86</v>
      </c>
      <c r="K428" s="2">
        <v>115</v>
      </c>
      <c r="L428" s="2">
        <v>4</v>
      </c>
      <c r="M428" s="3">
        <v>12343</v>
      </c>
      <c r="N428" t="str" cm="1">
        <f t="array" ref="N428">_xlfn.IFS(Table1_36[[#This Row],[Patient Satisfaction Score]]&gt;=83,"High",H428&lt;=75,"Low",TRUE,"Moderate")</f>
        <v>Moderate</v>
      </c>
      <c r="O428" t="str">
        <f t="shared" si="6"/>
        <v>Adult</v>
      </c>
    </row>
    <row r="429" spans="1:15">
      <c r="A429" t="s">
        <v>497</v>
      </c>
      <c r="B429" t="s">
        <v>56</v>
      </c>
      <c r="C429" t="s">
        <v>45</v>
      </c>
      <c r="D429" t="s">
        <v>16</v>
      </c>
      <c r="E429" s="2">
        <v>51</v>
      </c>
      <c r="F429" t="s">
        <v>17</v>
      </c>
      <c r="G429" t="s">
        <v>18</v>
      </c>
      <c r="H429" s="2">
        <v>80</v>
      </c>
      <c r="I429" s="3">
        <v>7267</v>
      </c>
      <c r="J429" s="4">
        <v>13.08</v>
      </c>
      <c r="K429" s="2">
        <v>105</v>
      </c>
      <c r="L429" s="2">
        <v>4</v>
      </c>
      <c r="M429" s="3">
        <v>34005</v>
      </c>
      <c r="N429" t="str" cm="1">
        <f t="array" ref="N429">_xlfn.IFS(Table1_36[[#This Row],[Patient Satisfaction Score]]&gt;=83,"High",H429&lt;=75,"Low",TRUE,"Moderate")</f>
        <v>Moderate</v>
      </c>
      <c r="O429" t="str">
        <f t="shared" si="6"/>
        <v>Adult</v>
      </c>
    </row>
    <row r="430" spans="1:15">
      <c r="A430" t="s">
        <v>498</v>
      </c>
      <c r="B430" t="s">
        <v>47</v>
      </c>
      <c r="C430" t="s">
        <v>48</v>
      </c>
      <c r="D430" t="s">
        <v>16</v>
      </c>
      <c r="E430" s="2">
        <v>32</v>
      </c>
      <c r="F430" t="s">
        <v>17</v>
      </c>
      <c r="G430" t="s">
        <v>23</v>
      </c>
      <c r="H430" s="2">
        <v>86</v>
      </c>
      <c r="I430" s="3">
        <v>4032</v>
      </c>
      <c r="J430" s="4">
        <v>10.43</v>
      </c>
      <c r="K430" s="2">
        <v>70</v>
      </c>
      <c r="L430" s="2">
        <v>4</v>
      </c>
      <c r="M430" s="3">
        <v>23281</v>
      </c>
      <c r="N430" t="str" cm="1">
        <f t="array" ref="N430">_xlfn.IFS(Table1_36[[#This Row],[Patient Satisfaction Score]]&gt;=83,"High",H430&lt;=75,"Low",TRUE,"Moderate")</f>
        <v>High</v>
      </c>
      <c r="O430" t="str">
        <f t="shared" si="6"/>
        <v>Adult</v>
      </c>
    </row>
    <row r="431" spans="1:15">
      <c r="A431" t="s">
        <v>499</v>
      </c>
      <c r="B431" t="s">
        <v>60</v>
      </c>
      <c r="C431" t="s">
        <v>52</v>
      </c>
      <c r="D431" t="s">
        <v>27</v>
      </c>
      <c r="E431" s="2">
        <v>35</v>
      </c>
      <c r="F431" t="s">
        <v>22</v>
      </c>
      <c r="G431" t="s">
        <v>18</v>
      </c>
      <c r="H431" s="2">
        <v>80</v>
      </c>
      <c r="I431" s="3">
        <v>6247</v>
      </c>
      <c r="J431" s="4">
        <v>15.19</v>
      </c>
      <c r="K431" s="2">
        <v>56</v>
      </c>
      <c r="L431" s="2">
        <v>4</v>
      </c>
      <c r="M431" s="3">
        <v>26582</v>
      </c>
      <c r="N431" t="str" cm="1">
        <f t="array" ref="N431">_xlfn.IFS(Table1_36[[#This Row],[Patient Satisfaction Score]]&gt;=83,"High",H431&lt;=75,"Low",TRUE,"Moderate")</f>
        <v>Moderate</v>
      </c>
      <c r="O431" t="str">
        <f t="shared" si="6"/>
        <v>Adult</v>
      </c>
    </row>
    <row r="432" spans="1:15">
      <c r="A432" t="s">
        <v>500</v>
      </c>
      <c r="B432" t="s">
        <v>51</v>
      </c>
      <c r="C432" t="s">
        <v>52</v>
      </c>
      <c r="D432" t="s">
        <v>27</v>
      </c>
      <c r="E432" s="2">
        <v>41</v>
      </c>
      <c r="F432" t="s">
        <v>34</v>
      </c>
      <c r="G432" t="s">
        <v>31</v>
      </c>
      <c r="H432" s="2">
        <v>83</v>
      </c>
      <c r="I432" s="3">
        <v>9929</v>
      </c>
      <c r="J432" s="4">
        <v>17.11</v>
      </c>
      <c r="K432" s="2">
        <v>47</v>
      </c>
      <c r="L432" s="2">
        <v>5</v>
      </c>
      <c r="M432" s="3">
        <v>56250</v>
      </c>
      <c r="N432" t="str" cm="1">
        <f t="array" ref="N432">_xlfn.IFS(Table1_36[[#This Row],[Patient Satisfaction Score]]&gt;=83,"High",H432&lt;=75,"Low",TRUE,"Moderate")</f>
        <v>High</v>
      </c>
      <c r="O432" t="str">
        <f t="shared" si="6"/>
        <v>Adult</v>
      </c>
    </row>
    <row r="433" spans="1:15">
      <c r="A433" t="s">
        <v>501</v>
      </c>
      <c r="B433" t="s">
        <v>74</v>
      </c>
      <c r="C433" t="s">
        <v>45</v>
      </c>
      <c r="D433" t="s">
        <v>16</v>
      </c>
      <c r="E433" s="2">
        <v>56</v>
      </c>
      <c r="F433" t="s">
        <v>17</v>
      </c>
      <c r="G433" t="s">
        <v>23</v>
      </c>
      <c r="H433" s="2">
        <v>67</v>
      </c>
      <c r="I433" s="3">
        <v>10143</v>
      </c>
      <c r="J433" s="4">
        <v>12.53</v>
      </c>
      <c r="K433" s="2">
        <v>108</v>
      </c>
      <c r="L433" s="2">
        <v>3</v>
      </c>
      <c r="M433" s="3">
        <v>56760</v>
      </c>
      <c r="N433" t="str" cm="1">
        <f t="array" ref="N433">_xlfn.IFS(Table1_36[[#This Row],[Patient Satisfaction Score]]&gt;=83,"High",H433&lt;=75,"Low",TRUE,"Moderate")</f>
        <v>Low</v>
      </c>
      <c r="O433" t="str">
        <f t="shared" si="6"/>
        <v>Adult</v>
      </c>
    </row>
    <row r="434" spans="1:15">
      <c r="A434" t="s">
        <v>502</v>
      </c>
      <c r="B434" t="s">
        <v>36</v>
      </c>
      <c r="C434" t="s">
        <v>21</v>
      </c>
      <c r="D434" t="s">
        <v>16</v>
      </c>
      <c r="E434" s="2">
        <v>67</v>
      </c>
      <c r="F434" t="s">
        <v>34</v>
      </c>
      <c r="G434" t="s">
        <v>70</v>
      </c>
      <c r="H434" s="2">
        <v>78</v>
      </c>
      <c r="I434" s="3">
        <v>5428</v>
      </c>
      <c r="J434" s="4">
        <v>12.57</v>
      </c>
      <c r="K434" s="2">
        <v>67</v>
      </c>
      <c r="L434" s="2">
        <v>3</v>
      </c>
      <c r="M434" s="3">
        <v>21738</v>
      </c>
      <c r="N434" t="str" cm="1">
        <f t="array" ref="N434">_xlfn.IFS(Table1_36[[#This Row],[Patient Satisfaction Score]]&gt;=83,"High",H434&lt;=75,"Low",TRUE,"Moderate")</f>
        <v>Moderate</v>
      </c>
      <c r="O434" t="str">
        <f t="shared" si="6"/>
        <v>Adult</v>
      </c>
    </row>
    <row r="435" spans="1:15">
      <c r="A435" t="s">
        <v>503</v>
      </c>
      <c r="B435" t="s">
        <v>62</v>
      </c>
      <c r="C435" t="s">
        <v>52</v>
      </c>
      <c r="D435" t="s">
        <v>27</v>
      </c>
      <c r="E435" s="2">
        <v>49</v>
      </c>
      <c r="F435" t="s">
        <v>22</v>
      </c>
      <c r="G435" t="s">
        <v>23</v>
      </c>
      <c r="H435" s="2">
        <v>81</v>
      </c>
      <c r="I435" s="3">
        <v>7899</v>
      </c>
      <c r="J435" s="4">
        <v>6.6</v>
      </c>
      <c r="K435" s="2">
        <v>114</v>
      </c>
      <c r="L435" s="2">
        <v>3</v>
      </c>
      <c r="M435" s="3">
        <v>31741</v>
      </c>
      <c r="N435" t="str" cm="1">
        <f t="array" ref="N435">_xlfn.IFS(Table1_36[[#This Row],[Patient Satisfaction Score]]&gt;=83,"High",H435&lt;=75,"Low",TRUE,"Moderate")</f>
        <v>Moderate</v>
      </c>
      <c r="O435" t="str">
        <f t="shared" si="6"/>
        <v>Adult</v>
      </c>
    </row>
    <row r="436" spans="1:15">
      <c r="A436" t="s">
        <v>504</v>
      </c>
      <c r="B436" t="s">
        <v>78</v>
      </c>
      <c r="C436" t="s">
        <v>15</v>
      </c>
      <c r="D436" t="s">
        <v>27</v>
      </c>
      <c r="E436" s="2">
        <v>63</v>
      </c>
      <c r="F436" t="s">
        <v>22</v>
      </c>
      <c r="G436" t="s">
        <v>31</v>
      </c>
      <c r="H436" s="2">
        <v>81</v>
      </c>
      <c r="I436" s="3">
        <v>8769</v>
      </c>
      <c r="J436" s="4">
        <v>12.61</v>
      </c>
      <c r="K436" s="2">
        <v>87</v>
      </c>
      <c r="L436" s="2">
        <v>4</v>
      </c>
      <c r="M436" s="3">
        <v>47119</v>
      </c>
      <c r="N436" t="str" cm="1">
        <f t="array" ref="N436">_xlfn.IFS(Table1_36[[#This Row],[Patient Satisfaction Score]]&gt;=83,"High",H436&lt;=75,"Low",TRUE,"Moderate")</f>
        <v>Moderate</v>
      </c>
      <c r="O436" t="str">
        <f t="shared" si="6"/>
        <v>Adult</v>
      </c>
    </row>
    <row r="437" spans="1:15">
      <c r="A437" t="s">
        <v>505</v>
      </c>
      <c r="B437" t="s">
        <v>97</v>
      </c>
      <c r="C437" t="s">
        <v>30</v>
      </c>
      <c r="D437" t="s">
        <v>27</v>
      </c>
      <c r="E437" s="2">
        <v>83</v>
      </c>
      <c r="F437" t="s">
        <v>17</v>
      </c>
      <c r="G437" t="s">
        <v>23</v>
      </c>
      <c r="H437" s="2">
        <v>71</v>
      </c>
      <c r="I437" s="3">
        <v>3348</v>
      </c>
      <c r="J437" s="4">
        <v>21.44</v>
      </c>
      <c r="K437" s="2">
        <v>126</v>
      </c>
      <c r="L437" s="2">
        <v>4</v>
      </c>
      <c r="M437" s="3">
        <v>9593</v>
      </c>
      <c r="N437" t="str" cm="1">
        <f t="array" ref="N437">_xlfn.IFS(Table1_36[[#This Row],[Patient Satisfaction Score]]&gt;=83,"High",H437&lt;=75,"Low",TRUE,"Moderate")</f>
        <v>Low</v>
      </c>
      <c r="O437" t="str">
        <f t="shared" si="6"/>
        <v>Adult</v>
      </c>
    </row>
    <row r="438" spans="1:15">
      <c r="A438" t="s">
        <v>506</v>
      </c>
      <c r="B438" t="s">
        <v>103</v>
      </c>
      <c r="C438" t="s">
        <v>26</v>
      </c>
      <c r="D438" t="s">
        <v>27</v>
      </c>
      <c r="E438" s="2">
        <v>22</v>
      </c>
      <c r="F438" t="s">
        <v>22</v>
      </c>
      <c r="G438" t="s">
        <v>40</v>
      </c>
      <c r="H438" s="2">
        <v>80</v>
      </c>
      <c r="I438" s="3">
        <v>3258</v>
      </c>
      <c r="J438" s="4">
        <v>7.41</v>
      </c>
      <c r="K438" s="2">
        <v>93</v>
      </c>
      <c r="L438" s="2">
        <v>4</v>
      </c>
      <c r="M438" s="3">
        <v>14214</v>
      </c>
      <c r="N438" t="str" cm="1">
        <f t="array" ref="N438">_xlfn.IFS(Table1_36[[#This Row],[Patient Satisfaction Score]]&gt;=83,"High",H438&lt;=75,"Low",TRUE,"Moderate")</f>
        <v>Moderate</v>
      </c>
      <c r="O438" t="str">
        <f t="shared" si="6"/>
        <v>Adult</v>
      </c>
    </row>
    <row r="439" spans="1:15">
      <c r="A439" t="s">
        <v>507</v>
      </c>
      <c r="B439" t="s">
        <v>109</v>
      </c>
      <c r="C439" t="s">
        <v>30</v>
      </c>
      <c r="D439" t="s">
        <v>27</v>
      </c>
      <c r="E439" s="2">
        <v>10</v>
      </c>
      <c r="F439" t="s">
        <v>22</v>
      </c>
      <c r="G439" t="s">
        <v>23</v>
      </c>
      <c r="H439" s="2">
        <v>68</v>
      </c>
      <c r="I439" s="3">
        <v>3453</v>
      </c>
      <c r="J439" s="4">
        <v>19.8</v>
      </c>
      <c r="K439" s="2">
        <v>121</v>
      </c>
      <c r="L439" s="2">
        <v>3</v>
      </c>
      <c r="M439" s="3">
        <v>9270</v>
      </c>
      <c r="N439" t="str" cm="1">
        <f t="array" ref="N439">_xlfn.IFS(Table1_36[[#This Row],[Patient Satisfaction Score]]&gt;=83,"High",H439&lt;=75,"Low",TRUE,"Moderate")</f>
        <v>Low</v>
      </c>
      <c r="O439" t="str">
        <f t="shared" si="6"/>
        <v>Pediatric</v>
      </c>
    </row>
    <row r="440" spans="1:15">
      <c r="A440" t="s">
        <v>508</v>
      </c>
      <c r="B440" t="s">
        <v>25</v>
      </c>
      <c r="C440" t="s">
        <v>39</v>
      </c>
      <c r="D440" t="s">
        <v>27</v>
      </c>
      <c r="E440" s="2">
        <v>12</v>
      </c>
      <c r="F440" t="s">
        <v>22</v>
      </c>
      <c r="G440" t="s">
        <v>49</v>
      </c>
      <c r="H440" s="2">
        <v>84</v>
      </c>
      <c r="I440" s="3">
        <v>3333</v>
      </c>
      <c r="J440" s="4">
        <v>2.66</v>
      </c>
      <c r="K440" s="2">
        <v>97</v>
      </c>
      <c r="L440" s="2">
        <v>4</v>
      </c>
      <c r="M440" s="3">
        <v>12522</v>
      </c>
      <c r="N440" t="str" cm="1">
        <f t="array" ref="N440">_xlfn.IFS(Table1_36[[#This Row],[Patient Satisfaction Score]]&gt;=83,"High",H440&lt;=75,"Low",TRUE,"Moderate")</f>
        <v>High</v>
      </c>
      <c r="O440" t="str">
        <f t="shared" si="6"/>
        <v>Pediatric</v>
      </c>
    </row>
    <row r="441" spans="1:15">
      <c r="A441" t="s">
        <v>509</v>
      </c>
      <c r="B441" t="s">
        <v>68</v>
      </c>
      <c r="C441" t="s">
        <v>45</v>
      </c>
      <c r="D441" t="s">
        <v>16</v>
      </c>
      <c r="E441" s="2">
        <v>53</v>
      </c>
      <c r="F441" t="s">
        <v>34</v>
      </c>
      <c r="G441" t="s">
        <v>40</v>
      </c>
      <c r="H441" s="2">
        <v>80</v>
      </c>
      <c r="I441" s="3">
        <v>5104</v>
      </c>
      <c r="J441" s="4">
        <v>15.69</v>
      </c>
      <c r="K441" s="2">
        <v>103</v>
      </c>
      <c r="L441" s="2">
        <v>4</v>
      </c>
      <c r="M441" s="3">
        <v>18622</v>
      </c>
      <c r="N441" t="str" cm="1">
        <f t="array" ref="N441">_xlfn.IFS(Table1_36[[#This Row],[Patient Satisfaction Score]]&gt;=83,"High",H441&lt;=75,"Low",TRUE,"Moderate")</f>
        <v>Moderate</v>
      </c>
      <c r="O441" t="str">
        <f t="shared" si="6"/>
        <v>Adult</v>
      </c>
    </row>
    <row r="442" spans="1:15">
      <c r="A442" t="s">
        <v>510</v>
      </c>
      <c r="B442" t="s">
        <v>51</v>
      </c>
      <c r="C442" t="s">
        <v>52</v>
      </c>
      <c r="D442" t="s">
        <v>27</v>
      </c>
      <c r="E442" s="2">
        <v>14</v>
      </c>
      <c r="F442" t="s">
        <v>22</v>
      </c>
      <c r="G442" t="s">
        <v>70</v>
      </c>
      <c r="H442" s="2">
        <v>90</v>
      </c>
      <c r="I442" s="3">
        <v>7278</v>
      </c>
      <c r="J442" s="4">
        <v>16.21</v>
      </c>
      <c r="K442" s="2">
        <v>23</v>
      </c>
      <c r="L442" s="2">
        <v>4</v>
      </c>
      <c r="M442" s="3">
        <v>39175</v>
      </c>
      <c r="N442" t="str" cm="1">
        <f t="array" ref="N442">_xlfn.IFS(Table1_36[[#This Row],[Patient Satisfaction Score]]&gt;=83,"High",H442&lt;=75,"Low",TRUE,"Moderate")</f>
        <v>High</v>
      </c>
      <c r="O442" t="str">
        <f t="shared" si="6"/>
        <v>Pediatric</v>
      </c>
    </row>
    <row r="443" spans="1:15">
      <c r="A443" t="s">
        <v>511</v>
      </c>
      <c r="B443" t="s">
        <v>135</v>
      </c>
      <c r="C443" t="s">
        <v>48</v>
      </c>
      <c r="D443" t="s">
        <v>27</v>
      </c>
      <c r="E443" s="2">
        <v>29</v>
      </c>
      <c r="F443" t="s">
        <v>34</v>
      </c>
      <c r="G443" t="s">
        <v>40</v>
      </c>
      <c r="H443" s="2">
        <v>87</v>
      </c>
      <c r="I443" s="3">
        <v>6492</v>
      </c>
      <c r="J443" s="4">
        <v>11.25</v>
      </c>
      <c r="K443" s="2">
        <v>30</v>
      </c>
      <c r="L443" s="2">
        <v>5</v>
      </c>
      <c r="M443" s="3">
        <v>16972</v>
      </c>
      <c r="N443" t="str" cm="1">
        <f t="array" ref="N443">_xlfn.IFS(Table1_36[[#This Row],[Patient Satisfaction Score]]&gt;=83,"High",H443&lt;=75,"Low",TRUE,"Moderate")</f>
        <v>High</v>
      </c>
      <c r="O443" t="str">
        <f t="shared" si="6"/>
        <v>Adult</v>
      </c>
    </row>
    <row r="444" spans="1:15">
      <c r="A444" t="s">
        <v>512</v>
      </c>
      <c r="B444" t="s">
        <v>60</v>
      </c>
      <c r="C444" t="s">
        <v>52</v>
      </c>
      <c r="D444" t="s">
        <v>16</v>
      </c>
      <c r="E444" s="2">
        <v>1</v>
      </c>
      <c r="F444" t="s">
        <v>22</v>
      </c>
      <c r="G444" t="s">
        <v>70</v>
      </c>
      <c r="H444" s="2">
        <v>82</v>
      </c>
      <c r="I444" s="3">
        <v>8725</v>
      </c>
      <c r="J444" s="4">
        <v>10.07</v>
      </c>
      <c r="K444" s="2">
        <v>66</v>
      </c>
      <c r="L444" s="2">
        <v>4</v>
      </c>
      <c r="M444" s="3">
        <v>43639</v>
      </c>
      <c r="N444" t="str" cm="1">
        <f t="array" ref="N444">_xlfn.IFS(Table1_36[[#This Row],[Patient Satisfaction Score]]&gt;=83,"High",H444&lt;=75,"Low",TRUE,"Moderate")</f>
        <v>Moderate</v>
      </c>
      <c r="O444" t="str">
        <f t="shared" si="6"/>
        <v>Pediatric</v>
      </c>
    </row>
    <row r="445" spans="1:15">
      <c r="A445" t="s">
        <v>513</v>
      </c>
      <c r="B445" t="s">
        <v>137</v>
      </c>
      <c r="C445" t="s">
        <v>26</v>
      </c>
      <c r="D445" t="s">
        <v>27</v>
      </c>
      <c r="E445" s="2">
        <v>42</v>
      </c>
      <c r="F445" t="s">
        <v>34</v>
      </c>
      <c r="G445" t="s">
        <v>31</v>
      </c>
      <c r="H445" s="2">
        <v>91</v>
      </c>
      <c r="I445" s="3">
        <v>2633</v>
      </c>
      <c r="J445" s="4">
        <v>1.37</v>
      </c>
      <c r="K445" s="2">
        <v>30</v>
      </c>
      <c r="L445" s="2">
        <v>5</v>
      </c>
      <c r="M445" s="3">
        <v>7290</v>
      </c>
      <c r="N445" t="str" cm="1">
        <f t="array" ref="N445">_xlfn.IFS(Table1_36[[#This Row],[Patient Satisfaction Score]]&gt;=83,"High",H445&lt;=75,"Low",TRUE,"Moderate")</f>
        <v>High</v>
      </c>
      <c r="O445" t="str">
        <f t="shared" si="6"/>
        <v>Adult</v>
      </c>
    </row>
    <row r="446" spans="1:15">
      <c r="A446" t="s">
        <v>514</v>
      </c>
      <c r="B446" t="s">
        <v>54</v>
      </c>
      <c r="C446" t="s">
        <v>15</v>
      </c>
      <c r="D446" t="s">
        <v>72</v>
      </c>
      <c r="E446" s="2">
        <v>59</v>
      </c>
      <c r="F446" t="s">
        <v>34</v>
      </c>
      <c r="G446" t="s">
        <v>40</v>
      </c>
      <c r="H446" s="2">
        <v>84</v>
      </c>
      <c r="I446" s="3">
        <v>8622</v>
      </c>
      <c r="J446" s="4">
        <v>14.65</v>
      </c>
      <c r="K446" s="2">
        <v>44</v>
      </c>
      <c r="L446" s="2">
        <v>5</v>
      </c>
      <c r="M446" s="3">
        <v>32824</v>
      </c>
      <c r="N446" t="str" cm="1">
        <f t="array" ref="N446">_xlfn.IFS(Table1_36[[#This Row],[Patient Satisfaction Score]]&gt;=83,"High",H446&lt;=75,"Low",TRUE,"Moderate")</f>
        <v>High</v>
      </c>
      <c r="O446" t="str">
        <f t="shared" si="6"/>
        <v>Adult</v>
      </c>
    </row>
    <row r="447" spans="1:15">
      <c r="A447" t="s">
        <v>515</v>
      </c>
      <c r="B447" t="s">
        <v>51</v>
      </c>
      <c r="C447" t="s">
        <v>52</v>
      </c>
      <c r="D447" t="s">
        <v>27</v>
      </c>
      <c r="E447" s="2">
        <v>35</v>
      </c>
      <c r="F447" t="s">
        <v>17</v>
      </c>
      <c r="G447" t="s">
        <v>70</v>
      </c>
      <c r="H447" s="2">
        <v>88</v>
      </c>
      <c r="I447" s="3">
        <v>6289</v>
      </c>
      <c r="J447" s="4">
        <v>6.85</v>
      </c>
      <c r="K447" s="2">
        <v>74</v>
      </c>
      <c r="L447" s="2">
        <v>5</v>
      </c>
      <c r="M447" s="3">
        <v>17265</v>
      </c>
      <c r="N447" t="str" cm="1">
        <f t="array" ref="N447">_xlfn.IFS(Table1_36[[#This Row],[Patient Satisfaction Score]]&gt;=83,"High",H447&lt;=75,"Low",TRUE,"Moderate")</f>
        <v>High</v>
      </c>
      <c r="O447" t="str">
        <f t="shared" si="6"/>
        <v>Adult</v>
      </c>
    </row>
    <row r="448" spans="1:15">
      <c r="A448" t="s">
        <v>516</v>
      </c>
      <c r="B448" t="s">
        <v>150</v>
      </c>
      <c r="C448" t="s">
        <v>48</v>
      </c>
      <c r="D448" t="s">
        <v>27</v>
      </c>
      <c r="E448" s="2">
        <v>20</v>
      </c>
      <c r="F448" t="s">
        <v>22</v>
      </c>
      <c r="G448" t="s">
        <v>49</v>
      </c>
      <c r="H448" s="2">
        <v>81</v>
      </c>
      <c r="I448" s="3">
        <v>6380</v>
      </c>
      <c r="J448" s="4">
        <v>10.67</v>
      </c>
      <c r="K448" s="2">
        <v>67</v>
      </c>
      <c r="L448" s="2">
        <v>4</v>
      </c>
      <c r="M448" s="3">
        <v>19705</v>
      </c>
      <c r="N448" t="str" cm="1">
        <f t="array" ref="N448">_xlfn.IFS(Table1_36[[#This Row],[Patient Satisfaction Score]]&gt;=83,"High",H448&lt;=75,"Low",TRUE,"Moderate")</f>
        <v>Moderate</v>
      </c>
      <c r="O448" t="str">
        <f t="shared" si="6"/>
        <v>Adult</v>
      </c>
    </row>
    <row r="449" spans="1:15">
      <c r="A449" t="s">
        <v>517</v>
      </c>
      <c r="B449" t="s">
        <v>64</v>
      </c>
      <c r="C449" t="s">
        <v>30</v>
      </c>
      <c r="D449" t="s">
        <v>16</v>
      </c>
      <c r="E449" s="2">
        <v>48</v>
      </c>
      <c r="F449" t="s">
        <v>22</v>
      </c>
      <c r="G449" t="s">
        <v>18</v>
      </c>
      <c r="H449" s="2">
        <v>75</v>
      </c>
      <c r="I449" s="3">
        <v>3509</v>
      </c>
      <c r="J449" s="4">
        <v>11.69</v>
      </c>
      <c r="K449" s="2">
        <v>130</v>
      </c>
      <c r="L449" s="2">
        <v>4</v>
      </c>
      <c r="M449" s="3">
        <v>20247</v>
      </c>
      <c r="N449" t="str" cm="1">
        <f t="array" ref="N449">_xlfn.IFS(Table1_36[[#This Row],[Patient Satisfaction Score]]&gt;=83,"High",H449&lt;=75,"Low",TRUE,"Moderate")</f>
        <v>Low</v>
      </c>
      <c r="O449" t="str">
        <f t="shared" si="6"/>
        <v>Adult</v>
      </c>
    </row>
    <row r="450" spans="1:15">
      <c r="A450" t="s">
        <v>518</v>
      </c>
      <c r="B450" t="s">
        <v>109</v>
      </c>
      <c r="C450" t="s">
        <v>30</v>
      </c>
      <c r="D450" t="s">
        <v>27</v>
      </c>
      <c r="E450" s="2">
        <v>49</v>
      </c>
      <c r="F450" t="s">
        <v>17</v>
      </c>
      <c r="G450" t="s">
        <v>70</v>
      </c>
      <c r="H450" s="2">
        <v>68</v>
      </c>
      <c r="I450" s="3">
        <v>2611</v>
      </c>
      <c r="J450" s="4">
        <v>24.81</v>
      </c>
      <c r="K450" s="2">
        <v>123</v>
      </c>
      <c r="L450" s="2">
        <v>4</v>
      </c>
      <c r="M450" s="3">
        <v>12718</v>
      </c>
      <c r="N450" t="str" cm="1">
        <f t="array" ref="N450">_xlfn.IFS(Table1_36[[#This Row],[Patient Satisfaction Score]]&gt;=83,"High",H450&lt;=75,"Low",TRUE,"Moderate")</f>
        <v>Low</v>
      </c>
      <c r="O450" t="str">
        <f t="shared" ref="O450:O513" si="7">IF(E450&lt;19,"Pediatric","Adult")</f>
        <v>Adult</v>
      </c>
    </row>
    <row r="451" spans="1:15">
      <c r="A451" t="s">
        <v>519</v>
      </c>
      <c r="B451" t="s">
        <v>58</v>
      </c>
      <c r="C451" t="s">
        <v>48</v>
      </c>
      <c r="D451" t="s">
        <v>16</v>
      </c>
      <c r="E451" s="2">
        <v>77</v>
      </c>
      <c r="F451" t="s">
        <v>34</v>
      </c>
      <c r="G451" t="s">
        <v>40</v>
      </c>
      <c r="H451" s="2">
        <v>81</v>
      </c>
      <c r="I451" s="3">
        <v>5641</v>
      </c>
      <c r="J451" s="4">
        <v>13.1</v>
      </c>
      <c r="K451" s="2">
        <v>64</v>
      </c>
      <c r="L451" s="2">
        <v>5</v>
      </c>
      <c r="M451" s="3">
        <v>30779</v>
      </c>
      <c r="N451" t="str" cm="1">
        <f t="array" ref="N451">_xlfn.IFS(Table1_36[[#This Row],[Patient Satisfaction Score]]&gt;=83,"High",H451&lt;=75,"Low",TRUE,"Moderate")</f>
        <v>Moderate</v>
      </c>
      <c r="O451" t="str">
        <f t="shared" si="7"/>
        <v>Adult</v>
      </c>
    </row>
    <row r="452" spans="1:15">
      <c r="A452" t="s">
        <v>520</v>
      </c>
      <c r="B452" t="s">
        <v>60</v>
      </c>
      <c r="C452" t="s">
        <v>52</v>
      </c>
      <c r="D452" t="s">
        <v>16</v>
      </c>
      <c r="E452" s="2">
        <v>5</v>
      </c>
      <c r="F452" t="s">
        <v>34</v>
      </c>
      <c r="G452" t="s">
        <v>18</v>
      </c>
      <c r="H452" s="2">
        <v>80</v>
      </c>
      <c r="I452" s="3">
        <v>7702</v>
      </c>
      <c r="J452" s="4">
        <v>15.24</v>
      </c>
      <c r="K452" s="2">
        <v>57</v>
      </c>
      <c r="L452" s="2">
        <v>4</v>
      </c>
      <c r="M452" s="3">
        <v>33113</v>
      </c>
      <c r="N452" t="str" cm="1">
        <f t="array" ref="N452">_xlfn.IFS(Table1_36[[#This Row],[Patient Satisfaction Score]]&gt;=83,"High",H452&lt;=75,"Low",TRUE,"Moderate")</f>
        <v>Moderate</v>
      </c>
      <c r="O452" t="str">
        <f t="shared" si="7"/>
        <v>Pediatric</v>
      </c>
    </row>
    <row r="453" spans="1:15">
      <c r="A453" t="s">
        <v>521</v>
      </c>
      <c r="B453" t="s">
        <v>44</v>
      </c>
      <c r="C453" t="s">
        <v>45</v>
      </c>
      <c r="D453" t="s">
        <v>27</v>
      </c>
      <c r="E453" s="2">
        <v>58</v>
      </c>
      <c r="F453" t="s">
        <v>22</v>
      </c>
      <c r="G453" t="s">
        <v>49</v>
      </c>
      <c r="H453" s="2">
        <v>87</v>
      </c>
      <c r="I453" s="3">
        <v>8593</v>
      </c>
      <c r="J453" s="4">
        <v>16.66</v>
      </c>
      <c r="K453" s="2">
        <v>59</v>
      </c>
      <c r="L453" s="2">
        <v>4</v>
      </c>
      <c r="M453" s="3">
        <v>31882</v>
      </c>
      <c r="N453" t="str" cm="1">
        <f t="array" ref="N453">_xlfn.IFS(Table1_36[[#This Row],[Patient Satisfaction Score]]&gt;=83,"High",H453&lt;=75,"Low",TRUE,"Moderate")</f>
        <v>High</v>
      </c>
      <c r="O453" t="str">
        <f t="shared" si="7"/>
        <v>Adult</v>
      </c>
    </row>
    <row r="454" spans="1:15">
      <c r="A454" t="s">
        <v>522</v>
      </c>
      <c r="B454" t="s">
        <v>44</v>
      </c>
      <c r="C454" t="s">
        <v>45</v>
      </c>
      <c r="D454" t="s">
        <v>16</v>
      </c>
      <c r="E454" s="2">
        <v>65</v>
      </c>
      <c r="F454" t="s">
        <v>17</v>
      </c>
      <c r="G454" t="s">
        <v>18</v>
      </c>
      <c r="H454" s="2">
        <v>69</v>
      </c>
      <c r="I454" s="3">
        <v>8766</v>
      </c>
      <c r="J454" s="4">
        <v>19.32</v>
      </c>
      <c r="K454" s="2">
        <v>106</v>
      </c>
      <c r="L454" s="2">
        <v>4</v>
      </c>
      <c r="M454" s="3">
        <v>52299</v>
      </c>
      <c r="N454" t="str" cm="1">
        <f t="array" ref="N454">_xlfn.IFS(Table1_36[[#This Row],[Patient Satisfaction Score]]&gt;=83,"High",H454&lt;=75,"Low",TRUE,"Moderate")</f>
        <v>Low</v>
      </c>
      <c r="O454" t="str">
        <f t="shared" si="7"/>
        <v>Adult</v>
      </c>
    </row>
    <row r="455" spans="1:15">
      <c r="A455" t="s">
        <v>523</v>
      </c>
      <c r="B455" t="s">
        <v>78</v>
      </c>
      <c r="C455" t="s">
        <v>15</v>
      </c>
      <c r="D455" t="s">
        <v>27</v>
      </c>
      <c r="E455" s="2">
        <v>46</v>
      </c>
      <c r="F455" t="s">
        <v>22</v>
      </c>
      <c r="G455" t="s">
        <v>40</v>
      </c>
      <c r="H455" s="2">
        <v>77</v>
      </c>
      <c r="I455" s="3">
        <v>8795</v>
      </c>
      <c r="J455" s="4">
        <v>20.350000000000001</v>
      </c>
      <c r="K455" s="2">
        <v>78</v>
      </c>
      <c r="L455" s="2">
        <v>3</v>
      </c>
      <c r="M455" s="3">
        <v>28842</v>
      </c>
      <c r="N455" t="str" cm="1">
        <f t="array" ref="N455">_xlfn.IFS(Table1_36[[#This Row],[Patient Satisfaction Score]]&gt;=83,"High",H455&lt;=75,"Low",TRUE,"Moderate")</f>
        <v>Moderate</v>
      </c>
      <c r="O455" t="str">
        <f t="shared" si="7"/>
        <v>Adult</v>
      </c>
    </row>
    <row r="456" spans="1:15">
      <c r="A456" t="s">
        <v>524</v>
      </c>
      <c r="B456" t="s">
        <v>78</v>
      </c>
      <c r="C456" t="s">
        <v>15</v>
      </c>
      <c r="D456" t="s">
        <v>27</v>
      </c>
      <c r="E456" s="2">
        <v>54</v>
      </c>
      <c r="F456" t="s">
        <v>22</v>
      </c>
      <c r="G456" t="s">
        <v>49</v>
      </c>
      <c r="H456" s="2">
        <v>80</v>
      </c>
      <c r="I456" s="3">
        <v>5373</v>
      </c>
      <c r="J456" s="4">
        <v>14.87</v>
      </c>
      <c r="K456" s="2">
        <v>47</v>
      </c>
      <c r="L456" s="2">
        <v>4</v>
      </c>
      <c r="M456" s="3">
        <v>27673</v>
      </c>
      <c r="N456" t="str" cm="1">
        <f t="array" ref="N456">_xlfn.IFS(Table1_36[[#This Row],[Patient Satisfaction Score]]&gt;=83,"High",H456&lt;=75,"Low",TRUE,"Moderate")</f>
        <v>Moderate</v>
      </c>
      <c r="O456" t="str">
        <f t="shared" si="7"/>
        <v>Adult</v>
      </c>
    </row>
    <row r="457" spans="1:15">
      <c r="A457" t="s">
        <v>525</v>
      </c>
      <c r="B457" t="s">
        <v>95</v>
      </c>
      <c r="C457" t="s">
        <v>52</v>
      </c>
      <c r="D457" t="s">
        <v>16</v>
      </c>
      <c r="E457" s="2">
        <v>28</v>
      </c>
      <c r="F457" t="s">
        <v>17</v>
      </c>
      <c r="G457" t="s">
        <v>40</v>
      </c>
      <c r="H457" s="2">
        <v>76</v>
      </c>
      <c r="I457" s="3">
        <v>6187</v>
      </c>
      <c r="J457" s="4">
        <v>15.38</v>
      </c>
      <c r="K457" s="2">
        <v>75</v>
      </c>
      <c r="L457" s="2">
        <v>4</v>
      </c>
      <c r="M457" s="3">
        <v>34272</v>
      </c>
      <c r="N457" t="str" cm="1">
        <f t="array" ref="N457">_xlfn.IFS(Table1_36[[#This Row],[Patient Satisfaction Score]]&gt;=83,"High",H457&lt;=75,"Low",TRUE,"Moderate")</f>
        <v>Moderate</v>
      </c>
      <c r="O457" t="str">
        <f t="shared" si="7"/>
        <v>Adult</v>
      </c>
    </row>
    <row r="458" spans="1:15">
      <c r="A458" t="s">
        <v>526</v>
      </c>
      <c r="B458" t="s">
        <v>74</v>
      </c>
      <c r="C458" t="s">
        <v>45</v>
      </c>
      <c r="D458" t="s">
        <v>16</v>
      </c>
      <c r="E458" s="2">
        <v>42</v>
      </c>
      <c r="F458" t="s">
        <v>22</v>
      </c>
      <c r="G458" t="s">
        <v>49</v>
      </c>
      <c r="H458" s="2">
        <v>71</v>
      </c>
      <c r="I458" s="3">
        <v>5563</v>
      </c>
      <c r="J458" s="4">
        <v>22.27</v>
      </c>
      <c r="K458" s="2">
        <v>109</v>
      </c>
      <c r="L458" s="2">
        <v>3</v>
      </c>
      <c r="M458" s="3">
        <v>14127</v>
      </c>
      <c r="N458" t="str" cm="1">
        <f t="array" ref="N458">_xlfn.IFS(Table1_36[[#This Row],[Patient Satisfaction Score]]&gt;=83,"High",H458&lt;=75,"Low",TRUE,"Moderate")</f>
        <v>Low</v>
      </c>
      <c r="O458" t="str">
        <f t="shared" si="7"/>
        <v>Adult</v>
      </c>
    </row>
    <row r="459" spans="1:15">
      <c r="A459" t="s">
        <v>527</v>
      </c>
      <c r="B459" t="s">
        <v>74</v>
      </c>
      <c r="C459" t="s">
        <v>45</v>
      </c>
      <c r="D459" t="s">
        <v>16</v>
      </c>
      <c r="E459" s="2">
        <v>31</v>
      </c>
      <c r="F459" t="s">
        <v>34</v>
      </c>
      <c r="G459" t="s">
        <v>23</v>
      </c>
      <c r="H459" s="2">
        <v>75</v>
      </c>
      <c r="I459" s="3">
        <v>9174</v>
      </c>
      <c r="J459" s="4">
        <v>14.98</v>
      </c>
      <c r="K459" s="2">
        <v>115</v>
      </c>
      <c r="L459" s="2">
        <v>4</v>
      </c>
      <c r="M459" s="3">
        <v>40408</v>
      </c>
      <c r="N459" t="str" cm="1">
        <f t="array" ref="N459">_xlfn.IFS(Table1_36[[#This Row],[Patient Satisfaction Score]]&gt;=83,"High",H459&lt;=75,"Low",TRUE,"Moderate")</f>
        <v>Low</v>
      </c>
      <c r="O459" t="str">
        <f t="shared" si="7"/>
        <v>Adult</v>
      </c>
    </row>
    <row r="460" spans="1:15">
      <c r="A460" t="s">
        <v>528</v>
      </c>
      <c r="B460" t="s">
        <v>68</v>
      </c>
      <c r="C460" t="s">
        <v>45</v>
      </c>
      <c r="D460" t="s">
        <v>16</v>
      </c>
      <c r="E460" s="2">
        <v>64</v>
      </c>
      <c r="F460" t="s">
        <v>34</v>
      </c>
      <c r="G460" t="s">
        <v>49</v>
      </c>
      <c r="H460" s="2">
        <v>82</v>
      </c>
      <c r="I460" s="3">
        <v>9852</v>
      </c>
      <c r="J460" s="4">
        <v>15.93</v>
      </c>
      <c r="K460" s="2">
        <v>74</v>
      </c>
      <c r="L460" s="2">
        <v>3</v>
      </c>
      <c r="M460" s="3">
        <v>26373</v>
      </c>
      <c r="N460" t="str" cm="1">
        <f t="array" ref="N460">_xlfn.IFS(Table1_36[[#This Row],[Patient Satisfaction Score]]&gt;=83,"High",H460&lt;=75,"Low",TRUE,"Moderate")</f>
        <v>Moderate</v>
      </c>
      <c r="O460" t="str">
        <f t="shared" si="7"/>
        <v>Adult</v>
      </c>
    </row>
    <row r="461" spans="1:15">
      <c r="A461" t="s">
        <v>529</v>
      </c>
      <c r="B461" t="s">
        <v>29</v>
      </c>
      <c r="C461" t="s">
        <v>30</v>
      </c>
      <c r="D461" t="s">
        <v>27</v>
      </c>
      <c r="E461" s="2">
        <v>69</v>
      </c>
      <c r="F461" t="s">
        <v>34</v>
      </c>
      <c r="G461" t="s">
        <v>31</v>
      </c>
      <c r="H461" s="2">
        <v>75</v>
      </c>
      <c r="I461" s="3">
        <v>3086</v>
      </c>
      <c r="J461" s="4">
        <v>20.62</v>
      </c>
      <c r="K461" s="2">
        <v>104</v>
      </c>
      <c r="L461" s="2">
        <v>4</v>
      </c>
      <c r="M461" s="3">
        <v>17764</v>
      </c>
      <c r="N461" t="str" cm="1">
        <f t="array" ref="N461">_xlfn.IFS(Table1_36[[#This Row],[Patient Satisfaction Score]]&gt;=83,"High",H461&lt;=75,"Low",TRUE,"Moderate")</f>
        <v>Low</v>
      </c>
      <c r="O461" t="str">
        <f t="shared" si="7"/>
        <v>Adult</v>
      </c>
    </row>
    <row r="462" spans="1:15">
      <c r="A462" t="s">
        <v>530</v>
      </c>
      <c r="B462" t="s">
        <v>187</v>
      </c>
      <c r="C462" t="s">
        <v>30</v>
      </c>
      <c r="D462" t="s">
        <v>27</v>
      </c>
      <c r="E462" s="2">
        <v>42</v>
      </c>
      <c r="F462" t="s">
        <v>17</v>
      </c>
      <c r="G462" t="s">
        <v>31</v>
      </c>
      <c r="H462" s="2">
        <v>61</v>
      </c>
      <c r="I462" s="3">
        <v>4089</v>
      </c>
      <c r="J462" s="4">
        <v>16.52</v>
      </c>
      <c r="K462" s="2">
        <v>92</v>
      </c>
      <c r="L462" s="2">
        <v>3</v>
      </c>
      <c r="M462" s="3">
        <v>15008</v>
      </c>
      <c r="N462" t="str" cm="1">
        <f t="array" ref="N462">_xlfn.IFS(Table1_36[[#This Row],[Patient Satisfaction Score]]&gt;=83,"High",H462&lt;=75,"Low",TRUE,"Moderate")</f>
        <v>Low</v>
      </c>
      <c r="O462" t="str">
        <f t="shared" si="7"/>
        <v>Adult</v>
      </c>
    </row>
    <row r="463" spans="1:15">
      <c r="A463" t="s">
        <v>531</v>
      </c>
      <c r="B463" t="s">
        <v>95</v>
      </c>
      <c r="C463" t="s">
        <v>52</v>
      </c>
      <c r="D463" t="s">
        <v>27</v>
      </c>
      <c r="E463" s="2">
        <v>58</v>
      </c>
      <c r="F463" t="s">
        <v>34</v>
      </c>
      <c r="G463" t="s">
        <v>40</v>
      </c>
      <c r="H463" s="2">
        <v>89</v>
      </c>
      <c r="I463" s="3">
        <v>8403</v>
      </c>
      <c r="J463" s="4">
        <v>9.26</v>
      </c>
      <c r="K463" s="2">
        <v>32</v>
      </c>
      <c r="L463" s="2">
        <v>5</v>
      </c>
      <c r="M463" s="3">
        <v>25533</v>
      </c>
      <c r="N463" t="str" cm="1">
        <f t="array" ref="N463">_xlfn.IFS(Table1_36[[#This Row],[Patient Satisfaction Score]]&gt;=83,"High",H463&lt;=75,"Low",TRUE,"Moderate")</f>
        <v>High</v>
      </c>
      <c r="O463" t="str">
        <f t="shared" si="7"/>
        <v>Adult</v>
      </c>
    </row>
    <row r="464" spans="1:15">
      <c r="A464" t="s">
        <v>532</v>
      </c>
      <c r="B464" t="s">
        <v>78</v>
      </c>
      <c r="C464" t="s">
        <v>15</v>
      </c>
      <c r="D464" t="s">
        <v>72</v>
      </c>
      <c r="E464" s="2">
        <v>35</v>
      </c>
      <c r="F464" t="s">
        <v>17</v>
      </c>
      <c r="G464" t="s">
        <v>70</v>
      </c>
      <c r="H464" s="2">
        <v>80</v>
      </c>
      <c r="I464" s="3">
        <v>5383</v>
      </c>
      <c r="J464" s="4">
        <v>8.99</v>
      </c>
      <c r="K464" s="2">
        <v>71</v>
      </c>
      <c r="L464" s="2">
        <v>4</v>
      </c>
      <c r="M464" s="3">
        <v>14110</v>
      </c>
      <c r="N464" t="str" cm="1">
        <f t="array" ref="N464">_xlfn.IFS(Table1_36[[#This Row],[Patient Satisfaction Score]]&gt;=83,"High",H464&lt;=75,"Low",TRUE,"Moderate")</f>
        <v>Moderate</v>
      </c>
      <c r="O464" t="str">
        <f t="shared" si="7"/>
        <v>Adult</v>
      </c>
    </row>
    <row r="465" spans="1:15">
      <c r="A465" t="s">
        <v>533</v>
      </c>
      <c r="B465" t="s">
        <v>64</v>
      </c>
      <c r="C465" t="s">
        <v>30</v>
      </c>
      <c r="D465" t="s">
        <v>27</v>
      </c>
      <c r="E465" s="2">
        <v>76</v>
      </c>
      <c r="F465" t="s">
        <v>17</v>
      </c>
      <c r="G465" t="s">
        <v>31</v>
      </c>
      <c r="H465" s="2">
        <v>79</v>
      </c>
      <c r="I465" s="3">
        <v>3867</v>
      </c>
      <c r="J465" s="4">
        <v>13.45</v>
      </c>
      <c r="K465" s="2">
        <v>92</v>
      </c>
      <c r="L465" s="2">
        <v>4</v>
      </c>
      <c r="M465" s="3">
        <v>21790</v>
      </c>
      <c r="N465" t="str" cm="1">
        <f t="array" ref="N465">_xlfn.IFS(Table1_36[[#This Row],[Patient Satisfaction Score]]&gt;=83,"High",H465&lt;=75,"Low",TRUE,"Moderate")</f>
        <v>Moderate</v>
      </c>
      <c r="O465" t="str">
        <f t="shared" si="7"/>
        <v>Adult</v>
      </c>
    </row>
    <row r="466" spans="1:15">
      <c r="A466" t="s">
        <v>534</v>
      </c>
      <c r="B466" t="s">
        <v>25</v>
      </c>
      <c r="C466" t="s">
        <v>26</v>
      </c>
      <c r="D466" t="s">
        <v>72</v>
      </c>
      <c r="E466" s="2">
        <v>24</v>
      </c>
      <c r="F466" t="s">
        <v>34</v>
      </c>
      <c r="G466" t="s">
        <v>70</v>
      </c>
      <c r="H466" s="2">
        <v>95</v>
      </c>
      <c r="I466" s="3">
        <v>1766</v>
      </c>
      <c r="J466" s="4">
        <v>2.99</v>
      </c>
      <c r="K466" s="2">
        <v>29</v>
      </c>
      <c r="L466" s="2">
        <v>5</v>
      </c>
      <c r="M466" s="3">
        <v>8575</v>
      </c>
      <c r="N466" t="str" cm="1">
        <f t="array" ref="N466">_xlfn.IFS(Table1_36[[#This Row],[Patient Satisfaction Score]]&gt;=83,"High",H466&lt;=75,"Low",TRUE,"Moderate")</f>
        <v>High</v>
      </c>
      <c r="O466" t="str">
        <f t="shared" si="7"/>
        <v>Adult</v>
      </c>
    </row>
    <row r="467" spans="1:15">
      <c r="A467" t="s">
        <v>535</v>
      </c>
      <c r="B467" t="s">
        <v>103</v>
      </c>
      <c r="C467" t="s">
        <v>26</v>
      </c>
      <c r="D467" t="s">
        <v>27</v>
      </c>
      <c r="E467" s="2">
        <v>37</v>
      </c>
      <c r="F467" t="s">
        <v>22</v>
      </c>
      <c r="G467" t="s">
        <v>49</v>
      </c>
      <c r="H467" s="2">
        <v>92</v>
      </c>
      <c r="I467" s="3">
        <v>2740</v>
      </c>
      <c r="J467" s="4">
        <v>2.2200000000000002</v>
      </c>
      <c r="K467" s="2">
        <v>68</v>
      </c>
      <c r="L467" s="2">
        <v>4</v>
      </c>
      <c r="M467" s="3">
        <v>9445</v>
      </c>
      <c r="N467" t="str" cm="1">
        <f t="array" ref="N467">_xlfn.IFS(Table1_36[[#This Row],[Patient Satisfaction Score]]&gt;=83,"High",H467&lt;=75,"Low",TRUE,"Moderate")</f>
        <v>High</v>
      </c>
      <c r="O467" t="str">
        <f t="shared" si="7"/>
        <v>Adult</v>
      </c>
    </row>
    <row r="468" spans="1:15">
      <c r="A468" t="s">
        <v>536</v>
      </c>
      <c r="B468" t="s">
        <v>129</v>
      </c>
      <c r="C468" t="s">
        <v>21</v>
      </c>
      <c r="D468" t="s">
        <v>27</v>
      </c>
      <c r="E468" s="2">
        <v>62</v>
      </c>
      <c r="F468" t="s">
        <v>22</v>
      </c>
      <c r="G468" t="s">
        <v>70</v>
      </c>
      <c r="H468" s="2">
        <v>82</v>
      </c>
      <c r="I468" s="3">
        <v>5967</v>
      </c>
      <c r="J468" s="4">
        <v>17.850000000000001</v>
      </c>
      <c r="K468" s="2">
        <v>126</v>
      </c>
      <c r="L468" s="2">
        <v>4</v>
      </c>
      <c r="M468" s="3">
        <v>23505</v>
      </c>
      <c r="N468" t="str" cm="1">
        <f t="array" ref="N468">_xlfn.IFS(Table1_36[[#This Row],[Patient Satisfaction Score]]&gt;=83,"High",H468&lt;=75,"Low",TRUE,"Moderate")</f>
        <v>Moderate</v>
      </c>
      <c r="O468" t="str">
        <f t="shared" si="7"/>
        <v>Adult</v>
      </c>
    </row>
    <row r="469" spans="1:15">
      <c r="A469" t="s">
        <v>537</v>
      </c>
      <c r="B469" t="s">
        <v>143</v>
      </c>
      <c r="C469" t="s">
        <v>21</v>
      </c>
      <c r="D469" t="s">
        <v>16</v>
      </c>
      <c r="E469" s="2">
        <v>8</v>
      </c>
      <c r="F469" t="s">
        <v>17</v>
      </c>
      <c r="G469" t="s">
        <v>40</v>
      </c>
      <c r="H469" s="2">
        <v>82</v>
      </c>
      <c r="I469" s="3">
        <v>7987</v>
      </c>
      <c r="J469" s="4">
        <v>15.84</v>
      </c>
      <c r="K469" s="2">
        <v>74</v>
      </c>
      <c r="L469" s="2">
        <v>4</v>
      </c>
      <c r="M469" s="3">
        <v>35515</v>
      </c>
      <c r="N469" t="str" cm="1">
        <f t="array" ref="N469">_xlfn.IFS(Table1_36[[#This Row],[Patient Satisfaction Score]]&gt;=83,"High",H469&lt;=75,"Low",TRUE,"Moderate")</f>
        <v>Moderate</v>
      </c>
      <c r="O469" t="str">
        <f t="shared" si="7"/>
        <v>Pediatric</v>
      </c>
    </row>
    <row r="470" spans="1:15">
      <c r="A470" t="s">
        <v>538</v>
      </c>
      <c r="B470" t="s">
        <v>44</v>
      </c>
      <c r="C470" t="s">
        <v>45</v>
      </c>
      <c r="D470" t="s">
        <v>27</v>
      </c>
      <c r="E470" s="2">
        <v>25</v>
      </c>
      <c r="F470" t="s">
        <v>34</v>
      </c>
      <c r="G470" t="s">
        <v>18</v>
      </c>
      <c r="H470" s="2">
        <v>79</v>
      </c>
      <c r="I470" s="3">
        <v>7609</v>
      </c>
      <c r="J470" s="4">
        <v>20.32</v>
      </c>
      <c r="K470" s="2">
        <v>81</v>
      </c>
      <c r="L470" s="2">
        <v>4</v>
      </c>
      <c r="M470" s="3">
        <v>27659</v>
      </c>
      <c r="N470" t="str" cm="1">
        <f t="array" ref="N470">_xlfn.IFS(Table1_36[[#This Row],[Patient Satisfaction Score]]&gt;=83,"High",H470&lt;=75,"Low",TRUE,"Moderate")</f>
        <v>Moderate</v>
      </c>
      <c r="O470" t="str">
        <f t="shared" si="7"/>
        <v>Adult</v>
      </c>
    </row>
    <row r="471" spans="1:15">
      <c r="A471" t="s">
        <v>539</v>
      </c>
      <c r="B471" t="s">
        <v>185</v>
      </c>
      <c r="C471" t="s">
        <v>52</v>
      </c>
      <c r="D471" t="s">
        <v>27</v>
      </c>
      <c r="E471" s="2">
        <v>63</v>
      </c>
      <c r="F471" t="s">
        <v>34</v>
      </c>
      <c r="G471" t="s">
        <v>18</v>
      </c>
      <c r="H471" s="2">
        <v>63</v>
      </c>
      <c r="I471" s="3">
        <v>10597</v>
      </c>
      <c r="J471" s="4">
        <v>17.670000000000002</v>
      </c>
      <c r="K471" s="2">
        <v>113</v>
      </c>
      <c r="L471" s="2">
        <v>4</v>
      </c>
      <c r="M471" s="3">
        <v>36726</v>
      </c>
      <c r="N471" t="str" cm="1">
        <f t="array" ref="N471">_xlfn.IFS(Table1_36[[#This Row],[Patient Satisfaction Score]]&gt;=83,"High",H471&lt;=75,"Low",TRUE,"Moderate")</f>
        <v>Low</v>
      </c>
      <c r="O471" t="str">
        <f t="shared" si="7"/>
        <v>Adult</v>
      </c>
    </row>
    <row r="472" spans="1:15">
      <c r="A472" t="s">
        <v>540</v>
      </c>
      <c r="B472" t="s">
        <v>14</v>
      </c>
      <c r="C472" t="s">
        <v>15</v>
      </c>
      <c r="D472" t="s">
        <v>16</v>
      </c>
      <c r="E472" s="2">
        <v>30</v>
      </c>
      <c r="F472" t="s">
        <v>34</v>
      </c>
      <c r="G472" t="s">
        <v>49</v>
      </c>
      <c r="H472" s="2">
        <v>80</v>
      </c>
      <c r="I472" s="3">
        <v>5529</v>
      </c>
      <c r="J472" s="4">
        <v>19.03</v>
      </c>
      <c r="K472" s="2">
        <v>99</v>
      </c>
      <c r="L472" s="2">
        <v>4</v>
      </c>
      <c r="M472" s="3">
        <v>18054</v>
      </c>
      <c r="N472" t="str" cm="1">
        <f t="array" ref="N472">_xlfn.IFS(Table1_36[[#This Row],[Patient Satisfaction Score]]&gt;=83,"High",H472&lt;=75,"Low",TRUE,"Moderate")</f>
        <v>Moderate</v>
      </c>
      <c r="O472" t="str">
        <f t="shared" si="7"/>
        <v>Adult</v>
      </c>
    </row>
    <row r="473" spans="1:15">
      <c r="A473" t="s">
        <v>541</v>
      </c>
      <c r="B473" t="s">
        <v>97</v>
      </c>
      <c r="C473" t="s">
        <v>30</v>
      </c>
      <c r="D473" t="s">
        <v>27</v>
      </c>
      <c r="E473" s="2">
        <v>66</v>
      </c>
      <c r="F473" t="s">
        <v>17</v>
      </c>
      <c r="G473" t="s">
        <v>49</v>
      </c>
      <c r="H473" s="2">
        <v>75</v>
      </c>
      <c r="I473" s="3">
        <v>3299</v>
      </c>
      <c r="J473" s="4">
        <v>9.5399999999999991</v>
      </c>
      <c r="K473" s="2">
        <v>116</v>
      </c>
      <c r="L473" s="2">
        <v>4</v>
      </c>
      <c r="M473" s="3">
        <v>13620</v>
      </c>
      <c r="N473" t="str" cm="1">
        <f t="array" ref="N473">_xlfn.IFS(Table1_36[[#This Row],[Patient Satisfaction Score]]&gt;=83,"High",H473&lt;=75,"Low",TRUE,"Moderate")</f>
        <v>Low</v>
      </c>
      <c r="O473" t="str">
        <f t="shared" si="7"/>
        <v>Adult</v>
      </c>
    </row>
    <row r="474" spans="1:15">
      <c r="A474" t="s">
        <v>542</v>
      </c>
      <c r="B474" t="s">
        <v>187</v>
      </c>
      <c r="C474" t="s">
        <v>30</v>
      </c>
      <c r="D474" t="s">
        <v>16</v>
      </c>
      <c r="E474" s="2">
        <v>23</v>
      </c>
      <c r="F474" t="s">
        <v>22</v>
      </c>
      <c r="G474" t="s">
        <v>23</v>
      </c>
      <c r="H474" s="2">
        <v>72</v>
      </c>
      <c r="I474" s="3">
        <v>2603</v>
      </c>
      <c r="J474" s="4">
        <v>18.760000000000002</v>
      </c>
      <c r="K474" s="2">
        <v>148</v>
      </c>
      <c r="L474" s="2">
        <v>3</v>
      </c>
      <c r="M474" s="3">
        <v>15301</v>
      </c>
      <c r="N474" t="str" cm="1">
        <f t="array" ref="N474">_xlfn.IFS(Table1_36[[#This Row],[Patient Satisfaction Score]]&gt;=83,"High",H474&lt;=75,"Low",TRUE,"Moderate")</f>
        <v>Low</v>
      </c>
      <c r="O474" t="str">
        <f t="shared" si="7"/>
        <v>Adult</v>
      </c>
    </row>
    <row r="475" spans="1:15">
      <c r="A475" t="s">
        <v>543</v>
      </c>
      <c r="B475" t="s">
        <v>51</v>
      </c>
      <c r="C475" t="s">
        <v>52</v>
      </c>
      <c r="D475" t="s">
        <v>27</v>
      </c>
      <c r="E475" s="2">
        <v>77</v>
      </c>
      <c r="F475" t="s">
        <v>17</v>
      </c>
      <c r="G475" t="s">
        <v>49</v>
      </c>
      <c r="H475" s="2">
        <v>74</v>
      </c>
      <c r="I475" s="3">
        <v>6763</v>
      </c>
      <c r="J475" s="4">
        <v>14</v>
      </c>
      <c r="K475" s="2">
        <v>119</v>
      </c>
      <c r="L475" s="2">
        <v>3</v>
      </c>
      <c r="M475" s="3">
        <v>24978</v>
      </c>
      <c r="N475" t="str" cm="1">
        <f t="array" ref="N475">_xlfn.IFS(Table1_36[[#This Row],[Patient Satisfaction Score]]&gt;=83,"High",H475&lt;=75,"Low",TRUE,"Moderate")</f>
        <v>Low</v>
      </c>
      <c r="O475" t="str">
        <f t="shared" si="7"/>
        <v>Adult</v>
      </c>
    </row>
    <row r="476" spans="1:15">
      <c r="A476" t="s">
        <v>544</v>
      </c>
      <c r="B476" t="s">
        <v>51</v>
      </c>
      <c r="C476" t="s">
        <v>52</v>
      </c>
      <c r="D476" t="s">
        <v>27</v>
      </c>
      <c r="E476" s="2">
        <v>41</v>
      </c>
      <c r="F476" t="s">
        <v>34</v>
      </c>
      <c r="G476" t="s">
        <v>18</v>
      </c>
      <c r="H476" s="2">
        <v>79</v>
      </c>
      <c r="I476" s="3">
        <v>8706</v>
      </c>
      <c r="J476" s="4">
        <v>11.07</v>
      </c>
      <c r="K476" s="2">
        <v>95</v>
      </c>
      <c r="L476" s="2">
        <v>3</v>
      </c>
      <c r="M476" s="3">
        <v>43028</v>
      </c>
      <c r="N476" t="str" cm="1">
        <f t="array" ref="N476">_xlfn.IFS(Table1_36[[#This Row],[Patient Satisfaction Score]]&gt;=83,"High",H476&lt;=75,"Low",TRUE,"Moderate")</f>
        <v>Moderate</v>
      </c>
      <c r="O476" t="str">
        <f t="shared" si="7"/>
        <v>Adult</v>
      </c>
    </row>
    <row r="477" spans="1:15">
      <c r="A477" t="s">
        <v>545</v>
      </c>
      <c r="B477" t="s">
        <v>42</v>
      </c>
      <c r="C477" t="s">
        <v>39</v>
      </c>
      <c r="D477" t="s">
        <v>16</v>
      </c>
      <c r="E477" s="2">
        <v>16</v>
      </c>
      <c r="F477" t="s">
        <v>22</v>
      </c>
      <c r="G477" t="s">
        <v>40</v>
      </c>
      <c r="H477" s="2">
        <v>80</v>
      </c>
      <c r="I477" s="3">
        <v>3709</v>
      </c>
      <c r="J477" s="4">
        <v>12.64</v>
      </c>
      <c r="K477" s="2">
        <v>63</v>
      </c>
      <c r="L477" s="2">
        <v>4</v>
      </c>
      <c r="M477" s="3">
        <v>9286</v>
      </c>
      <c r="N477" t="str" cm="1">
        <f t="array" ref="N477">_xlfn.IFS(Table1_36[[#This Row],[Patient Satisfaction Score]]&gt;=83,"High",H477&lt;=75,"Low",TRUE,"Moderate")</f>
        <v>Moderate</v>
      </c>
      <c r="O477" t="str">
        <f t="shared" si="7"/>
        <v>Pediatric</v>
      </c>
    </row>
    <row r="478" spans="1:15">
      <c r="A478" t="s">
        <v>546</v>
      </c>
      <c r="B478" t="s">
        <v>62</v>
      </c>
      <c r="C478" t="s">
        <v>52</v>
      </c>
      <c r="D478" t="s">
        <v>16</v>
      </c>
      <c r="E478" s="2">
        <v>27</v>
      </c>
      <c r="F478" t="s">
        <v>22</v>
      </c>
      <c r="G478" t="s">
        <v>49</v>
      </c>
      <c r="H478" s="2">
        <v>76</v>
      </c>
      <c r="I478" s="3">
        <v>9898</v>
      </c>
      <c r="J478" s="4">
        <v>19.75</v>
      </c>
      <c r="K478" s="2">
        <v>65</v>
      </c>
      <c r="L478" s="2">
        <v>4</v>
      </c>
      <c r="M478" s="3">
        <v>49992</v>
      </c>
      <c r="N478" t="str" cm="1">
        <f t="array" ref="N478">_xlfn.IFS(Table1_36[[#This Row],[Patient Satisfaction Score]]&gt;=83,"High",H478&lt;=75,"Low",TRUE,"Moderate")</f>
        <v>Moderate</v>
      </c>
      <c r="O478" t="str">
        <f t="shared" si="7"/>
        <v>Adult</v>
      </c>
    </row>
    <row r="479" spans="1:15">
      <c r="A479" t="s">
        <v>547</v>
      </c>
      <c r="B479" t="s">
        <v>185</v>
      </c>
      <c r="C479" t="s">
        <v>52</v>
      </c>
      <c r="D479" t="s">
        <v>27</v>
      </c>
      <c r="E479" s="2">
        <v>68</v>
      </c>
      <c r="F479" t="s">
        <v>17</v>
      </c>
      <c r="G479" t="s">
        <v>49</v>
      </c>
      <c r="H479" s="2">
        <v>76</v>
      </c>
      <c r="I479" s="3">
        <v>4847</v>
      </c>
      <c r="J479" s="4">
        <v>16.829999999999998</v>
      </c>
      <c r="K479" s="2">
        <v>55</v>
      </c>
      <c r="L479" s="2">
        <v>4</v>
      </c>
      <c r="M479" s="3">
        <v>18937</v>
      </c>
      <c r="N479" t="str" cm="1">
        <f t="array" ref="N479">_xlfn.IFS(Table1_36[[#This Row],[Patient Satisfaction Score]]&gt;=83,"High",H479&lt;=75,"Low",TRUE,"Moderate")</f>
        <v>Moderate</v>
      </c>
      <c r="O479" t="str">
        <f t="shared" si="7"/>
        <v>Adult</v>
      </c>
    </row>
    <row r="480" spans="1:15">
      <c r="A480" t="s">
        <v>548</v>
      </c>
      <c r="B480" t="s">
        <v>36</v>
      </c>
      <c r="C480" t="s">
        <v>21</v>
      </c>
      <c r="D480" t="s">
        <v>16</v>
      </c>
      <c r="E480" s="2">
        <v>62</v>
      </c>
      <c r="F480" t="s">
        <v>17</v>
      </c>
      <c r="G480" t="s">
        <v>40</v>
      </c>
      <c r="H480" s="2">
        <v>78</v>
      </c>
      <c r="I480" s="3">
        <v>5308</v>
      </c>
      <c r="J480" s="4">
        <v>20.420000000000002</v>
      </c>
      <c r="K480" s="2">
        <v>104</v>
      </c>
      <c r="L480" s="2">
        <v>4</v>
      </c>
      <c r="M480" s="3">
        <v>31060</v>
      </c>
      <c r="N480" t="str" cm="1">
        <f t="array" ref="N480">_xlfn.IFS(Table1_36[[#This Row],[Patient Satisfaction Score]]&gt;=83,"High",H480&lt;=75,"Low",TRUE,"Moderate")</f>
        <v>Moderate</v>
      </c>
      <c r="O480" t="str">
        <f t="shared" si="7"/>
        <v>Adult</v>
      </c>
    </row>
    <row r="481" spans="1:15">
      <c r="A481" t="s">
        <v>549</v>
      </c>
      <c r="B481" t="s">
        <v>137</v>
      </c>
      <c r="C481" t="s">
        <v>26</v>
      </c>
      <c r="D481" t="s">
        <v>27</v>
      </c>
      <c r="E481" s="2">
        <v>57</v>
      </c>
      <c r="F481" t="s">
        <v>34</v>
      </c>
      <c r="G481" t="s">
        <v>70</v>
      </c>
      <c r="H481" s="2">
        <v>89</v>
      </c>
      <c r="I481" s="3">
        <v>2549</v>
      </c>
      <c r="J481" s="4">
        <v>1.63</v>
      </c>
      <c r="K481" s="2">
        <v>100</v>
      </c>
      <c r="L481" s="2">
        <v>4</v>
      </c>
      <c r="M481" s="3">
        <v>9840</v>
      </c>
      <c r="N481" t="str" cm="1">
        <f t="array" ref="N481">_xlfn.IFS(Table1_36[[#This Row],[Patient Satisfaction Score]]&gt;=83,"High",H481&lt;=75,"Low",TRUE,"Moderate")</f>
        <v>High</v>
      </c>
      <c r="O481" t="str">
        <f t="shared" si="7"/>
        <v>Adult</v>
      </c>
    </row>
    <row r="482" spans="1:15">
      <c r="A482" t="s">
        <v>550</v>
      </c>
      <c r="B482" t="s">
        <v>129</v>
      </c>
      <c r="C482" t="s">
        <v>21</v>
      </c>
      <c r="D482" t="s">
        <v>27</v>
      </c>
      <c r="E482" s="2">
        <v>38</v>
      </c>
      <c r="F482" t="s">
        <v>22</v>
      </c>
      <c r="G482" t="s">
        <v>70</v>
      </c>
      <c r="H482" s="2">
        <v>85</v>
      </c>
      <c r="I482" s="3">
        <v>5683</v>
      </c>
      <c r="J482" s="4">
        <v>13.85</v>
      </c>
      <c r="K482" s="2">
        <v>85</v>
      </c>
      <c r="L482" s="2">
        <v>3</v>
      </c>
      <c r="M482" s="3">
        <v>31584</v>
      </c>
      <c r="N482" t="str" cm="1">
        <f t="array" ref="N482">_xlfn.IFS(Table1_36[[#This Row],[Patient Satisfaction Score]]&gt;=83,"High",H482&lt;=75,"Low",TRUE,"Moderate")</f>
        <v>High</v>
      </c>
      <c r="O482" t="str">
        <f t="shared" si="7"/>
        <v>Adult</v>
      </c>
    </row>
    <row r="483" spans="1:15">
      <c r="A483" t="s">
        <v>551</v>
      </c>
      <c r="B483" t="s">
        <v>60</v>
      </c>
      <c r="C483" t="s">
        <v>52</v>
      </c>
      <c r="D483" t="s">
        <v>27</v>
      </c>
      <c r="E483" s="2">
        <v>33</v>
      </c>
      <c r="F483" t="s">
        <v>22</v>
      </c>
      <c r="G483" t="s">
        <v>18</v>
      </c>
      <c r="H483" s="2">
        <v>85</v>
      </c>
      <c r="I483" s="3">
        <v>6691</v>
      </c>
      <c r="J483" s="4">
        <v>7.47</v>
      </c>
      <c r="K483" s="2">
        <v>100</v>
      </c>
      <c r="L483" s="2">
        <v>5</v>
      </c>
      <c r="M483" s="3">
        <v>24109</v>
      </c>
      <c r="N483" t="str" cm="1">
        <f t="array" ref="N483">_xlfn.IFS(Table1_36[[#This Row],[Patient Satisfaction Score]]&gt;=83,"High",H483&lt;=75,"Low",TRUE,"Moderate")</f>
        <v>High</v>
      </c>
      <c r="O483" t="str">
        <f t="shared" si="7"/>
        <v>Adult</v>
      </c>
    </row>
    <row r="484" spans="1:15">
      <c r="A484" t="s">
        <v>552</v>
      </c>
      <c r="B484" t="s">
        <v>74</v>
      </c>
      <c r="C484" t="s">
        <v>45</v>
      </c>
      <c r="D484" t="s">
        <v>16</v>
      </c>
      <c r="E484" s="2">
        <v>51</v>
      </c>
      <c r="F484" t="s">
        <v>34</v>
      </c>
      <c r="G484" t="s">
        <v>49</v>
      </c>
      <c r="H484" s="2">
        <v>85</v>
      </c>
      <c r="I484" s="3">
        <v>9389</v>
      </c>
      <c r="J484" s="4">
        <v>12.9</v>
      </c>
      <c r="K484" s="2">
        <v>76</v>
      </c>
      <c r="L484" s="2">
        <v>5</v>
      </c>
      <c r="M484" s="3">
        <v>48232</v>
      </c>
      <c r="N484" t="str" cm="1">
        <f t="array" ref="N484">_xlfn.IFS(Table1_36[[#This Row],[Patient Satisfaction Score]]&gt;=83,"High",H484&lt;=75,"Low",TRUE,"Moderate")</f>
        <v>High</v>
      </c>
      <c r="O484" t="str">
        <f t="shared" si="7"/>
        <v>Adult</v>
      </c>
    </row>
    <row r="485" spans="1:15">
      <c r="A485" t="s">
        <v>553</v>
      </c>
      <c r="B485" t="s">
        <v>36</v>
      </c>
      <c r="C485" t="s">
        <v>21</v>
      </c>
      <c r="D485" t="s">
        <v>27</v>
      </c>
      <c r="E485" s="2">
        <v>44</v>
      </c>
      <c r="F485" t="s">
        <v>17</v>
      </c>
      <c r="G485" t="s">
        <v>40</v>
      </c>
      <c r="H485" s="2">
        <v>68</v>
      </c>
      <c r="I485" s="3">
        <v>7468</v>
      </c>
      <c r="J485" s="4">
        <v>20.76</v>
      </c>
      <c r="K485" s="2">
        <v>111</v>
      </c>
      <c r="L485" s="2">
        <v>3</v>
      </c>
      <c r="M485" s="3">
        <v>34799</v>
      </c>
      <c r="N485" t="str" cm="1">
        <f t="array" ref="N485">_xlfn.IFS(Table1_36[[#This Row],[Patient Satisfaction Score]]&gt;=83,"High",H485&lt;=75,"Low",TRUE,"Moderate")</f>
        <v>Low</v>
      </c>
      <c r="O485" t="str">
        <f t="shared" si="7"/>
        <v>Adult</v>
      </c>
    </row>
    <row r="486" spans="1:15">
      <c r="A486" t="s">
        <v>554</v>
      </c>
      <c r="B486" t="s">
        <v>88</v>
      </c>
      <c r="C486" t="s">
        <v>15</v>
      </c>
      <c r="D486" t="s">
        <v>16</v>
      </c>
      <c r="E486" s="2">
        <v>37</v>
      </c>
      <c r="F486" t="s">
        <v>17</v>
      </c>
      <c r="G486" t="s">
        <v>49</v>
      </c>
      <c r="H486" s="2">
        <v>83</v>
      </c>
      <c r="I486" s="3">
        <v>6924</v>
      </c>
      <c r="J486" s="4">
        <v>12.07</v>
      </c>
      <c r="K486" s="2">
        <v>93</v>
      </c>
      <c r="L486" s="2">
        <v>5</v>
      </c>
      <c r="M486" s="3">
        <v>19394</v>
      </c>
      <c r="N486" t="str" cm="1">
        <f t="array" ref="N486">_xlfn.IFS(Table1_36[[#This Row],[Patient Satisfaction Score]]&gt;=83,"High",H486&lt;=75,"Low",TRUE,"Moderate")</f>
        <v>High</v>
      </c>
      <c r="O486" t="str">
        <f t="shared" si="7"/>
        <v>Adult</v>
      </c>
    </row>
    <row r="487" spans="1:15">
      <c r="A487" t="s">
        <v>555</v>
      </c>
      <c r="B487" t="s">
        <v>51</v>
      </c>
      <c r="C487" t="s">
        <v>52</v>
      </c>
      <c r="D487" t="s">
        <v>27</v>
      </c>
      <c r="E487" s="2">
        <v>68</v>
      </c>
      <c r="F487" t="s">
        <v>22</v>
      </c>
      <c r="G487" t="s">
        <v>49</v>
      </c>
      <c r="H487" s="2">
        <v>85</v>
      </c>
      <c r="I487" s="3">
        <v>9051</v>
      </c>
      <c r="J487" s="4">
        <v>8.92</v>
      </c>
      <c r="K487" s="2">
        <v>125</v>
      </c>
      <c r="L487" s="2">
        <v>4</v>
      </c>
      <c r="M487" s="3">
        <v>30620</v>
      </c>
      <c r="N487" t="str" cm="1">
        <f t="array" ref="N487">_xlfn.IFS(Table1_36[[#This Row],[Patient Satisfaction Score]]&gt;=83,"High",H487&lt;=75,"Low",TRUE,"Moderate")</f>
        <v>High</v>
      </c>
      <c r="O487" t="str">
        <f t="shared" si="7"/>
        <v>Adult</v>
      </c>
    </row>
    <row r="488" spans="1:15">
      <c r="A488" t="s">
        <v>556</v>
      </c>
      <c r="B488" t="s">
        <v>109</v>
      </c>
      <c r="C488" t="s">
        <v>30</v>
      </c>
      <c r="D488" t="s">
        <v>27</v>
      </c>
      <c r="E488" s="2">
        <v>63</v>
      </c>
      <c r="F488" t="s">
        <v>22</v>
      </c>
      <c r="G488" t="s">
        <v>31</v>
      </c>
      <c r="H488" s="2">
        <v>82</v>
      </c>
      <c r="I488" s="3">
        <v>4612</v>
      </c>
      <c r="J488" s="4">
        <v>20.3</v>
      </c>
      <c r="K488" s="2">
        <v>79</v>
      </c>
      <c r="L488" s="2">
        <v>4</v>
      </c>
      <c r="M488" s="3">
        <v>19055</v>
      </c>
      <c r="N488" t="str" cm="1">
        <f t="array" ref="N488">_xlfn.IFS(Table1_36[[#This Row],[Patient Satisfaction Score]]&gt;=83,"High",H488&lt;=75,"Low",TRUE,"Moderate")</f>
        <v>Moderate</v>
      </c>
      <c r="O488" t="str">
        <f t="shared" si="7"/>
        <v>Adult</v>
      </c>
    </row>
    <row r="489" spans="1:15">
      <c r="A489" t="s">
        <v>557</v>
      </c>
      <c r="B489" t="s">
        <v>185</v>
      </c>
      <c r="C489" t="s">
        <v>52</v>
      </c>
      <c r="D489" t="s">
        <v>27</v>
      </c>
      <c r="E489" s="2">
        <v>56</v>
      </c>
      <c r="F489" t="s">
        <v>34</v>
      </c>
      <c r="G489" t="s">
        <v>40</v>
      </c>
      <c r="H489" s="2">
        <v>77</v>
      </c>
      <c r="I489" s="3">
        <v>4759</v>
      </c>
      <c r="J489" s="4">
        <v>17.239999999999998</v>
      </c>
      <c r="K489" s="2">
        <v>61</v>
      </c>
      <c r="L489" s="2">
        <v>4</v>
      </c>
      <c r="M489" s="3">
        <v>24665</v>
      </c>
      <c r="N489" t="str" cm="1">
        <f t="array" ref="N489">_xlfn.IFS(Table1_36[[#This Row],[Patient Satisfaction Score]]&gt;=83,"High",H489&lt;=75,"Low",TRUE,"Moderate")</f>
        <v>Moderate</v>
      </c>
      <c r="O489" t="str">
        <f t="shared" si="7"/>
        <v>Adult</v>
      </c>
    </row>
    <row r="490" spans="1:15">
      <c r="A490" t="s">
        <v>558</v>
      </c>
      <c r="B490" t="s">
        <v>97</v>
      </c>
      <c r="C490" t="s">
        <v>30</v>
      </c>
      <c r="D490" t="s">
        <v>16</v>
      </c>
      <c r="E490" s="2">
        <v>24</v>
      </c>
      <c r="F490" t="s">
        <v>22</v>
      </c>
      <c r="G490" t="s">
        <v>23</v>
      </c>
      <c r="H490" s="2">
        <v>65</v>
      </c>
      <c r="I490" s="3">
        <v>2824</v>
      </c>
      <c r="J490" s="4">
        <v>24.51</v>
      </c>
      <c r="K490" s="2">
        <v>134</v>
      </c>
      <c r="L490" s="2">
        <v>4</v>
      </c>
      <c r="M490" s="3">
        <v>11134</v>
      </c>
      <c r="N490" t="str" cm="1">
        <f t="array" ref="N490">_xlfn.IFS(Table1_36[[#This Row],[Patient Satisfaction Score]]&gt;=83,"High",H490&lt;=75,"Low",TRUE,"Moderate")</f>
        <v>Low</v>
      </c>
      <c r="O490" t="str">
        <f t="shared" si="7"/>
        <v>Adult</v>
      </c>
    </row>
    <row r="491" spans="1:15">
      <c r="A491" t="s">
        <v>559</v>
      </c>
      <c r="B491" t="s">
        <v>68</v>
      </c>
      <c r="C491" t="s">
        <v>45</v>
      </c>
      <c r="D491" t="s">
        <v>16</v>
      </c>
      <c r="E491" s="2">
        <v>49</v>
      </c>
      <c r="F491" t="s">
        <v>22</v>
      </c>
      <c r="G491" t="s">
        <v>18</v>
      </c>
      <c r="H491" s="2">
        <v>76</v>
      </c>
      <c r="I491" s="3">
        <v>8841</v>
      </c>
      <c r="J491" s="4">
        <v>18.350000000000001</v>
      </c>
      <c r="K491" s="2">
        <v>75</v>
      </c>
      <c r="L491" s="2">
        <v>4</v>
      </c>
      <c r="M491" s="3">
        <v>37757</v>
      </c>
      <c r="N491" t="str" cm="1">
        <f t="array" ref="N491">_xlfn.IFS(Table1_36[[#This Row],[Patient Satisfaction Score]]&gt;=83,"High",H491&lt;=75,"Low",TRUE,"Moderate")</f>
        <v>Moderate</v>
      </c>
      <c r="O491" t="str">
        <f t="shared" si="7"/>
        <v>Adult</v>
      </c>
    </row>
    <row r="492" spans="1:15">
      <c r="A492" t="s">
        <v>560</v>
      </c>
      <c r="B492" t="s">
        <v>33</v>
      </c>
      <c r="C492" t="s">
        <v>26</v>
      </c>
      <c r="D492" t="s">
        <v>16</v>
      </c>
      <c r="E492" s="2">
        <v>54</v>
      </c>
      <c r="F492" t="s">
        <v>34</v>
      </c>
      <c r="G492" t="s">
        <v>70</v>
      </c>
      <c r="H492" s="2">
        <v>83</v>
      </c>
      <c r="I492" s="3">
        <v>1923</v>
      </c>
      <c r="J492" s="4">
        <v>0</v>
      </c>
      <c r="K492" s="2">
        <v>25</v>
      </c>
      <c r="L492" s="2">
        <v>4</v>
      </c>
      <c r="M492" s="3">
        <v>9247</v>
      </c>
      <c r="N492" t="str" cm="1">
        <f t="array" ref="N492">_xlfn.IFS(Table1_36[[#This Row],[Patient Satisfaction Score]]&gt;=83,"High",H492&lt;=75,"Low",TRUE,"Moderate")</f>
        <v>High</v>
      </c>
      <c r="O492" t="str">
        <f t="shared" si="7"/>
        <v>Adult</v>
      </c>
    </row>
    <row r="493" spans="1:15">
      <c r="A493" t="s">
        <v>561</v>
      </c>
      <c r="B493" t="s">
        <v>44</v>
      </c>
      <c r="C493" t="s">
        <v>45</v>
      </c>
      <c r="D493" t="s">
        <v>16</v>
      </c>
      <c r="E493" s="2">
        <v>84</v>
      </c>
      <c r="F493" t="s">
        <v>34</v>
      </c>
      <c r="G493" t="s">
        <v>40</v>
      </c>
      <c r="H493" s="2">
        <v>88</v>
      </c>
      <c r="I493" s="3">
        <v>9310</v>
      </c>
      <c r="J493" s="4">
        <v>19.04</v>
      </c>
      <c r="K493" s="2">
        <v>79</v>
      </c>
      <c r="L493" s="2">
        <v>4</v>
      </c>
      <c r="M493" s="3">
        <v>42230</v>
      </c>
      <c r="N493" t="str" cm="1">
        <f t="array" ref="N493">_xlfn.IFS(Table1_36[[#This Row],[Patient Satisfaction Score]]&gt;=83,"High",H493&lt;=75,"Low",TRUE,"Moderate")</f>
        <v>High</v>
      </c>
      <c r="O493" t="str">
        <f t="shared" si="7"/>
        <v>Adult</v>
      </c>
    </row>
    <row r="494" spans="1:15">
      <c r="A494" t="s">
        <v>562</v>
      </c>
      <c r="B494" t="s">
        <v>42</v>
      </c>
      <c r="C494" t="s">
        <v>39</v>
      </c>
      <c r="D494" t="s">
        <v>16</v>
      </c>
      <c r="E494" s="2">
        <v>11</v>
      </c>
      <c r="F494" t="s">
        <v>34</v>
      </c>
      <c r="G494" t="s">
        <v>23</v>
      </c>
      <c r="H494" s="2">
        <v>91</v>
      </c>
      <c r="I494" s="3">
        <v>2832</v>
      </c>
      <c r="J494" s="4">
        <v>4.1399999999999997</v>
      </c>
      <c r="K494" s="2">
        <v>39</v>
      </c>
      <c r="L494" s="2">
        <v>4</v>
      </c>
      <c r="M494" s="3">
        <v>9149</v>
      </c>
      <c r="N494" t="str" cm="1">
        <f t="array" ref="N494">_xlfn.IFS(Table1_36[[#This Row],[Patient Satisfaction Score]]&gt;=83,"High",H494&lt;=75,"Low",TRUE,"Moderate")</f>
        <v>High</v>
      </c>
      <c r="O494" t="str">
        <f t="shared" si="7"/>
        <v>Pediatric</v>
      </c>
    </row>
    <row r="495" spans="1:15">
      <c r="A495" t="s">
        <v>563</v>
      </c>
      <c r="B495" t="s">
        <v>56</v>
      </c>
      <c r="C495" t="s">
        <v>45</v>
      </c>
      <c r="D495" t="s">
        <v>16</v>
      </c>
      <c r="E495" s="2">
        <v>46</v>
      </c>
      <c r="F495" t="s">
        <v>34</v>
      </c>
      <c r="G495" t="s">
        <v>40</v>
      </c>
      <c r="H495" s="2">
        <v>67</v>
      </c>
      <c r="I495" s="3">
        <v>10792</v>
      </c>
      <c r="J495" s="4">
        <v>18.02</v>
      </c>
      <c r="K495" s="2">
        <v>81</v>
      </c>
      <c r="L495" s="2">
        <v>4</v>
      </c>
      <c r="M495" s="3">
        <v>57311</v>
      </c>
      <c r="N495" t="str" cm="1">
        <f t="array" ref="N495">_xlfn.IFS(Table1_36[[#This Row],[Patient Satisfaction Score]]&gt;=83,"High",H495&lt;=75,"Low",TRUE,"Moderate")</f>
        <v>Low</v>
      </c>
      <c r="O495" t="str">
        <f t="shared" si="7"/>
        <v>Adult</v>
      </c>
    </row>
    <row r="496" spans="1:15">
      <c r="A496" t="s">
        <v>564</v>
      </c>
      <c r="B496" t="s">
        <v>25</v>
      </c>
      <c r="C496" t="s">
        <v>26</v>
      </c>
      <c r="D496" t="s">
        <v>16</v>
      </c>
      <c r="E496" s="2">
        <v>28</v>
      </c>
      <c r="F496" t="s">
        <v>17</v>
      </c>
      <c r="G496" t="s">
        <v>31</v>
      </c>
      <c r="H496" s="2">
        <v>79</v>
      </c>
      <c r="I496" s="3">
        <v>2930</v>
      </c>
      <c r="J496" s="4">
        <v>5.56</v>
      </c>
      <c r="K496" s="2">
        <v>46</v>
      </c>
      <c r="L496" s="2">
        <v>4</v>
      </c>
      <c r="M496" s="3">
        <v>8796</v>
      </c>
      <c r="N496" t="str" cm="1">
        <f t="array" ref="N496">_xlfn.IFS(Table1_36[[#This Row],[Patient Satisfaction Score]]&gt;=83,"High",H496&lt;=75,"Low",TRUE,"Moderate")</f>
        <v>Moderate</v>
      </c>
      <c r="O496" t="str">
        <f t="shared" si="7"/>
        <v>Adult</v>
      </c>
    </row>
    <row r="497" spans="1:15">
      <c r="A497" t="s">
        <v>565</v>
      </c>
      <c r="B497" t="s">
        <v>20</v>
      </c>
      <c r="C497" t="s">
        <v>21</v>
      </c>
      <c r="D497" t="s">
        <v>27</v>
      </c>
      <c r="E497" s="2">
        <v>40</v>
      </c>
      <c r="F497" t="s">
        <v>22</v>
      </c>
      <c r="G497" t="s">
        <v>49</v>
      </c>
      <c r="H497" s="2">
        <v>85</v>
      </c>
      <c r="I497" s="3">
        <v>5516</v>
      </c>
      <c r="J497" s="4">
        <v>15.69</v>
      </c>
      <c r="K497" s="2">
        <v>67</v>
      </c>
      <c r="L497" s="2">
        <v>4</v>
      </c>
      <c r="M497" s="3">
        <v>15338</v>
      </c>
      <c r="N497" t="str" cm="1">
        <f t="array" ref="N497">_xlfn.IFS(Table1_36[[#This Row],[Patient Satisfaction Score]]&gt;=83,"High",H497&lt;=75,"Low",TRUE,"Moderate")</f>
        <v>High</v>
      </c>
      <c r="O497" t="str">
        <f t="shared" si="7"/>
        <v>Adult</v>
      </c>
    </row>
    <row r="498" spans="1:15">
      <c r="A498" t="s">
        <v>566</v>
      </c>
      <c r="B498" t="s">
        <v>25</v>
      </c>
      <c r="C498" t="s">
        <v>26</v>
      </c>
      <c r="D498" t="s">
        <v>27</v>
      </c>
      <c r="E498" s="2">
        <v>90</v>
      </c>
      <c r="F498" t="s">
        <v>34</v>
      </c>
      <c r="G498" t="s">
        <v>18</v>
      </c>
      <c r="H498" s="2">
        <v>88</v>
      </c>
      <c r="I498" s="3">
        <v>2745</v>
      </c>
      <c r="J498" s="4">
        <v>7.28</v>
      </c>
      <c r="K498" s="2">
        <v>36</v>
      </c>
      <c r="L498" s="2">
        <v>4</v>
      </c>
      <c r="M498" s="3">
        <v>8057</v>
      </c>
      <c r="N498" t="str" cm="1">
        <f t="array" ref="N498">_xlfn.IFS(Table1_36[[#This Row],[Patient Satisfaction Score]]&gt;=83,"High",H498&lt;=75,"Low",TRUE,"Moderate")</f>
        <v>High</v>
      </c>
      <c r="O498" t="str">
        <f t="shared" si="7"/>
        <v>Adult</v>
      </c>
    </row>
    <row r="499" spans="1:15">
      <c r="A499" t="s">
        <v>567</v>
      </c>
      <c r="B499" t="s">
        <v>137</v>
      </c>
      <c r="C499" t="s">
        <v>26</v>
      </c>
      <c r="D499" t="s">
        <v>16</v>
      </c>
      <c r="E499" s="2">
        <v>56</v>
      </c>
      <c r="F499" t="s">
        <v>34</v>
      </c>
      <c r="G499" t="s">
        <v>49</v>
      </c>
      <c r="H499" s="2">
        <v>99</v>
      </c>
      <c r="I499" s="3">
        <v>2449</v>
      </c>
      <c r="J499" s="4">
        <v>3.03</v>
      </c>
      <c r="K499" s="2">
        <v>28</v>
      </c>
      <c r="L499" s="2">
        <v>5</v>
      </c>
      <c r="M499" s="3">
        <v>14144</v>
      </c>
      <c r="N499" t="str" cm="1">
        <f t="array" ref="N499">_xlfn.IFS(Table1_36[[#This Row],[Patient Satisfaction Score]]&gt;=83,"High",H499&lt;=75,"Low",TRUE,"Moderate")</f>
        <v>High</v>
      </c>
      <c r="O499" t="str">
        <f t="shared" si="7"/>
        <v>Adult</v>
      </c>
    </row>
    <row r="500" spans="1:15">
      <c r="A500" t="s">
        <v>568</v>
      </c>
      <c r="B500" t="s">
        <v>25</v>
      </c>
      <c r="C500" t="s">
        <v>39</v>
      </c>
      <c r="D500" t="s">
        <v>16</v>
      </c>
      <c r="E500" s="2">
        <v>17</v>
      </c>
      <c r="F500" t="s">
        <v>34</v>
      </c>
      <c r="G500" t="s">
        <v>31</v>
      </c>
      <c r="H500" s="2">
        <v>89</v>
      </c>
      <c r="I500" s="3">
        <v>2595</v>
      </c>
      <c r="J500" s="4">
        <v>6.39</v>
      </c>
      <c r="K500" s="2">
        <v>100</v>
      </c>
      <c r="L500" s="2">
        <v>4</v>
      </c>
      <c r="M500" s="3">
        <v>9947</v>
      </c>
      <c r="N500" t="str" cm="1">
        <f t="array" ref="N500">_xlfn.IFS(Table1_36[[#This Row],[Patient Satisfaction Score]]&gt;=83,"High",H500&lt;=75,"Low",TRUE,"Moderate")</f>
        <v>High</v>
      </c>
      <c r="O500" t="str">
        <f t="shared" si="7"/>
        <v>Pediatric</v>
      </c>
    </row>
    <row r="501" spans="1:15">
      <c r="A501" t="s">
        <v>569</v>
      </c>
      <c r="B501" t="s">
        <v>168</v>
      </c>
      <c r="C501" t="s">
        <v>45</v>
      </c>
      <c r="D501" t="s">
        <v>27</v>
      </c>
      <c r="E501" s="2">
        <v>47</v>
      </c>
      <c r="F501" t="s">
        <v>34</v>
      </c>
      <c r="G501" t="s">
        <v>18</v>
      </c>
      <c r="H501" s="2">
        <v>73</v>
      </c>
      <c r="I501" s="3">
        <v>8578</v>
      </c>
      <c r="J501" s="4">
        <v>20.23</v>
      </c>
      <c r="K501" s="2">
        <v>83</v>
      </c>
      <c r="L501" s="2">
        <v>3</v>
      </c>
      <c r="M501" s="3">
        <v>22896</v>
      </c>
      <c r="N501" t="str" cm="1">
        <f t="array" ref="N501">_xlfn.IFS(Table1_36[[#This Row],[Patient Satisfaction Score]]&gt;=83,"High",H501&lt;=75,"Low",TRUE,"Moderate")</f>
        <v>Low</v>
      </c>
      <c r="O501" t="str">
        <f t="shared" si="7"/>
        <v>Adult</v>
      </c>
    </row>
    <row r="502" spans="1:15">
      <c r="A502" t="s">
        <v>570</v>
      </c>
      <c r="B502" t="s">
        <v>84</v>
      </c>
      <c r="C502" t="s">
        <v>21</v>
      </c>
      <c r="D502" t="s">
        <v>16</v>
      </c>
      <c r="E502" s="2">
        <v>53</v>
      </c>
      <c r="F502" t="s">
        <v>22</v>
      </c>
      <c r="G502" t="s">
        <v>31</v>
      </c>
      <c r="H502" s="2">
        <v>74</v>
      </c>
      <c r="I502" s="3">
        <v>4191</v>
      </c>
      <c r="J502" s="4">
        <v>19.260000000000002</v>
      </c>
      <c r="K502" s="2">
        <v>98</v>
      </c>
      <c r="L502" s="2">
        <v>4</v>
      </c>
      <c r="M502" s="3">
        <v>22592</v>
      </c>
      <c r="N502" t="str" cm="1">
        <f t="array" ref="N502">_xlfn.IFS(Table1_36[[#This Row],[Patient Satisfaction Score]]&gt;=83,"High",H502&lt;=75,"Low",TRUE,"Moderate")</f>
        <v>Low</v>
      </c>
      <c r="O502" t="str">
        <f t="shared" si="7"/>
        <v>Adult</v>
      </c>
    </row>
    <row r="503" spans="1:15">
      <c r="A503" t="s">
        <v>571</v>
      </c>
      <c r="B503" t="s">
        <v>29</v>
      </c>
      <c r="C503" t="s">
        <v>30</v>
      </c>
      <c r="D503" t="s">
        <v>27</v>
      </c>
      <c r="E503" s="2">
        <v>69</v>
      </c>
      <c r="F503" t="s">
        <v>17</v>
      </c>
      <c r="G503" t="s">
        <v>31</v>
      </c>
      <c r="H503" s="2">
        <v>68</v>
      </c>
      <c r="I503" s="3">
        <v>2434</v>
      </c>
      <c r="J503" s="4">
        <v>24.99</v>
      </c>
      <c r="K503" s="2">
        <v>121</v>
      </c>
      <c r="L503" s="2">
        <v>4</v>
      </c>
      <c r="M503" s="3">
        <v>11239</v>
      </c>
      <c r="N503" t="str" cm="1">
        <f t="array" ref="N503">_xlfn.IFS(Table1_36[[#This Row],[Patient Satisfaction Score]]&gt;=83,"High",H503&lt;=75,"Low",TRUE,"Moderate")</f>
        <v>Low</v>
      </c>
      <c r="O503" t="str">
        <f t="shared" si="7"/>
        <v>Adult</v>
      </c>
    </row>
    <row r="504" spans="1:15">
      <c r="A504" t="s">
        <v>572</v>
      </c>
      <c r="B504" t="s">
        <v>109</v>
      </c>
      <c r="C504" t="s">
        <v>30</v>
      </c>
      <c r="D504" t="s">
        <v>27</v>
      </c>
      <c r="E504" s="2">
        <v>56</v>
      </c>
      <c r="F504" t="s">
        <v>22</v>
      </c>
      <c r="G504" t="s">
        <v>18</v>
      </c>
      <c r="H504" s="2">
        <v>76</v>
      </c>
      <c r="I504" s="3">
        <v>2598</v>
      </c>
      <c r="J504" s="4">
        <v>19.170000000000002</v>
      </c>
      <c r="K504" s="2">
        <v>84</v>
      </c>
      <c r="L504" s="2">
        <v>4</v>
      </c>
      <c r="M504" s="3">
        <v>13439</v>
      </c>
      <c r="N504" t="str" cm="1">
        <f t="array" ref="N504">_xlfn.IFS(Table1_36[[#This Row],[Patient Satisfaction Score]]&gt;=83,"High",H504&lt;=75,"Low",TRUE,"Moderate")</f>
        <v>Moderate</v>
      </c>
      <c r="O504" t="str">
        <f t="shared" si="7"/>
        <v>Adult</v>
      </c>
    </row>
    <row r="505" spans="1:15">
      <c r="A505" t="s">
        <v>573</v>
      </c>
      <c r="B505" t="s">
        <v>54</v>
      </c>
      <c r="C505" t="s">
        <v>15</v>
      </c>
      <c r="D505" t="s">
        <v>27</v>
      </c>
      <c r="E505" s="2">
        <v>14</v>
      </c>
      <c r="F505" t="s">
        <v>22</v>
      </c>
      <c r="G505" t="s">
        <v>70</v>
      </c>
      <c r="H505" s="2">
        <v>70</v>
      </c>
      <c r="I505" s="3">
        <v>6170</v>
      </c>
      <c r="J505" s="4">
        <v>16.940000000000001</v>
      </c>
      <c r="K505" s="2">
        <v>87</v>
      </c>
      <c r="L505" s="2">
        <v>3</v>
      </c>
      <c r="M505" s="3">
        <v>19408</v>
      </c>
      <c r="N505" t="str" cm="1">
        <f t="array" ref="N505">_xlfn.IFS(Table1_36[[#This Row],[Patient Satisfaction Score]]&gt;=83,"High",H505&lt;=75,"Low",TRUE,"Moderate")</f>
        <v>Low</v>
      </c>
      <c r="O505" t="str">
        <f t="shared" si="7"/>
        <v>Pediatric</v>
      </c>
    </row>
    <row r="506" spans="1:15">
      <c r="A506" t="s">
        <v>574</v>
      </c>
      <c r="B506" t="s">
        <v>38</v>
      </c>
      <c r="C506" t="s">
        <v>39</v>
      </c>
      <c r="D506" t="s">
        <v>16</v>
      </c>
      <c r="E506" s="2">
        <v>18</v>
      </c>
      <c r="F506" t="s">
        <v>22</v>
      </c>
      <c r="G506" t="s">
        <v>49</v>
      </c>
      <c r="H506" s="2">
        <v>73</v>
      </c>
      <c r="I506" s="3">
        <v>2923</v>
      </c>
      <c r="J506" s="4">
        <v>5.76</v>
      </c>
      <c r="K506" s="2">
        <v>34</v>
      </c>
      <c r="L506" s="2">
        <v>4</v>
      </c>
      <c r="M506" s="3">
        <v>11223</v>
      </c>
      <c r="N506" t="str" cm="1">
        <f t="array" ref="N506">_xlfn.IFS(Table1_36[[#This Row],[Patient Satisfaction Score]]&gt;=83,"High",H506&lt;=75,"Low",TRUE,"Moderate")</f>
        <v>Low</v>
      </c>
      <c r="O506" t="str">
        <f t="shared" si="7"/>
        <v>Pediatric</v>
      </c>
    </row>
    <row r="507" spans="1:15">
      <c r="A507" t="s">
        <v>575</v>
      </c>
      <c r="B507" t="s">
        <v>168</v>
      </c>
      <c r="C507" t="s">
        <v>45</v>
      </c>
      <c r="D507" t="s">
        <v>27</v>
      </c>
      <c r="E507" s="2">
        <v>41</v>
      </c>
      <c r="F507" t="s">
        <v>22</v>
      </c>
      <c r="G507" t="s">
        <v>49</v>
      </c>
      <c r="H507" s="2">
        <v>75</v>
      </c>
      <c r="I507" s="3">
        <v>7690</v>
      </c>
      <c r="J507" s="4">
        <v>17.04</v>
      </c>
      <c r="K507" s="2">
        <v>98</v>
      </c>
      <c r="L507" s="2">
        <v>3</v>
      </c>
      <c r="M507" s="3">
        <v>34459</v>
      </c>
      <c r="N507" t="str" cm="1">
        <f t="array" ref="N507">_xlfn.IFS(Table1_36[[#This Row],[Patient Satisfaction Score]]&gt;=83,"High",H507&lt;=75,"Low",TRUE,"Moderate")</f>
        <v>Low</v>
      </c>
      <c r="O507" t="str">
        <f t="shared" si="7"/>
        <v>Adult</v>
      </c>
    </row>
    <row r="508" spans="1:15">
      <c r="A508" t="s">
        <v>576</v>
      </c>
      <c r="B508" t="s">
        <v>25</v>
      </c>
      <c r="C508" t="s">
        <v>26</v>
      </c>
      <c r="D508" t="s">
        <v>27</v>
      </c>
      <c r="E508" s="2">
        <v>48</v>
      </c>
      <c r="F508" t="s">
        <v>22</v>
      </c>
      <c r="G508" t="s">
        <v>40</v>
      </c>
      <c r="H508" s="2">
        <v>85</v>
      </c>
      <c r="I508" s="3">
        <v>2587</v>
      </c>
      <c r="J508" s="4">
        <v>0</v>
      </c>
      <c r="K508" s="2">
        <v>65</v>
      </c>
      <c r="L508" s="2">
        <v>4</v>
      </c>
      <c r="M508" s="3">
        <v>15032</v>
      </c>
      <c r="N508" t="str" cm="1">
        <f t="array" ref="N508">_xlfn.IFS(Table1_36[[#This Row],[Patient Satisfaction Score]]&gt;=83,"High",H508&lt;=75,"Low",TRUE,"Moderate")</f>
        <v>High</v>
      </c>
      <c r="O508" t="str">
        <f t="shared" si="7"/>
        <v>Adult</v>
      </c>
    </row>
    <row r="509" spans="1:15">
      <c r="A509" t="s">
        <v>577</v>
      </c>
      <c r="B509" t="s">
        <v>58</v>
      </c>
      <c r="C509" t="s">
        <v>48</v>
      </c>
      <c r="D509" t="s">
        <v>16</v>
      </c>
      <c r="E509" s="2">
        <v>35</v>
      </c>
      <c r="F509" t="s">
        <v>22</v>
      </c>
      <c r="G509" t="s">
        <v>31</v>
      </c>
      <c r="H509" s="2">
        <v>79</v>
      </c>
      <c r="I509" s="3">
        <v>4034</v>
      </c>
      <c r="J509" s="4">
        <v>12.48</v>
      </c>
      <c r="K509" s="2">
        <v>91</v>
      </c>
      <c r="L509" s="2">
        <v>4</v>
      </c>
      <c r="M509" s="3">
        <v>12097</v>
      </c>
      <c r="N509" t="str" cm="1">
        <f t="array" ref="N509">_xlfn.IFS(Table1_36[[#This Row],[Patient Satisfaction Score]]&gt;=83,"High",H509&lt;=75,"Low",TRUE,"Moderate")</f>
        <v>Moderate</v>
      </c>
      <c r="O509" t="str">
        <f t="shared" si="7"/>
        <v>Adult</v>
      </c>
    </row>
    <row r="510" spans="1:15">
      <c r="A510" t="s">
        <v>578</v>
      </c>
      <c r="B510" t="s">
        <v>33</v>
      </c>
      <c r="C510" t="s">
        <v>26</v>
      </c>
      <c r="D510" t="s">
        <v>27</v>
      </c>
      <c r="E510" s="2">
        <v>64</v>
      </c>
      <c r="F510" t="s">
        <v>17</v>
      </c>
      <c r="G510" t="s">
        <v>49</v>
      </c>
      <c r="H510" s="2">
        <v>88</v>
      </c>
      <c r="I510" s="3">
        <v>3076</v>
      </c>
      <c r="J510" s="4">
        <v>10.55</v>
      </c>
      <c r="K510" s="2">
        <v>5</v>
      </c>
      <c r="L510" s="2">
        <v>3</v>
      </c>
      <c r="M510" s="3">
        <v>12162</v>
      </c>
      <c r="N510" t="str" cm="1">
        <f t="array" ref="N510">_xlfn.IFS(Table1_36[[#This Row],[Patient Satisfaction Score]]&gt;=83,"High",H510&lt;=75,"Low",TRUE,"Moderate")</f>
        <v>High</v>
      </c>
      <c r="O510" t="str">
        <f t="shared" si="7"/>
        <v>Adult</v>
      </c>
    </row>
    <row r="511" spans="1:15">
      <c r="A511" t="s">
        <v>579</v>
      </c>
      <c r="B511" t="s">
        <v>143</v>
      </c>
      <c r="C511" t="s">
        <v>21</v>
      </c>
      <c r="D511" t="s">
        <v>27</v>
      </c>
      <c r="E511" s="2">
        <v>47</v>
      </c>
      <c r="F511" t="s">
        <v>22</v>
      </c>
      <c r="G511" t="s">
        <v>40</v>
      </c>
      <c r="H511" s="2">
        <v>66</v>
      </c>
      <c r="I511" s="3">
        <v>5309</v>
      </c>
      <c r="J511" s="4">
        <v>19.54</v>
      </c>
      <c r="K511" s="2">
        <v>100</v>
      </c>
      <c r="L511" s="2">
        <v>3</v>
      </c>
      <c r="M511" s="3">
        <v>15074</v>
      </c>
      <c r="N511" t="str" cm="1">
        <f t="array" ref="N511">_xlfn.IFS(Table1_36[[#This Row],[Patient Satisfaction Score]]&gt;=83,"High",H511&lt;=75,"Low",TRUE,"Moderate")</f>
        <v>Low</v>
      </c>
      <c r="O511" t="str">
        <f t="shared" si="7"/>
        <v>Adult</v>
      </c>
    </row>
    <row r="512" spans="1:15">
      <c r="A512" t="s">
        <v>580</v>
      </c>
      <c r="B512" t="s">
        <v>25</v>
      </c>
      <c r="C512" t="s">
        <v>39</v>
      </c>
      <c r="D512" t="s">
        <v>16</v>
      </c>
      <c r="E512" s="2">
        <v>6</v>
      </c>
      <c r="F512" t="s">
        <v>17</v>
      </c>
      <c r="G512" t="s">
        <v>40</v>
      </c>
      <c r="H512" s="2">
        <v>85</v>
      </c>
      <c r="I512" s="3">
        <v>3306</v>
      </c>
      <c r="J512" s="4">
        <v>15.74</v>
      </c>
      <c r="K512" s="2">
        <v>49</v>
      </c>
      <c r="L512" s="2">
        <v>4</v>
      </c>
      <c r="M512" s="3">
        <v>9106</v>
      </c>
      <c r="N512" t="str" cm="1">
        <f t="array" ref="N512">_xlfn.IFS(Table1_36[[#This Row],[Patient Satisfaction Score]]&gt;=83,"High",H512&lt;=75,"Low",TRUE,"Moderate")</f>
        <v>High</v>
      </c>
      <c r="O512" t="str">
        <f t="shared" si="7"/>
        <v>Pediatric</v>
      </c>
    </row>
    <row r="513" spans="1:15">
      <c r="A513" t="s">
        <v>581</v>
      </c>
      <c r="B513" t="s">
        <v>103</v>
      </c>
      <c r="C513" t="s">
        <v>26</v>
      </c>
      <c r="D513" t="s">
        <v>16</v>
      </c>
      <c r="E513" s="2">
        <v>27</v>
      </c>
      <c r="F513" t="s">
        <v>22</v>
      </c>
      <c r="G513" t="s">
        <v>18</v>
      </c>
      <c r="H513" s="2">
        <v>88</v>
      </c>
      <c r="I513" s="3">
        <v>2751</v>
      </c>
      <c r="J513" s="4">
        <v>3.61</v>
      </c>
      <c r="K513" s="2">
        <v>18</v>
      </c>
      <c r="L513" s="2">
        <v>5</v>
      </c>
      <c r="M513" s="3">
        <v>10722</v>
      </c>
      <c r="N513" t="str" cm="1">
        <f t="array" ref="N513">_xlfn.IFS(Table1_36[[#This Row],[Patient Satisfaction Score]]&gt;=83,"High",H513&lt;=75,"Low",TRUE,"Moderate")</f>
        <v>High</v>
      </c>
      <c r="O513" t="str">
        <f t="shared" si="7"/>
        <v>Adult</v>
      </c>
    </row>
    <row r="514" spans="1:15">
      <c r="A514" t="s">
        <v>582</v>
      </c>
      <c r="B514" t="s">
        <v>58</v>
      </c>
      <c r="C514" t="s">
        <v>48</v>
      </c>
      <c r="D514" t="s">
        <v>16</v>
      </c>
      <c r="E514" s="2">
        <v>51</v>
      </c>
      <c r="F514" t="s">
        <v>22</v>
      </c>
      <c r="G514" t="s">
        <v>23</v>
      </c>
      <c r="H514" s="2">
        <v>87</v>
      </c>
      <c r="I514" s="3">
        <v>6600</v>
      </c>
      <c r="J514" s="4">
        <v>9.8699999999999992</v>
      </c>
      <c r="K514" s="2">
        <v>73</v>
      </c>
      <c r="L514" s="2">
        <v>4</v>
      </c>
      <c r="M514" s="3">
        <v>26202</v>
      </c>
      <c r="N514" t="str" cm="1">
        <f t="array" ref="N514">_xlfn.IFS(Table1_36[[#This Row],[Patient Satisfaction Score]]&gt;=83,"High",H514&lt;=75,"Low",TRUE,"Moderate")</f>
        <v>High</v>
      </c>
      <c r="O514" t="str">
        <f t="shared" ref="O514:O577" si="8">IF(E514&lt;19,"Pediatric","Adult")</f>
        <v>Adult</v>
      </c>
    </row>
    <row r="515" spans="1:15">
      <c r="A515" t="s">
        <v>583</v>
      </c>
      <c r="B515" t="s">
        <v>88</v>
      </c>
      <c r="C515" t="s">
        <v>15</v>
      </c>
      <c r="D515" t="s">
        <v>27</v>
      </c>
      <c r="E515" s="2">
        <v>69</v>
      </c>
      <c r="F515" t="s">
        <v>22</v>
      </c>
      <c r="G515" t="s">
        <v>70</v>
      </c>
      <c r="H515" s="2">
        <v>76</v>
      </c>
      <c r="I515" s="3">
        <v>7475</v>
      </c>
      <c r="J515" s="4">
        <v>17.13</v>
      </c>
      <c r="K515" s="2">
        <v>90</v>
      </c>
      <c r="L515" s="2">
        <v>4</v>
      </c>
      <c r="M515" s="3">
        <v>22349</v>
      </c>
      <c r="N515" t="str" cm="1">
        <f t="array" ref="N515">_xlfn.IFS(Table1_36[[#This Row],[Patient Satisfaction Score]]&gt;=83,"High",H515&lt;=75,"Low",TRUE,"Moderate")</f>
        <v>Moderate</v>
      </c>
      <c r="O515" t="str">
        <f t="shared" si="8"/>
        <v>Adult</v>
      </c>
    </row>
    <row r="516" spans="1:15">
      <c r="A516" t="s">
        <v>584</v>
      </c>
      <c r="B516" t="s">
        <v>109</v>
      </c>
      <c r="C516" t="s">
        <v>30</v>
      </c>
      <c r="D516" t="s">
        <v>16</v>
      </c>
      <c r="E516" s="2">
        <v>70</v>
      </c>
      <c r="F516" t="s">
        <v>17</v>
      </c>
      <c r="G516" t="s">
        <v>70</v>
      </c>
      <c r="H516" s="2">
        <v>78</v>
      </c>
      <c r="I516" s="3">
        <v>3851</v>
      </c>
      <c r="J516" s="4">
        <v>8.0299999999999994</v>
      </c>
      <c r="K516" s="2">
        <v>65</v>
      </c>
      <c r="L516" s="2">
        <v>5</v>
      </c>
      <c r="M516" s="3">
        <v>11420</v>
      </c>
      <c r="N516" t="str" cm="1">
        <f t="array" ref="N516">_xlfn.IFS(Table1_36[[#This Row],[Patient Satisfaction Score]]&gt;=83,"High",H516&lt;=75,"Low",TRUE,"Moderate")</f>
        <v>Moderate</v>
      </c>
      <c r="O516" t="str">
        <f t="shared" si="8"/>
        <v>Adult</v>
      </c>
    </row>
    <row r="517" spans="1:15">
      <c r="A517" t="s">
        <v>585</v>
      </c>
      <c r="B517" t="s">
        <v>25</v>
      </c>
      <c r="C517" t="s">
        <v>26</v>
      </c>
      <c r="D517" t="s">
        <v>16</v>
      </c>
      <c r="E517" s="2">
        <v>72</v>
      </c>
      <c r="F517" t="s">
        <v>17</v>
      </c>
      <c r="G517" t="s">
        <v>49</v>
      </c>
      <c r="H517" s="2">
        <v>97</v>
      </c>
      <c r="I517" s="3">
        <v>1186</v>
      </c>
      <c r="J517" s="4">
        <v>2.91</v>
      </c>
      <c r="K517" s="2">
        <v>21</v>
      </c>
      <c r="L517" s="2">
        <v>4</v>
      </c>
      <c r="M517" s="3">
        <v>5354</v>
      </c>
      <c r="N517" t="str" cm="1">
        <f t="array" ref="N517">_xlfn.IFS(Table1_36[[#This Row],[Patient Satisfaction Score]]&gt;=83,"High",H517&lt;=75,"Low",TRUE,"Moderate")</f>
        <v>High</v>
      </c>
      <c r="O517" t="str">
        <f t="shared" si="8"/>
        <v>Adult</v>
      </c>
    </row>
    <row r="518" spans="1:15">
      <c r="A518" t="s">
        <v>586</v>
      </c>
      <c r="B518" t="s">
        <v>97</v>
      </c>
      <c r="C518" t="s">
        <v>30</v>
      </c>
      <c r="D518" t="s">
        <v>27</v>
      </c>
      <c r="E518" s="2">
        <v>42</v>
      </c>
      <c r="F518" t="s">
        <v>22</v>
      </c>
      <c r="G518" t="s">
        <v>49</v>
      </c>
      <c r="H518" s="2">
        <v>76</v>
      </c>
      <c r="I518" s="3">
        <v>4967</v>
      </c>
      <c r="J518" s="4">
        <v>24.38</v>
      </c>
      <c r="K518" s="2">
        <v>85</v>
      </c>
      <c r="L518" s="2">
        <v>3</v>
      </c>
      <c r="M518" s="3">
        <v>12855</v>
      </c>
      <c r="N518" t="str" cm="1">
        <f t="array" ref="N518">_xlfn.IFS(Table1_36[[#This Row],[Patient Satisfaction Score]]&gt;=83,"High",H518&lt;=75,"Low",TRUE,"Moderate")</f>
        <v>Moderate</v>
      </c>
      <c r="O518" t="str">
        <f t="shared" si="8"/>
        <v>Adult</v>
      </c>
    </row>
    <row r="519" spans="1:15">
      <c r="A519" t="s">
        <v>587</v>
      </c>
      <c r="B519" t="s">
        <v>56</v>
      </c>
      <c r="C519" t="s">
        <v>45</v>
      </c>
      <c r="D519" t="s">
        <v>27</v>
      </c>
      <c r="E519" s="2">
        <v>69</v>
      </c>
      <c r="F519" t="s">
        <v>17</v>
      </c>
      <c r="G519" t="s">
        <v>31</v>
      </c>
      <c r="H519" s="2">
        <v>78</v>
      </c>
      <c r="I519" s="3">
        <v>6081</v>
      </c>
      <c r="J519" s="4">
        <v>18.73</v>
      </c>
      <c r="K519" s="2">
        <v>82</v>
      </c>
      <c r="L519" s="2">
        <v>5</v>
      </c>
      <c r="M519" s="3">
        <v>32149</v>
      </c>
      <c r="N519" t="str" cm="1">
        <f t="array" ref="N519">_xlfn.IFS(Table1_36[[#This Row],[Patient Satisfaction Score]]&gt;=83,"High",H519&lt;=75,"Low",TRUE,"Moderate")</f>
        <v>Moderate</v>
      </c>
      <c r="O519" t="str">
        <f t="shared" si="8"/>
        <v>Adult</v>
      </c>
    </row>
    <row r="520" spans="1:15">
      <c r="A520" t="s">
        <v>588</v>
      </c>
      <c r="B520" t="s">
        <v>47</v>
      </c>
      <c r="C520" t="s">
        <v>48</v>
      </c>
      <c r="D520" t="s">
        <v>16</v>
      </c>
      <c r="E520" s="2">
        <v>58</v>
      </c>
      <c r="F520" t="s">
        <v>17</v>
      </c>
      <c r="G520" t="s">
        <v>18</v>
      </c>
      <c r="H520" s="2">
        <v>73</v>
      </c>
      <c r="I520" s="3">
        <v>4666</v>
      </c>
      <c r="J520" s="4">
        <v>11.86</v>
      </c>
      <c r="K520" s="2">
        <v>104</v>
      </c>
      <c r="L520" s="2">
        <v>3</v>
      </c>
      <c r="M520" s="3">
        <v>21452</v>
      </c>
      <c r="N520" t="str" cm="1">
        <f t="array" ref="N520">_xlfn.IFS(Table1_36[[#This Row],[Patient Satisfaction Score]]&gt;=83,"High",H520&lt;=75,"Low",TRUE,"Moderate")</f>
        <v>Low</v>
      </c>
      <c r="O520" t="str">
        <f t="shared" si="8"/>
        <v>Adult</v>
      </c>
    </row>
    <row r="521" spans="1:15">
      <c r="A521" t="s">
        <v>589</v>
      </c>
      <c r="B521" t="s">
        <v>38</v>
      </c>
      <c r="C521" t="s">
        <v>39</v>
      </c>
      <c r="D521" t="s">
        <v>72</v>
      </c>
      <c r="E521" s="2">
        <v>18</v>
      </c>
      <c r="F521" t="s">
        <v>22</v>
      </c>
      <c r="G521" t="s">
        <v>18</v>
      </c>
      <c r="H521" s="2">
        <v>89</v>
      </c>
      <c r="I521" s="3">
        <v>2998</v>
      </c>
      <c r="J521" s="4">
        <v>7.09</v>
      </c>
      <c r="K521" s="2">
        <v>62</v>
      </c>
      <c r="L521" s="2">
        <v>4</v>
      </c>
      <c r="M521" s="3">
        <v>7746</v>
      </c>
      <c r="N521" t="str" cm="1">
        <f t="array" ref="N521">_xlfn.IFS(Table1_36[[#This Row],[Patient Satisfaction Score]]&gt;=83,"High",H521&lt;=75,"Low",TRUE,"Moderate")</f>
        <v>High</v>
      </c>
      <c r="O521" t="str">
        <f t="shared" si="8"/>
        <v>Pediatric</v>
      </c>
    </row>
    <row r="522" spans="1:15">
      <c r="A522" t="s">
        <v>590</v>
      </c>
      <c r="B522" t="s">
        <v>25</v>
      </c>
      <c r="C522" t="s">
        <v>26</v>
      </c>
      <c r="D522" t="s">
        <v>27</v>
      </c>
      <c r="E522" s="2">
        <v>57</v>
      </c>
      <c r="F522" t="s">
        <v>22</v>
      </c>
      <c r="G522" t="s">
        <v>18</v>
      </c>
      <c r="H522" s="2">
        <v>90</v>
      </c>
      <c r="I522" s="3">
        <v>2443</v>
      </c>
      <c r="J522" s="4">
        <v>0</v>
      </c>
      <c r="K522" s="2">
        <v>47</v>
      </c>
      <c r="L522" s="2">
        <v>4</v>
      </c>
      <c r="M522" s="3">
        <v>10814</v>
      </c>
      <c r="N522" t="str" cm="1">
        <f t="array" ref="N522">_xlfn.IFS(Table1_36[[#This Row],[Patient Satisfaction Score]]&gt;=83,"High",H522&lt;=75,"Low",TRUE,"Moderate")</f>
        <v>High</v>
      </c>
      <c r="O522" t="str">
        <f t="shared" si="8"/>
        <v>Adult</v>
      </c>
    </row>
    <row r="523" spans="1:15">
      <c r="A523" t="s">
        <v>591</v>
      </c>
      <c r="B523" t="s">
        <v>137</v>
      </c>
      <c r="C523" t="s">
        <v>26</v>
      </c>
      <c r="D523" t="s">
        <v>27</v>
      </c>
      <c r="E523" s="2">
        <v>56</v>
      </c>
      <c r="F523" t="s">
        <v>22</v>
      </c>
      <c r="G523" t="s">
        <v>18</v>
      </c>
      <c r="H523" s="2">
        <v>96</v>
      </c>
      <c r="I523" s="3">
        <v>2480</v>
      </c>
      <c r="J523" s="4">
        <v>5.2</v>
      </c>
      <c r="K523" s="2">
        <v>5</v>
      </c>
      <c r="L523" s="2">
        <v>5</v>
      </c>
      <c r="M523" s="3">
        <v>11381</v>
      </c>
      <c r="N523" t="str" cm="1">
        <f t="array" ref="N523">_xlfn.IFS(Table1_36[[#This Row],[Patient Satisfaction Score]]&gt;=83,"High",H523&lt;=75,"Low",TRUE,"Moderate")</f>
        <v>High</v>
      </c>
      <c r="O523" t="str">
        <f t="shared" si="8"/>
        <v>Adult</v>
      </c>
    </row>
    <row r="524" spans="1:15">
      <c r="A524" t="s">
        <v>592</v>
      </c>
      <c r="B524" t="s">
        <v>78</v>
      </c>
      <c r="C524" t="s">
        <v>15</v>
      </c>
      <c r="D524" t="s">
        <v>16</v>
      </c>
      <c r="E524" s="2">
        <v>39</v>
      </c>
      <c r="F524" t="s">
        <v>34</v>
      </c>
      <c r="G524" t="s">
        <v>23</v>
      </c>
      <c r="H524" s="2">
        <v>66</v>
      </c>
      <c r="I524" s="3">
        <v>7449</v>
      </c>
      <c r="J524" s="4">
        <v>16.78</v>
      </c>
      <c r="K524" s="2">
        <v>111</v>
      </c>
      <c r="L524" s="2">
        <v>3</v>
      </c>
      <c r="M524" s="3">
        <v>25630</v>
      </c>
      <c r="N524" t="str" cm="1">
        <f t="array" ref="N524">_xlfn.IFS(Table1_36[[#This Row],[Patient Satisfaction Score]]&gt;=83,"High",H524&lt;=75,"Low",TRUE,"Moderate")</f>
        <v>Low</v>
      </c>
      <c r="O524" t="str">
        <f t="shared" si="8"/>
        <v>Adult</v>
      </c>
    </row>
    <row r="525" spans="1:15">
      <c r="A525" t="s">
        <v>593</v>
      </c>
      <c r="B525" t="s">
        <v>88</v>
      </c>
      <c r="C525" t="s">
        <v>15</v>
      </c>
      <c r="D525" t="s">
        <v>27</v>
      </c>
      <c r="E525" s="2">
        <v>32</v>
      </c>
      <c r="F525" t="s">
        <v>17</v>
      </c>
      <c r="G525" t="s">
        <v>40</v>
      </c>
      <c r="H525" s="2">
        <v>74</v>
      </c>
      <c r="I525" s="3">
        <v>7731</v>
      </c>
      <c r="J525" s="4">
        <v>8.66</v>
      </c>
      <c r="K525" s="2">
        <v>70</v>
      </c>
      <c r="L525" s="2">
        <v>4</v>
      </c>
      <c r="M525" s="3">
        <v>35979</v>
      </c>
      <c r="N525" t="str" cm="1">
        <f t="array" ref="N525">_xlfn.IFS(Table1_36[[#This Row],[Patient Satisfaction Score]]&gt;=83,"High",H525&lt;=75,"Low",TRUE,"Moderate")</f>
        <v>Low</v>
      </c>
      <c r="O525" t="str">
        <f t="shared" si="8"/>
        <v>Adult</v>
      </c>
    </row>
    <row r="526" spans="1:15">
      <c r="A526" t="s">
        <v>594</v>
      </c>
      <c r="B526" t="s">
        <v>25</v>
      </c>
      <c r="C526" t="s">
        <v>26</v>
      </c>
      <c r="D526" t="s">
        <v>27</v>
      </c>
      <c r="E526" s="2">
        <v>46</v>
      </c>
      <c r="F526" t="s">
        <v>34</v>
      </c>
      <c r="G526" t="s">
        <v>70</v>
      </c>
      <c r="H526" s="2">
        <v>98</v>
      </c>
      <c r="I526" s="3">
        <v>2152</v>
      </c>
      <c r="J526" s="4">
        <v>1.33</v>
      </c>
      <c r="K526" s="2">
        <v>19</v>
      </c>
      <c r="L526" s="2">
        <v>5</v>
      </c>
      <c r="M526" s="3">
        <v>5484</v>
      </c>
      <c r="N526" t="str" cm="1">
        <f t="array" ref="N526">_xlfn.IFS(Table1_36[[#This Row],[Patient Satisfaction Score]]&gt;=83,"High",H526&lt;=75,"Low",TRUE,"Moderate")</f>
        <v>High</v>
      </c>
      <c r="O526" t="str">
        <f t="shared" si="8"/>
        <v>Adult</v>
      </c>
    </row>
    <row r="527" spans="1:15">
      <c r="A527" t="s">
        <v>595</v>
      </c>
      <c r="B527" t="s">
        <v>68</v>
      </c>
      <c r="C527" t="s">
        <v>45</v>
      </c>
      <c r="D527" t="s">
        <v>27</v>
      </c>
      <c r="E527" s="2">
        <v>71</v>
      </c>
      <c r="F527" t="s">
        <v>34</v>
      </c>
      <c r="G527" t="s">
        <v>70</v>
      </c>
      <c r="H527" s="2">
        <v>79</v>
      </c>
      <c r="I527" s="3">
        <v>8806</v>
      </c>
      <c r="J527" s="4">
        <v>21</v>
      </c>
      <c r="K527" s="2">
        <v>118</v>
      </c>
      <c r="L527" s="2">
        <v>4</v>
      </c>
      <c r="M527" s="3">
        <v>42944</v>
      </c>
      <c r="N527" t="str" cm="1">
        <f t="array" ref="N527">_xlfn.IFS(Table1_36[[#This Row],[Patient Satisfaction Score]]&gt;=83,"High",H527&lt;=75,"Low",TRUE,"Moderate")</f>
        <v>Moderate</v>
      </c>
      <c r="O527" t="str">
        <f t="shared" si="8"/>
        <v>Adult</v>
      </c>
    </row>
    <row r="528" spans="1:15">
      <c r="A528" t="s">
        <v>596</v>
      </c>
      <c r="B528" t="s">
        <v>84</v>
      </c>
      <c r="C528" t="s">
        <v>21</v>
      </c>
      <c r="D528" t="s">
        <v>16</v>
      </c>
      <c r="E528" s="2">
        <v>25</v>
      </c>
      <c r="F528" t="s">
        <v>17</v>
      </c>
      <c r="G528" t="s">
        <v>49</v>
      </c>
      <c r="H528" s="2">
        <v>70</v>
      </c>
      <c r="I528" s="3">
        <v>6936</v>
      </c>
      <c r="J528" s="4">
        <v>14.09</v>
      </c>
      <c r="K528" s="2">
        <v>110</v>
      </c>
      <c r="L528" s="2">
        <v>3</v>
      </c>
      <c r="M528" s="3">
        <v>20693</v>
      </c>
      <c r="N528" t="str" cm="1">
        <f t="array" ref="N528">_xlfn.IFS(Table1_36[[#This Row],[Patient Satisfaction Score]]&gt;=83,"High",H528&lt;=75,"Low",TRUE,"Moderate")</f>
        <v>Low</v>
      </c>
      <c r="O528" t="str">
        <f t="shared" si="8"/>
        <v>Adult</v>
      </c>
    </row>
    <row r="529" spans="1:15">
      <c r="A529" t="s">
        <v>597</v>
      </c>
      <c r="B529" t="s">
        <v>135</v>
      </c>
      <c r="C529" t="s">
        <v>48</v>
      </c>
      <c r="D529" t="s">
        <v>16</v>
      </c>
      <c r="E529" s="2">
        <v>45</v>
      </c>
      <c r="F529" t="s">
        <v>17</v>
      </c>
      <c r="G529" t="s">
        <v>40</v>
      </c>
      <c r="H529" s="2">
        <v>79</v>
      </c>
      <c r="I529" s="3">
        <v>4640</v>
      </c>
      <c r="J529" s="4">
        <v>15.04</v>
      </c>
      <c r="K529" s="2">
        <v>98</v>
      </c>
      <c r="L529" s="2">
        <v>4</v>
      </c>
      <c r="M529" s="3">
        <v>16676</v>
      </c>
      <c r="N529" t="str" cm="1">
        <f t="array" ref="N529">_xlfn.IFS(Table1_36[[#This Row],[Patient Satisfaction Score]]&gt;=83,"High",H529&lt;=75,"Low",TRUE,"Moderate")</f>
        <v>Moderate</v>
      </c>
      <c r="O529" t="str">
        <f t="shared" si="8"/>
        <v>Adult</v>
      </c>
    </row>
    <row r="530" spans="1:15">
      <c r="A530" t="s">
        <v>598</v>
      </c>
      <c r="B530" t="s">
        <v>36</v>
      </c>
      <c r="C530" t="s">
        <v>21</v>
      </c>
      <c r="D530" t="s">
        <v>16</v>
      </c>
      <c r="E530" s="2">
        <v>18</v>
      </c>
      <c r="F530" t="s">
        <v>22</v>
      </c>
      <c r="G530" t="s">
        <v>18</v>
      </c>
      <c r="H530" s="2">
        <v>76</v>
      </c>
      <c r="I530" s="3">
        <v>6544</v>
      </c>
      <c r="J530" s="4">
        <v>15.45</v>
      </c>
      <c r="K530" s="2">
        <v>81</v>
      </c>
      <c r="L530" s="2">
        <v>4</v>
      </c>
      <c r="M530" s="3">
        <v>34268</v>
      </c>
      <c r="N530" t="str" cm="1">
        <f t="array" ref="N530">_xlfn.IFS(Table1_36[[#This Row],[Patient Satisfaction Score]]&gt;=83,"High",H530&lt;=75,"Low",TRUE,"Moderate")</f>
        <v>Moderate</v>
      </c>
      <c r="O530" t="str">
        <f t="shared" si="8"/>
        <v>Pediatric</v>
      </c>
    </row>
    <row r="531" spans="1:15">
      <c r="A531" t="s">
        <v>599</v>
      </c>
      <c r="B531" t="s">
        <v>25</v>
      </c>
      <c r="C531" t="s">
        <v>26</v>
      </c>
      <c r="D531" t="s">
        <v>27</v>
      </c>
      <c r="E531" s="2">
        <v>60</v>
      </c>
      <c r="F531" t="s">
        <v>17</v>
      </c>
      <c r="G531" t="s">
        <v>23</v>
      </c>
      <c r="H531" s="2">
        <v>85</v>
      </c>
      <c r="I531" s="3">
        <v>2452</v>
      </c>
      <c r="J531" s="4">
        <v>6.67</v>
      </c>
      <c r="K531" s="2">
        <v>66</v>
      </c>
      <c r="L531" s="2">
        <v>4</v>
      </c>
      <c r="M531" s="3">
        <v>12388</v>
      </c>
      <c r="N531" t="str" cm="1">
        <f t="array" ref="N531">_xlfn.IFS(Table1_36[[#This Row],[Patient Satisfaction Score]]&gt;=83,"High",H531&lt;=75,"Low",TRUE,"Moderate")</f>
        <v>High</v>
      </c>
      <c r="O531" t="str">
        <f t="shared" si="8"/>
        <v>Adult</v>
      </c>
    </row>
    <row r="532" spans="1:15">
      <c r="A532" t="s">
        <v>600</v>
      </c>
      <c r="B532" t="s">
        <v>122</v>
      </c>
      <c r="C532" t="s">
        <v>48</v>
      </c>
      <c r="D532" t="s">
        <v>27</v>
      </c>
      <c r="E532" s="2">
        <v>17</v>
      </c>
      <c r="F532" t="s">
        <v>34</v>
      </c>
      <c r="G532" t="s">
        <v>23</v>
      </c>
      <c r="H532" s="2">
        <v>88</v>
      </c>
      <c r="I532" s="3">
        <v>3626</v>
      </c>
      <c r="J532" s="4">
        <v>12.19</v>
      </c>
      <c r="K532" s="2">
        <v>82</v>
      </c>
      <c r="L532" s="2">
        <v>4</v>
      </c>
      <c r="M532" s="3">
        <v>18522</v>
      </c>
      <c r="N532" t="str" cm="1">
        <f t="array" ref="N532">_xlfn.IFS(Table1_36[[#This Row],[Patient Satisfaction Score]]&gt;=83,"High",H532&lt;=75,"Low",TRUE,"Moderate")</f>
        <v>High</v>
      </c>
      <c r="O532" t="str">
        <f t="shared" si="8"/>
        <v>Pediatric</v>
      </c>
    </row>
    <row r="533" spans="1:15">
      <c r="A533" t="s">
        <v>601</v>
      </c>
      <c r="B533" t="s">
        <v>20</v>
      </c>
      <c r="C533" t="s">
        <v>21</v>
      </c>
      <c r="D533" t="s">
        <v>27</v>
      </c>
      <c r="E533" s="2">
        <v>34</v>
      </c>
      <c r="F533" t="s">
        <v>34</v>
      </c>
      <c r="G533" t="s">
        <v>49</v>
      </c>
      <c r="H533" s="2">
        <v>82</v>
      </c>
      <c r="I533" s="3">
        <v>5416</v>
      </c>
      <c r="J533" s="4">
        <v>12.45</v>
      </c>
      <c r="K533" s="2">
        <v>61</v>
      </c>
      <c r="L533" s="2">
        <v>4</v>
      </c>
      <c r="M533" s="3">
        <v>20558</v>
      </c>
      <c r="N533" t="str" cm="1">
        <f t="array" ref="N533">_xlfn.IFS(Table1_36[[#This Row],[Patient Satisfaction Score]]&gt;=83,"High",H533&lt;=75,"Low",TRUE,"Moderate")</f>
        <v>Moderate</v>
      </c>
      <c r="O533" t="str">
        <f t="shared" si="8"/>
        <v>Adult</v>
      </c>
    </row>
    <row r="534" spans="1:15">
      <c r="A534" t="s">
        <v>602</v>
      </c>
      <c r="B534" t="s">
        <v>25</v>
      </c>
      <c r="C534" t="s">
        <v>26</v>
      </c>
      <c r="D534" t="s">
        <v>27</v>
      </c>
      <c r="E534" s="2">
        <v>53</v>
      </c>
      <c r="F534" t="s">
        <v>34</v>
      </c>
      <c r="G534" t="s">
        <v>49</v>
      </c>
      <c r="H534" s="2">
        <v>85</v>
      </c>
      <c r="I534" s="3">
        <v>2330</v>
      </c>
      <c r="J534" s="4">
        <v>6.48</v>
      </c>
      <c r="K534" s="2">
        <v>50</v>
      </c>
      <c r="L534" s="2">
        <v>4</v>
      </c>
      <c r="M534" s="3">
        <v>8591</v>
      </c>
      <c r="N534" t="str" cm="1">
        <f t="array" ref="N534">_xlfn.IFS(Table1_36[[#This Row],[Patient Satisfaction Score]]&gt;=83,"High",H534&lt;=75,"Low",TRUE,"Moderate")</f>
        <v>High</v>
      </c>
      <c r="O534" t="str">
        <f t="shared" si="8"/>
        <v>Adult</v>
      </c>
    </row>
    <row r="535" spans="1:15">
      <c r="A535" t="s">
        <v>603</v>
      </c>
      <c r="B535" t="s">
        <v>78</v>
      </c>
      <c r="C535" t="s">
        <v>15</v>
      </c>
      <c r="D535" t="s">
        <v>16</v>
      </c>
      <c r="E535" s="2">
        <v>44</v>
      </c>
      <c r="F535" t="s">
        <v>34</v>
      </c>
      <c r="G535" t="s">
        <v>70</v>
      </c>
      <c r="H535" s="2">
        <v>84</v>
      </c>
      <c r="I535" s="3">
        <v>6591</v>
      </c>
      <c r="J535" s="4">
        <v>14.18</v>
      </c>
      <c r="K535" s="2">
        <v>70</v>
      </c>
      <c r="L535" s="2">
        <v>4</v>
      </c>
      <c r="M535" s="3">
        <v>36673</v>
      </c>
      <c r="N535" t="str" cm="1">
        <f t="array" ref="N535">_xlfn.IFS(Table1_36[[#This Row],[Patient Satisfaction Score]]&gt;=83,"High",H535&lt;=75,"Low",TRUE,"Moderate")</f>
        <v>High</v>
      </c>
      <c r="O535" t="str">
        <f t="shared" si="8"/>
        <v>Adult</v>
      </c>
    </row>
    <row r="536" spans="1:15">
      <c r="A536" t="s">
        <v>604</v>
      </c>
      <c r="B536" t="s">
        <v>64</v>
      </c>
      <c r="C536" t="s">
        <v>30</v>
      </c>
      <c r="D536" t="s">
        <v>27</v>
      </c>
      <c r="E536" s="2">
        <v>60</v>
      </c>
      <c r="F536" t="s">
        <v>17</v>
      </c>
      <c r="G536" t="s">
        <v>31</v>
      </c>
      <c r="H536" s="2">
        <v>74</v>
      </c>
      <c r="I536" s="3">
        <v>3785</v>
      </c>
      <c r="J536" s="4">
        <v>20.2</v>
      </c>
      <c r="K536" s="2">
        <v>101</v>
      </c>
      <c r="L536" s="2">
        <v>3</v>
      </c>
      <c r="M536" s="3">
        <v>21981</v>
      </c>
      <c r="N536" t="str" cm="1">
        <f t="array" ref="N536">_xlfn.IFS(Table1_36[[#This Row],[Patient Satisfaction Score]]&gt;=83,"High",H536&lt;=75,"Low",TRUE,"Moderate")</f>
        <v>Low</v>
      </c>
      <c r="O536" t="str">
        <f t="shared" si="8"/>
        <v>Adult</v>
      </c>
    </row>
    <row r="537" spans="1:15">
      <c r="A537" t="s">
        <v>605</v>
      </c>
      <c r="B537" t="s">
        <v>95</v>
      </c>
      <c r="C537" t="s">
        <v>52</v>
      </c>
      <c r="D537" t="s">
        <v>16</v>
      </c>
      <c r="E537" s="2">
        <v>22</v>
      </c>
      <c r="F537" t="s">
        <v>22</v>
      </c>
      <c r="G537" t="s">
        <v>70</v>
      </c>
      <c r="H537" s="2">
        <v>70</v>
      </c>
      <c r="I537" s="3">
        <v>11553</v>
      </c>
      <c r="J537" s="4">
        <v>14.04</v>
      </c>
      <c r="K537" s="2">
        <v>104</v>
      </c>
      <c r="L537" s="2">
        <v>4</v>
      </c>
      <c r="M537" s="3">
        <v>41500</v>
      </c>
      <c r="N537" t="str" cm="1">
        <f t="array" ref="N537">_xlfn.IFS(Table1_36[[#This Row],[Patient Satisfaction Score]]&gt;=83,"High",H537&lt;=75,"Low",TRUE,"Moderate")</f>
        <v>Low</v>
      </c>
      <c r="O537" t="str">
        <f t="shared" si="8"/>
        <v>Adult</v>
      </c>
    </row>
    <row r="538" spans="1:15">
      <c r="A538" t="s">
        <v>606</v>
      </c>
      <c r="B538" t="s">
        <v>143</v>
      </c>
      <c r="C538" t="s">
        <v>21</v>
      </c>
      <c r="D538" t="s">
        <v>27</v>
      </c>
      <c r="E538" s="2">
        <v>52</v>
      </c>
      <c r="F538" t="s">
        <v>34</v>
      </c>
      <c r="G538" t="s">
        <v>70</v>
      </c>
      <c r="H538" s="2">
        <v>82</v>
      </c>
      <c r="I538" s="3">
        <v>8050</v>
      </c>
      <c r="J538" s="4">
        <v>9.9700000000000006</v>
      </c>
      <c r="K538" s="2">
        <v>96</v>
      </c>
      <c r="L538" s="2">
        <v>4</v>
      </c>
      <c r="M538" s="3">
        <v>46771</v>
      </c>
      <c r="N538" t="str" cm="1">
        <f t="array" ref="N538">_xlfn.IFS(Table1_36[[#This Row],[Patient Satisfaction Score]]&gt;=83,"High",H538&lt;=75,"Low",TRUE,"Moderate")</f>
        <v>Moderate</v>
      </c>
      <c r="O538" t="str">
        <f t="shared" si="8"/>
        <v>Adult</v>
      </c>
    </row>
    <row r="539" spans="1:15">
      <c r="A539" t="s">
        <v>607</v>
      </c>
      <c r="B539" t="s">
        <v>20</v>
      </c>
      <c r="C539" t="s">
        <v>21</v>
      </c>
      <c r="D539" t="s">
        <v>27</v>
      </c>
      <c r="E539" s="2">
        <v>61</v>
      </c>
      <c r="F539" t="s">
        <v>34</v>
      </c>
      <c r="G539" t="s">
        <v>70</v>
      </c>
      <c r="H539" s="2">
        <v>83</v>
      </c>
      <c r="I539" s="3">
        <v>7022</v>
      </c>
      <c r="J539" s="4">
        <v>12.11</v>
      </c>
      <c r="K539" s="2">
        <v>81</v>
      </c>
      <c r="L539" s="2">
        <v>5</v>
      </c>
      <c r="M539" s="3">
        <v>23756</v>
      </c>
      <c r="N539" t="str" cm="1">
        <f t="array" ref="N539">_xlfn.IFS(Table1_36[[#This Row],[Patient Satisfaction Score]]&gt;=83,"High",H539&lt;=75,"Low",TRUE,"Moderate")</f>
        <v>High</v>
      </c>
      <c r="O539" t="str">
        <f t="shared" si="8"/>
        <v>Adult</v>
      </c>
    </row>
    <row r="540" spans="1:15">
      <c r="A540" t="s">
        <v>608</v>
      </c>
      <c r="B540" t="s">
        <v>122</v>
      </c>
      <c r="C540" t="s">
        <v>48</v>
      </c>
      <c r="D540" t="s">
        <v>16</v>
      </c>
      <c r="E540" s="2">
        <v>43</v>
      </c>
      <c r="F540" t="s">
        <v>34</v>
      </c>
      <c r="G540" t="s">
        <v>40</v>
      </c>
      <c r="H540" s="2">
        <v>86</v>
      </c>
      <c r="I540" s="3">
        <v>6087</v>
      </c>
      <c r="J540" s="4">
        <v>11.4</v>
      </c>
      <c r="K540" s="2">
        <v>76</v>
      </c>
      <c r="L540" s="2">
        <v>4</v>
      </c>
      <c r="M540" s="3">
        <v>23385</v>
      </c>
      <c r="N540" t="str" cm="1">
        <f t="array" ref="N540">_xlfn.IFS(Table1_36[[#This Row],[Patient Satisfaction Score]]&gt;=83,"High",H540&lt;=75,"Low",TRUE,"Moderate")</f>
        <v>High</v>
      </c>
      <c r="O540" t="str">
        <f t="shared" si="8"/>
        <v>Adult</v>
      </c>
    </row>
    <row r="541" spans="1:15">
      <c r="A541" t="s">
        <v>609</v>
      </c>
      <c r="B541" t="s">
        <v>185</v>
      </c>
      <c r="C541" t="s">
        <v>52</v>
      </c>
      <c r="D541" t="s">
        <v>16</v>
      </c>
      <c r="E541" s="2">
        <v>51</v>
      </c>
      <c r="F541" t="s">
        <v>17</v>
      </c>
      <c r="G541" t="s">
        <v>70</v>
      </c>
      <c r="H541" s="2">
        <v>79</v>
      </c>
      <c r="I541" s="3">
        <v>5848</v>
      </c>
      <c r="J541" s="4">
        <v>14.85</v>
      </c>
      <c r="K541" s="2">
        <v>73</v>
      </c>
      <c r="L541" s="2">
        <v>5</v>
      </c>
      <c r="M541" s="3">
        <v>26989</v>
      </c>
      <c r="N541" t="str" cm="1">
        <f t="array" ref="N541">_xlfn.IFS(Table1_36[[#This Row],[Patient Satisfaction Score]]&gt;=83,"High",H541&lt;=75,"Low",TRUE,"Moderate")</f>
        <v>Moderate</v>
      </c>
      <c r="O541" t="str">
        <f t="shared" si="8"/>
        <v>Adult</v>
      </c>
    </row>
    <row r="542" spans="1:15">
      <c r="A542" t="s">
        <v>610</v>
      </c>
      <c r="B542" t="s">
        <v>54</v>
      </c>
      <c r="C542" t="s">
        <v>15</v>
      </c>
      <c r="D542" t="s">
        <v>27</v>
      </c>
      <c r="E542" s="2">
        <v>70</v>
      </c>
      <c r="F542" t="s">
        <v>34</v>
      </c>
      <c r="G542" t="s">
        <v>40</v>
      </c>
      <c r="H542" s="2">
        <v>81</v>
      </c>
      <c r="I542" s="3">
        <v>7746</v>
      </c>
      <c r="J542" s="4">
        <v>19.36</v>
      </c>
      <c r="K542" s="2">
        <v>81</v>
      </c>
      <c r="L542" s="2">
        <v>4</v>
      </c>
      <c r="M542" s="3">
        <v>29205</v>
      </c>
      <c r="N542" t="str" cm="1">
        <f t="array" ref="N542">_xlfn.IFS(Table1_36[[#This Row],[Patient Satisfaction Score]]&gt;=83,"High",H542&lt;=75,"Low",TRUE,"Moderate")</f>
        <v>Moderate</v>
      </c>
      <c r="O542" t="str">
        <f t="shared" si="8"/>
        <v>Adult</v>
      </c>
    </row>
    <row r="543" spans="1:15">
      <c r="A543" t="s">
        <v>611</v>
      </c>
      <c r="B543" t="s">
        <v>25</v>
      </c>
      <c r="C543" t="s">
        <v>26</v>
      </c>
      <c r="D543" t="s">
        <v>27</v>
      </c>
      <c r="E543" s="2">
        <v>52</v>
      </c>
      <c r="F543" t="s">
        <v>34</v>
      </c>
      <c r="G543" t="s">
        <v>31</v>
      </c>
      <c r="H543" s="2">
        <v>88</v>
      </c>
      <c r="I543" s="3">
        <v>2389</v>
      </c>
      <c r="J543" s="4">
        <v>1.29</v>
      </c>
      <c r="K543" s="2">
        <v>57</v>
      </c>
      <c r="L543" s="2">
        <v>4</v>
      </c>
      <c r="M543" s="3">
        <v>11251</v>
      </c>
      <c r="N543" t="str" cm="1">
        <f t="array" ref="N543">_xlfn.IFS(Table1_36[[#This Row],[Patient Satisfaction Score]]&gt;=83,"High",H543&lt;=75,"Low",TRUE,"Moderate")</f>
        <v>High</v>
      </c>
      <c r="O543" t="str">
        <f t="shared" si="8"/>
        <v>Adult</v>
      </c>
    </row>
    <row r="544" spans="1:15">
      <c r="A544" t="s">
        <v>612</v>
      </c>
      <c r="B544" t="s">
        <v>129</v>
      </c>
      <c r="C544" t="s">
        <v>21</v>
      </c>
      <c r="D544" t="s">
        <v>27</v>
      </c>
      <c r="E544" s="2">
        <v>26</v>
      </c>
      <c r="F544" t="s">
        <v>22</v>
      </c>
      <c r="G544" t="s">
        <v>18</v>
      </c>
      <c r="H544" s="2">
        <v>75</v>
      </c>
      <c r="I544" s="3">
        <v>6317</v>
      </c>
      <c r="J544" s="4">
        <v>16.23</v>
      </c>
      <c r="K544" s="2">
        <v>73</v>
      </c>
      <c r="L544" s="2">
        <v>4</v>
      </c>
      <c r="M544" s="3">
        <v>18871</v>
      </c>
      <c r="N544" t="str" cm="1">
        <f t="array" ref="N544">_xlfn.IFS(Table1_36[[#This Row],[Patient Satisfaction Score]]&gt;=83,"High",H544&lt;=75,"Low",TRUE,"Moderate")</f>
        <v>Low</v>
      </c>
      <c r="O544" t="str">
        <f t="shared" si="8"/>
        <v>Adult</v>
      </c>
    </row>
    <row r="545" spans="1:15">
      <c r="A545" t="s">
        <v>613</v>
      </c>
      <c r="B545" t="s">
        <v>56</v>
      </c>
      <c r="C545" t="s">
        <v>45</v>
      </c>
      <c r="D545" t="s">
        <v>27</v>
      </c>
      <c r="E545" s="2">
        <v>45</v>
      </c>
      <c r="F545" t="s">
        <v>34</v>
      </c>
      <c r="G545" t="s">
        <v>40</v>
      </c>
      <c r="H545" s="2">
        <v>68</v>
      </c>
      <c r="I545" s="3">
        <v>8890</v>
      </c>
      <c r="J545" s="4">
        <v>17.89</v>
      </c>
      <c r="K545" s="2">
        <v>89</v>
      </c>
      <c r="L545" s="2">
        <v>3</v>
      </c>
      <c r="M545" s="3">
        <v>38421</v>
      </c>
      <c r="N545" t="str" cm="1">
        <f t="array" ref="N545">_xlfn.IFS(Table1_36[[#This Row],[Patient Satisfaction Score]]&gt;=83,"High",H545&lt;=75,"Low",TRUE,"Moderate")</f>
        <v>Low</v>
      </c>
      <c r="O545" t="str">
        <f t="shared" si="8"/>
        <v>Adult</v>
      </c>
    </row>
    <row r="546" spans="1:15">
      <c r="A546" t="s">
        <v>614</v>
      </c>
      <c r="B546" t="s">
        <v>122</v>
      </c>
      <c r="C546" t="s">
        <v>48</v>
      </c>
      <c r="D546" t="s">
        <v>72</v>
      </c>
      <c r="E546" s="2">
        <v>65</v>
      </c>
      <c r="F546" t="s">
        <v>17</v>
      </c>
      <c r="G546" t="s">
        <v>40</v>
      </c>
      <c r="H546" s="2">
        <v>75</v>
      </c>
      <c r="I546" s="3">
        <v>9891</v>
      </c>
      <c r="J546" s="4">
        <v>21.23</v>
      </c>
      <c r="K546" s="2">
        <v>71</v>
      </c>
      <c r="L546" s="2">
        <v>4</v>
      </c>
      <c r="M546" s="3">
        <v>47684</v>
      </c>
      <c r="N546" t="str" cm="1">
        <f t="array" ref="N546">_xlfn.IFS(Table1_36[[#This Row],[Patient Satisfaction Score]]&gt;=83,"High",H546&lt;=75,"Low",TRUE,"Moderate")</f>
        <v>Low</v>
      </c>
      <c r="O546" t="str">
        <f t="shared" si="8"/>
        <v>Adult</v>
      </c>
    </row>
    <row r="547" spans="1:15">
      <c r="A547" t="s">
        <v>615</v>
      </c>
      <c r="B547" t="s">
        <v>25</v>
      </c>
      <c r="C547" t="s">
        <v>26</v>
      </c>
      <c r="D547" t="s">
        <v>16</v>
      </c>
      <c r="E547" s="2">
        <v>13</v>
      </c>
      <c r="F547" t="s">
        <v>34</v>
      </c>
      <c r="G547" t="s">
        <v>40</v>
      </c>
      <c r="H547" s="2">
        <v>86</v>
      </c>
      <c r="I547" s="3">
        <v>3199</v>
      </c>
      <c r="J547" s="4">
        <v>3.47</v>
      </c>
      <c r="K547" s="2">
        <v>79</v>
      </c>
      <c r="L547" s="2">
        <v>4</v>
      </c>
      <c r="M547" s="3">
        <v>15261</v>
      </c>
      <c r="N547" t="str" cm="1">
        <f t="array" ref="N547">_xlfn.IFS(Table1_36[[#This Row],[Patient Satisfaction Score]]&gt;=83,"High",H547&lt;=75,"Low",TRUE,"Moderate")</f>
        <v>High</v>
      </c>
      <c r="O547" t="str">
        <f t="shared" si="8"/>
        <v>Pediatric</v>
      </c>
    </row>
    <row r="548" spans="1:15">
      <c r="A548" t="s">
        <v>616</v>
      </c>
      <c r="B548" t="s">
        <v>78</v>
      </c>
      <c r="C548" t="s">
        <v>15</v>
      </c>
      <c r="D548" t="s">
        <v>27</v>
      </c>
      <c r="E548" s="2">
        <v>21</v>
      </c>
      <c r="F548" t="s">
        <v>22</v>
      </c>
      <c r="G548" t="s">
        <v>18</v>
      </c>
      <c r="H548" s="2">
        <v>74</v>
      </c>
      <c r="I548" s="3">
        <v>8201</v>
      </c>
      <c r="J548" s="4">
        <v>12.69</v>
      </c>
      <c r="K548" s="2">
        <v>38</v>
      </c>
      <c r="L548" s="2">
        <v>4</v>
      </c>
      <c r="M548" s="3">
        <v>37611</v>
      </c>
      <c r="N548" t="str" cm="1">
        <f t="array" ref="N548">_xlfn.IFS(Table1_36[[#This Row],[Patient Satisfaction Score]]&gt;=83,"High",H548&lt;=75,"Low",TRUE,"Moderate")</f>
        <v>Low</v>
      </c>
      <c r="O548" t="str">
        <f t="shared" si="8"/>
        <v>Adult</v>
      </c>
    </row>
    <row r="549" spans="1:15">
      <c r="A549" t="s">
        <v>617</v>
      </c>
      <c r="B549" t="s">
        <v>187</v>
      </c>
      <c r="C549" t="s">
        <v>30</v>
      </c>
      <c r="D549" t="s">
        <v>16</v>
      </c>
      <c r="E549" s="2">
        <v>44</v>
      </c>
      <c r="F549" t="s">
        <v>17</v>
      </c>
      <c r="G549" t="s">
        <v>70</v>
      </c>
      <c r="H549" s="2">
        <v>64</v>
      </c>
      <c r="I549" s="3">
        <v>3340</v>
      </c>
      <c r="J549" s="4">
        <v>20.48</v>
      </c>
      <c r="K549" s="2">
        <v>110</v>
      </c>
      <c r="L549" s="2">
        <v>3</v>
      </c>
      <c r="M549" s="3">
        <v>8352</v>
      </c>
      <c r="N549" t="str" cm="1">
        <f t="array" ref="N549">_xlfn.IFS(Table1_36[[#This Row],[Patient Satisfaction Score]]&gt;=83,"High",H549&lt;=75,"Low",TRUE,"Moderate")</f>
        <v>Low</v>
      </c>
      <c r="O549" t="str">
        <f t="shared" si="8"/>
        <v>Adult</v>
      </c>
    </row>
    <row r="550" spans="1:15">
      <c r="A550" t="s">
        <v>618</v>
      </c>
      <c r="B550" t="s">
        <v>58</v>
      </c>
      <c r="C550" t="s">
        <v>48</v>
      </c>
      <c r="D550" t="s">
        <v>16</v>
      </c>
      <c r="E550" s="2">
        <v>30</v>
      </c>
      <c r="F550" t="s">
        <v>34</v>
      </c>
      <c r="G550" t="s">
        <v>31</v>
      </c>
      <c r="H550" s="2">
        <v>73</v>
      </c>
      <c r="I550" s="3">
        <v>6386</v>
      </c>
      <c r="J550" s="4">
        <v>12.67</v>
      </c>
      <c r="K550" s="2">
        <v>85</v>
      </c>
      <c r="L550" s="2">
        <v>4</v>
      </c>
      <c r="M550" s="3">
        <v>27417</v>
      </c>
      <c r="N550" t="str" cm="1">
        <f t="array" ref="N550">_xlfn.IFS(Table1_36[[#This Row],[Patient Satisfaction Score]]&gt;=83,"High",H550&lt;=75,"Low",TRUE,"Moderate")</f>
        <v>Low</v>
      </c>
      <c r="O550" t="str">
        <f t="shared" si="8"/>
        <v>Adult</v>
      </c>
    </row>
    <row r="551" spans="1:15">
      <c r="A551" t="s">
        <v>619</v>
      </c>
      <c r="B551" t="s">
        <v>68</v>
      </c>
      <c r="C551" t="s">
        <v>45</v>
      </c>
      <c r="D551" t="s">
        <v>16</v>
      </c>
      <c r="E551" s="2">
        <v>20</v>
      </c>
      <c r="F551" t="s">
        <v>17</v>
      </c>
      <c r="G551" t="s">
        <v>40</v>
      </c>
      <c r="H551" s="2">
        <v>76</v>
      </c>
      <c r="I551" s="3">
        <v>11620</v>
      </c>
      <c r="J551" s="4">
        <v>20.23</v>
      </c>
      <c r="K551" s="2">
        <v>65</v>
      </c>
      <c r="L551" s="2">
        <v>4</v>
      </c>
      <c r="M551" s="3">
        <v>61683</v>
      </c>
      <c r="N551" t="str" cm="1">
        <f t="array" ref="N551">_xlfn.IFS(Table1_36[[#This Row],[Patient Satisfaction Score]]&gt;=83,"High",H551&lt;=75,"Low",TRUE,"Moderate")</f>
        <v>Moderate</v>
      </c>
      <c r="O551" t="str">
        <f t="shared" si="8"/>
        <v>Adult</v>
      </c>
    </row>
    <row r="552" spans="1:15">
      <c r="A552" t="s">
        <v>620</v>
      </c>
      <c r="B552" t="s">
        <v>36</v>
      </c>
      <c r="C552" t="s">
        <v>21</v>
      </c>
      <c r="D552" t="s">
        <v>16</v>
      </c>
      <c r="E552" s="2">
        <v>31</v>
      </c>
      <c r="F552" t="s">
        <v>17</v>
      </c>
      <c r="G552" t="s">
        <v>70</v>
      </c>
      <c r="H552" s="2">
        <v>79</v>
      </c>
      <c r="I552" s="3">
        <v>6634</v>
      </c>
      <c r="J552" s="4">
        <v>23.17</v>
      </c>
      <c r="K552" s="2">
        <v>50</v>
      </c>
      <c r="L552" s="2">
        <v>4</v>
      </c>
      <c r="M552" s="3">
        <v>27805</v>
      </c>
      <c r="N552" t="str" cm="1">
        <f t="array" ref="N552">_xlfn.IFS(Table1_36[[#This Row],[Patient Satisfaction Score]]&gt;=83,"High",H552&lt;=75,"Low",TRUE,"Moderate")</f>
        <v>Moderate</v>
      </c>
      <c r="O552" t="str">
        <f t="shared" si="8"/>
        <v>Adult</v>
      </c>
    </row>
    <row r="553" spans="1:15">
      <c r="A553" t="s">
        <v>621</v>
      </c>
      <c r="B553" t="s">
        <v>44</v>
      </c>
      <c r="C553" t="s">
        <v>45</v>
      </c>
      <c r="D553" t="s">
        <v>27</v>
      </c>
      <c r="E553" s="2">
        <v>49</v>
      </c>
      <c r="F553" t="s">
        <v>22</v>
      </c>
      <c r="G553" t="s">
        <v>31</v>
      </c>
      <c r="H553" s="2">
        <v>73</v>
      </c>
      <c r="I553" s="3">
        <v>9519</v>
      </c>
      <c r="J553" s="4">
        <v>14.75</v>
      </c>
      <c r="K553" s="2">
        <v>62</v>
      </c>
      <c r="L553" s="2">
        <v>3</v>
      </c>
      <c r="M553" s="3">
        <v>51079</v>
      </c>
      <c r="N553" t="str" cm="1">
        <f t="array" ref="N553">_xlfn.IFS(Table1_36[[#This Row],[Patient Satisfaction Score]]&gt;=83,"High",H553&lt;=75,"Low",TRUE,"Moderate")</f>
        <v>Low</v>
      </c>
      <c r="O553" t="str">
        <f t="shared" si="8"/>
        <v>Adult</v>
      </c>
    </row>
    <row r="554" spans="1:15">
      <c r="A554" t="s">
        <v>622</v>
      </c>
      <c r="B554" t="s">
        <v>137</v>
      </c>
      <c r="C554" t="s">
        <v>26</v>
      </c>
      <c r="D554" t="s">
        <v>27</v>
      </c>
      <c r="E554" s="2">
        <v>65</v>
      </c>
      <c r="F554" t="s">
        <v>34</v>
      </c>
      <c r="G554" t="s">
        <v>31</v>
      </c>
      <c r="H554" s="2">
        <v>81</v>
      </c>
      <c r="I554" s="3">
        <v>2108</v>
      </c>
      <c r="J554" s="4">
        <v>1.96</v>
      </c>
      <c r="K554" s="2">
        <v>35</v>
      </c>
      <c r="L554" s="2">
        <v>4</v>
      </c>
      <c r="M554" s="3">
        <v>8349</v>
      </c>
      <c r="N554" t="str" cm="1">
        <f t="array" ref="N554">_xlfn.IFS(Table1_36[[#This Row],[Patient Satisfaction Score]]&gt;=83,"High",H554&lt;=75,"Low",TRUE,"Moderate")</f>
        <v>Moderate</v>
      </c>
      <c r="O554" t="str">
        <f t="shared" si="8"/>
        <v>Adult</v>
      </c>
    </row>
    <row r="555" spans="1:15">
      <c r="A555" t="s">
        <v>623</v>
      </c>
      <c r="B555" t="s">
        <v>14</v>
      </c>
      <c r="C555" t="s">
        <v>15</v>
      </c>
      <c r="D555" t="s">
        <v>16</v>
      </c>
      <c r="E555" s="2">
        <v>63</v>
      </c>
      <c r="F555" t="s">
        <v>22</v>
      </c>
      <c r="G555" t="s">
        <v>31</v>
      </c>
      <c r="H555" s="2">
        <v>72</v>
      </c>
      <c r="I555" s="3">
        <v>6977</v>
      </c>
      <c r="J555" s="4">
        <v>19.66</v>
      </c>
      <c r="K555" s="2">
        <v>78</v>
      </c>
      <c r="L555" s="2">
        <v>3</v>
      </c>
      <c r="M555" s="3">
        <v>40724</v>
      </c>
      <c r="N555" t="str" cm="1">
        <f t="array" ref="N555">_xlfn.IFS(Table1_36[[#This Row],[Patient Satisfaction Score]]&gt;=83,"High",H555&lt;=75,"Low",TRUE,"Moderate")</f>
        <v>Low</v>
      </c>
      <c r="O555" t="str">
        <f t="shared" si="8"/>
        <v>Adult</v>
      </c>
    </row>
    <row r="556" spans="1:15">
      <c r="A556" t="s">
        <v>624</v>
      </c>
      <c r="B556" t="s">
        <v>66</v>
      </c>
      <c r="C556" t="s">
        <v>39</v>
      </c>
      <c r="D556" t="s">
        <v>16</v>
      </c>
      <c r="E556" s="2">
        <v>13</v>
      </c>
      <c r="F556" t="s">
        <v>17</v>
      </c>
      <c r="G556" t="s">
        <v>49</v>
      </c>
      <c r="H556" s="2">
        <v>89</v>
      </c>
      <c r="I556" s="3">
        <v>2374</v>
      </c>
      <c r="J556" s="4">
        <v>3.31</v>
      </c>
      <c r="K556" s="2">
        <v>53</v>
      </c>
      <c r="L556" s="2">
        <v>4</v>
      </c>
      <c r="M556" s="3">
        <v>6952</v>
      </c>
      <c r="N556" t="str" cm="1">
        <f t="array" ref="N556">_xlfn.IFS(Table1_36[[#This Row],[Patient Satisfaction Score]]&gt;=83,"High",H556&lt;=75,"Low",TRUE,"Moderate")</f>
        <v>High</v>
      </c>
      <c r="O556" t="str">
        <f t="shared" si="8"/>
        <v>Pediatric</v>
      </c>
    </row>
    <row r="557" spans="1:15">
      <c r="A557" t="s">
        <v>625</v>
      </c>
      <c r="B557" t="s">
        <v>25</v>
      </c>
      <c r="C557" t="s">
        <v>26</v>
      </c>
      <c r="D557" t="s">
        <v>72</v>
      </c>
      <c r="E557" s="2">
        <v>27</v>
      </c>
      <c r="F557" t="s">
        <v>34</v>
      </c>
      <c r="G557" t="s">
        <v>23</v>
      </c>
      <c r="H557" s="2">
        <v>83</v>
      </c>
      <c r="I557" s="3">
        <v>2742</v>
      </c>
      <c r="J557" s="4">
        <v>3.13</v>
      </c>
      <c r="K557" s="2">
        <v>51</v>
      </c>
      <c r="L557" s="2">
        <v>4</v>
      </c>
      <c r="M557" s="3">
        <v>16024</v>
      </c>
      <c r="N557" t="str" cm="1">
        <f t="array" ref="N557">_xlfn.IFS(Table1_36[[#This Row],[Patient Satisfaction Score]]&gt;=83,"High",H557&lt;=75,"Low",TRUE,"Moderate")</f>
        <v>High</v>
      </c>
      <c r="O557" t="str">
        <f t="shared" si="8"/>
        <v>Adult</v>
      </c>
    </row>
    <row r="558" spans="1:15">
      <c r="A558" t="s">
        <v>626</v>
      </c>
      <c r="B558" t="s">
        <v>109</v>
      </c>
      <c r="C558" t="s">
        <v>30</v>
      </c>
      <c r="D558" t="s">
        <v>27</v>
      </c>
      <c r="E558" s="2">
        <v>56</v>
      </c>
      <c r="F558" t="s">
        <v>22</v>
      </c>
      <c r="G558" t="s">
        <v>31</v>
      </c>
      <c r="H558" s="2">
        <v>74</v>
      </c>
      <c r="I558" s="3">
        <v>3680</v>
      </c>
      <c r="J558" s="4">
        <v>17.04</v>
      </c>
      <c r="K558" s="2">
        <v>101</v>
      </c>
      <c r="L558" s="2">
        <v>4</v>
      </c>
      <c r="M558" s="3">
        <v>19110</v>
      </c>
      <c r="N558" t="str" cm="1">
        <f t="array" ref="N558">_xlfn.IFS(Table1_36[[#This Row],[Patient Satisfaction Score]]&gt;=83,"High",H558&lt;=75,"Low",TRUE,"Moderate")</f>
        <v>Low</v>
      </c>
      <c r="O558" t="str">
        <f t="shared" si="8"/>
        <v>Adult</v>
      </c>
    </row>
    <row r="559" spans="1:15">
      <c r="A559" t="s">
        <v>627</v>
      </c>
      <c r="B559" t="s">
        <v>185</v>
      </c>
      <c r="C559" t="s">
        <v>52</v>
      </c>
      <c r="D559" t="s">
        <v>27</v>
      </c>
      <c r="E559" s="2">
        <v>32</v>
      </c>
      <c r="F559" t="s">
        <v>34</v>
      </c>
      <c r="G559" t="s">
        <v>31</v>
      </c>
      <c r="H559" s="2">
        <v>88</v>
      </c>
      <c r="I559" s="3">
        <v>6636</v>
      </c>
      <c r="J559" s="4">
        <v>8.15</v>
      </c>
      <c r="K559" s="2">
        <v>62</v>
      </c>
      <c r="L559" s="2">
        <v>4</v>
      </c>
      <c r="M559" s="3">
        <v>20303</v>
      </c>
      <c r="N559" t="str" cm="1">
        <f t="array" ref="N559">_xlfn.IFS(Table1_36[[#This Row],[Patient Satisfaction Score]]&gt;=83,"High",H559&lt;=75,"Low",TRUE,"Moderate")</f>
        <v>High</v>
      </c>
      <c r="O559" t="str">
        <f t="shared" si="8"/>
        <v>Adult</v>
      </c>
    </row>
    <row r="560" spans="1:15">
      <c r="A560" t="s">
        <v>628</v>
      </c>
      <c r="B560" t="s">
        <v>129</v>
      </c>
      <c r="C560" t="s">
        <v>21</v>
      </c>
      <c r="D560" t="s">
        <v>72</v>
      </c>
      <c r="E560" s="2">
        <v>27</v>
      </c>
      <c r="F560" t="s">
        <v>34</v>
      </c>
      <c r="G560" t="s">
        <v>23</v>
      </c>
      <c r="H560" s="2">
        <v>82</v>
      </c>
      <c r="I560" s="3">
        <v>6545</v>
      </c>
      <c r="J560" s="4">
        <v>7.13</v>
      </c>
      <c r="K560" s="2">
        <v>100</v>
      </c>
      <c r="L560" s="2">
        <v>4</v>
      </c>
      <c r="M560" s="3">
        <v>31150</v>
      </c>
      <c r="N560" t="str" cm="1">
        <f t="array" ref="N560">_xlfn.IFS(Table1_36[[#This Row],[Patient Satisfaction Score]]&gt;=83,"High",H560&lt;=75,"Low",TRUE,"Moderate")</f>
        <v>Moderate</v>
      </c>
      <c r="O560" t="str">
        <f t="shared" si="8"/>
        <v>Adult</v>
      </c>
    </row>
    <row r="561" spans="1:15">
      <c r="A561" t="s">
        <v>629</v>
      </c>
      <c r="B561" t="s">
        <v>122</v>
      </c>
      <c r="C561" t="s">
        <v>48</v>
      </c>
      <c r="D561" t="s">
        <v>16</v>
      </c>
      <c r="E561" s="2">
        <v>48</v>
      </c>
      <c r="F561" t="s">
        <v>17</v>
      </c>
      <c r="G561" t="s">
        <v>23</v>
      </c>
      <c r="H561" s="2">
        <v>82</v>
      </c>
      <c r="I561" s="3">
        <v>5735</v>
      </c>
      <c r="J561" s="4">
        <v>9.0299999999999994</v>
      </c>
      <c r="K561" s="2">
        <v>51</v>
      </c>
      <c r="L561" s="2">
        <v>4</v>
      </c>
      <c r="M561" s="3">
        <v>19837</v>
      </c>
      <c r="N561" t="str" cm="1">
        <f t="array" ref="N561">_xlfn.IFS(Table1_36[[#This Row],[Patient Satisfaction Score]]&gt;=83,"High",H561&lt;=75,"Low",TRUE,"Moderate")</f>
        <v>Moderate</v>
      </c>
      <c r="O561" t="str">
        <f t="shared" si="8"/>
        <v>Adult</v>
      </c>
    </row>
    <row r="562" spans="1:15">
      <c r="A562" t="s">
        <v>630</v>
      </c>
      <c r="B562" t="s">
        <v>129</v>
      </c>
      <c r="C562" t="s">
        <v>21</v>
      </c>
      <c r="D562" t="s">
        <v>27</v>
      </c>
      <c r="E562" s="2">
        <v>37</v>
      </c>
      <c r="F562" t="s">
        <v>34</v>
      </c>
      <c r="G562" t="s">
        <v>18</v>
      </c>
      <c r="H562" s="2">
        <v>77</v>
      </c>
      <c r="I562" s="3">
        <v>5983</v>
      </c>
      <c r="J562" s="4">
        <v>10.26</v>
      </c>
      <c r="K562" s="2">
        <v>87</v>
      </c>
      <c r="L562" s="2">
        <v>4</v>
      </c>
      <c r="M562" s="3">
        <v>35505</v>
      </c>
      <c r="N562" t="str" cm="1">
        <f t="array" ref="N562">_xlfn.IFS(Table1_36[[#This Row],[Patient Satisfaction Score]]&gt;=83,"High",H562&lt;=75,"Low",TRUE,"Moderate")</f>
        <v>Moderate</v>
      </c>
      <c r="O562" t="str">
        <f t="shared" si="8"/>
        <v>Adult</v>
      </c>
    </row>
    <row r="563" spans="1:15">
      <c r="A563" t="s">
        <v>631</v>
      </c>
      <c r="B563" t="s">
        <v>56</v>
      </c>
      <c r="C563" t="s">
        <v>45</v>
      </c>
      <c r="D563" t="s">
        <v>27</v>
      </c>
      <c r="E563" s="2">
        <v>71</v>
      </c>
      <c r="F563" t="s">
        <v>34</v>
      </c>
      <c r="G563" t="s">
        <v>31</v>
      </c>
      <c r="H563" s="2">
        <v>77</v>
      </c>
      <c r="I563" s="3">
        <v>11154</v>
      </c>
      <c r="J563" s="4">
        <v>11.1</v>
      </c>
      <c r="K563" s="2">
        <v>83</v>
      </c>
      <c r="L563" s="2">
        <v>4</v>
      </c>
      <c r="M563" s="3">
        <v>64506</v>
      </c>
      <c r="N563" t="str" cm="1">
        <f t="array" ref="N563">_xlfn.IFS(Table1_36[[#This Row],[Patient Satisfaction Score]]&gt;=83,"High",H563&lt;=75,"Low",TRUE,"Moderate")</f>
        <v>Moderate</v>
      </c>
      <c r="O563" t="str">
        <f t="shared" si="8"/>
        <v>Adult</v>
      </c>
    </row>
    <row r="564" spans="1:15">
      <c r="A564" t="s">
        <v>632</v>
      </c>
      <c r="B564" t="s">
        <v>56</v>
      </c>
      <c r="C564" t="s">
        <v>45</v>
      </c>
      <c r="D564" t="s">
        <v>27</v>
      </c>
      <c r="E564" s="2">
        <v>68</v>
      </c>
      <c r="F564" t="s">
        <v>17</v>
      </c>
      <c r="G564" t="s">
        <v>31</v>
      </c>
      <c r="H564" s="2">
        <v>80</v>
      </c>
      <c r="I564" s="3">
        <v>8635</v>
      </c>
      <c r="J564" s="4">
        <v>14.89</v>
      </c>
      <c r="K564" s="2">
        <v>104</v>
      </c>
      <c r="L564" s="2">
        <v>3</v>
      </c>
      <c r="M564" s="3">
        <v>32345</v>
      </c>
      <c r="N564" t="str" cm="1">
        <f t="array" ref="N564">_xlfn.IFS(Table1_36[[#This Row],[Patient Satisfaction Score]]&gt;=83,"High",H564&lt;=75,"Low",TRUE,"Moderate")</f>
        <v>Moderate</v>
      </c>
      <c r="O564" t="str">
        <f t="shared" si="8"/>
        <v>Adult</v>
      </c>
    </row>
    <row r="565" spans="1:15">
      <c r="A565" t="s">
        <v>633</v>
      </c>
      <c r="B565" t="s">
        <v>14</v>
      </c>
      <c r="C565" t="s">
        <v>15</v>
      </c>
      <c r="D565" t="s">
        <v>16</v>
      </c>
      <c r="E565" s="2">
        <v>50</v>
      </c>
      <c r="F565" t="s">
        <v>22</v>
      </c>
      <c r="G565" t="s">
        <v>23</v>
      </c>
      <c r="H565" s="2">
        <v>75</v>
      </c>
      <c r="I565" s="3">
        <v>6379</v>
      </c>
      <c r="J565" s="4">
        <v>20.73</v>
      </c>
      <c r="K565" s="2">
        <v>63</v>
      </c>
      <c r="L565" s="2">
        <v>4</v>
      </c>
      <c r="M565" s="3">
        <v>21249</v>
      </c>
      <c r="N565" t="str" cm="1">
        <f t="array" ref="N565">_xlfn.IFS(Table1_36[[#This Row],[Patient Satisfaction Score]]&gt;=83,"High",H565&lt;=75,"Low",TRUE,"Moderate")</f>
        <v>Low</v>
      </c>
      <c r="O565" t="str">
        <f t="shared" si="8"/>
        <v>Adult</v>
      </c>
    </row>
    <row r="566" spans="1:15">
      <c r="A566" t="s">
        <v>634</v>
      </c>
      <c r="B566" t="s">
        <v>143</v>
      </c>
      <c r="C566" t="s">
        <v>21</v>
      </c>
      <c r="D566" t="s">
        <v>16</v>
      </c>
      <c r="E566" s="2">
        <v>64</v>
      </c>
      <c r="F566" t="s">
        <v>22</v>
      </c>
      <c r="G566" t="s">
        <v>18</v>
      </c>
      <c r="H566" s="2">
        <v>84</v>
      </c>
      <c r="I566" s="3">
        <v>8591</v>
      </c>
      <c r="J566" s="4">
        <v>18.309999999999999</v>
      </c>
      <c r="K566" s="2">
        <v>62</v>
      </c>
      <c r="L566" s="2">
        <v>4</v>
      </c>
      <c r="M566" s="3">
        <v>27614</v>
      </c>
      <c r="N566" t="str" cm="1">
        <f t="array" ref="N566">_xlfn.IFS(Table1_36[[#This Row],[Patient Satisfaction Score]]&gt;=83,"High",H566&lt;=75,"Low",TRUE,"Moderate")</f>
        <v>High</v>
      </c>
      <c r="O566" t="str">
        <f t="shared" si="8"/>
        <v>Adult</v>
      </c>
    </row>
    <row r="567" spans="1:15">
      <c r="A567" t="s">
        <v>635</v>
      </c>
      <c r="B567" t="s">
        <v>42</v>
      </c>
      <c r="C567" t="s">
        <v>39</v>
      </c>
      <c r="D567" t="s">
        <v>27</v>
      </c>
      <c r="E567" s="2">
        <v>12</v>
      </c>
      <c r="F567" t="s">
        <v>34</v>
      </c>
      <c r="G567" t="s">
        <v>18</v>
      </c>
      <c r="H567" s="2">
        <v>77</v>
      </c>
      <c r="I567" s="3">
        <v>2803</v>
      </c>
      <c r="J567" s="4">
        <v>11.2</v>
      </c>
      <c r="K567" s="2">
        <v>57</v>
      </c>
      <c r="L567" s="2">
        <v>4</v>
      </c>
      <c r="M567" s="3">
        <v>7554</v>
      </c>
      <c r="N567" t="str" cm="1">
        <f t="array" ref="N567">_xlfn.IFS(Table1_36[[#This Row],[Patient Satisfaction Score]]&gt;=83,"High",H567&lt;=75,"Low",TRUE,"Moderate")</f>
        <v>Moderate</v>
      </c>
      <c r="O567" t="str">
        <f t="shared" si="8"/>
        <v>Pediatric</v>
      </c>
    </row>
    <row r="568" spans="1:15">
      <c r="A568" t="s">
        <v>636</v>
      </c>
      <c r="B568" t="s">
        <v>33</v>
      </c>
      <c r="C568" t="s">
        <v>26</v>
      </c>
      <c r="D568" t="s">
        <v>27</v>
      </c>
      <c r="E568" s="2">
        <v>17</v>
      </c>
      <c r="F568" t="s">
        <v>22</v>
      </c>
      <c r="G568" t="s">
        <v>70</v>
      </c>
      <c r="H568" s="2">
        <v>84</v>
      </c>
      <c r="I568" s="3">
        <v>2138</v>
      </c>
      <c r="J568" s="4">
        <v>4.22</v>
      </c>
      <c r="K568" s="2">
        <v>56</v>
      </c>
      <c r="L568" s="2">
        <v>4</v>
      </c>
      <c r="M568" s="3">
        <v>6016</v>
      </c>
      <c r="N568" t="str" cm="1">
        <f t="array" ref="N568">_xlfn.IFS(Table1_36[[#This Row],[Patient Satisfaction Score]]&gt;=83,"High",H568&lt;=75,"Low",TRUE,"Moderate")</f>
        <v>High</v>
      </c>
      <c r="O568" t="str">
        <f t="shared" si="8"/>
        <v>Pediatric</v>
      </c>
    </row>
    <row r="569" spans="1:15">
      <c r="A569" t="s">
        <v>637</v>
      </c>
      <c r="B569" t="s">
        <v>25</v>
      </c>
      <c r="C569" t="s">
        <v>26</v>
      </c>
      <c r="D569" t="s">
        <v>16</v>
      </c>
      <c r="E569" s="2">
        <v>23</v>
      </c>
      <c r="F569" t="s">
        <v>17</v>
      </c>
      <c r="G569" t="s">
        <v>70</v>
      </c>
      <c r="H569" s="2">
        <v>91</v>
      </c>
      <c r="I569" s="3">
        <v>2736</v>
      </c>
      <c r="J569" s="4">
        <v>4.1500000000000004</v>
      </c>
      <c r="K569" s="2">
        <v>44</v>
      </c>
      <c r="L569" s="2">
        <v>4</v>
      </c>
      <c r="M569" s="3">
        <v>12074</v>
      </c>
      <c r="N569" t="str" cm="1">
        <f t="array" ref="N569">_xlfn.IFS(Table1_36[[#This Row],[Patient Satisfaction Score]]&gt;=83,"High",H569&lt;=75,"Low",TRUE,"Moderate")</f>
        <v>High</v>
      </c>
      <c r="O569" t="str">
        <f t="shared" si="8"/>
        <v>Adult</v>
      </c>
    </row>
    <row r="570" spans="1:15">
      <c r="A570" t="s">
        <v>638</v>
      </c>
      <c r="B570" t="s">
        <v>103</v>
      </c>
      <c r="C570" t="s">
        <v>26</v>
      </c>
      <c r="D570" t="s">
        <v>27</v>
      </c>
      <c r="E570" s="2">
        <v>47</v>
      </c>
      <c r="F570" t="s">
        <v>17</v>
      </c>
      <c r="G570" t="s">
        <v>18</v>
      </c>
      <c r="H570" s="2">
        <v>79</v>
      </c>
      <c r="I570" s="3">
        <v>1804</v>
      </c>
      <c r="J570" s="4">
        <v>5.63</v>
      </c>
      <c r="K570" s="2">
        <v>64</v>
      </c>
      <c r="L570" s="2">
        <v>3</v>
      </c>
      <c r="M570" s="3">
        <v>9307</v>
      </c>
      <c r="N570" t="str" cm="1">
        <f t="array" ref="N570">_xlfn.IFS(Table1_36[[#This Row],[Patient Satisfaction Score]]&gt;=83,"High",H570&lt;=75,"Low",TRUE,"Moderate")</f>
        <v>Moderate</v>
      </c>
      <c r="O570" t="str">
        <f t="shared" si="8"/>
        <v>Adult</v>
      </c>
    </row>
    <row r="571" spans="1:15">
      <c r="A571" t="s">
        <v>639</v>
      </c>
      <c r="B571" t="s">
        <v>58</v>
      </c>
      <c r="C571" t="s">
        <v>48</v>
      </c>
      <c r="D571" t="s">
        <v>16</v>
      </c>
      <c r="E571" s="2">
        <v>52</v>
      </c>
      <c r="F571" t="s">
        <v>22</v>
      </c>
      <c r="G571" t="s">
        <v>18</v>
      </c>
      <c r="H571" s="2">
        <v>76</v>
      </c>
      <c r="I571" s="3">
        <v>6741</v>
      </c>
      <c r="J571" s="4">
        <v>18.04</v>
      </c>
      <c r="K571" s="2">
        <v>72</v>
      </c>
      <c r="L571" s="2">
        <v>3</v>
      </c>
      <c r="M571" s="3">
        <v>22207</v>
      </c>
      <c r="N571" t="str" cm="1">
        <f t="array" ref="N571">_xlfn.IFS(Table1_36[[#This Row],[Patient Satisfaction Score]]&gt;=83,"High",H571&lt;=75,"Low",TRUE,"Moderate")</f>
        <v>Moderate</v>
      </c>
      <c r="O571" t="str">
        <f t="shared" si="8"/>
        <v>Adult</v>
      </c>
    </row>
    <row r="572" spans="1:15">
      <c r="A572" t="s">
        <v>640</v>
      </c>
      <c r="B572" t="s">
        <v>25</v>
      </c>
      <c r="C572" t="s">
        <v>39</v>
      </c>
      <c r="D572" t="s">
        <v>27</v>
      </c>
      <c r="E572" s="2">
        <v>3</v>
      </c>
      <c r="F572" t="s">
        <v>17</v>
      </c>
      <c r="G572" t="s">
        <v>40</v>
      </c>
      <c r="H572" s="2">
        <v>85</v>
      </c>
      <c r="I572" s="3">
        <v>1893</v>
      </c>
      <c r="J572" s="4">
        <v>4.4400000000000004</v>
      </c>
      <c r="K572" s="2">
        <v>63</v>
      </c>
      <c r="L572" s="2">
        <v>4</v>
      </c>
      <c r="M572" s="3">
        <v>7972</v>
      </c>
      <c r="N572" t="str" cm="1">
        <f t="array" ref="N572">_xlfn.IFS(Table1_36[[#This Row],[Patient Satisfaction Score]]&gt;=83,"High",H572&lt;=75,"Low",TRUE,"Moderate")</f>
        <v>High</v>
      </c>
      <c r="O572" t="str">
        <f t="shared" si="8"/>
        <v>Pediatric</v>
      </c>
    </row>
    <row r="573" spans="1:15">
      <c r="A573" t="s">
        <v>641</v>
      </c>
      <c r="B573" t="s">
        <v>44</v>
      </c>
      <c r="C573" t="s">
        <v>45</v>
      </c>
      <c r="D573" t="s">
        <v>72</v>
      </c>
      <c r="E573" s="2">
        <v>58</v>
      </c>
      <c r="F573" t="s">
        <v>34</v>
      </c>
      <c r="G573" t="s">
        <v>49</v>
      </c>
      <c r="H573" s="2">
        <v>72</v>
      </c>
      <c r="I573" s="3">
        <v>11724</v>
      </c>
      <c r="J573" s="4">
        <v>18.59</v>
      </c>
      <c r="K573" s="2">
        <v>89</v>
      </c>
      <c r="L573" s="2">
        <v>4</v>
      </c>
      <c r="M573" s="3">
        <v>47106</v>
      </c>
      <c r="N573" t="str" cm="1">
        <f t="array" ref="N573">_xlfn.IFS(Table1_36[[#This Row],[Patient Satisfaction Score]]&gt;=83,"High",H573&lt;=75,"Low",TRUE,"Moderate")</f>
        <v>Low</v>
      </c>
      <c r="O573" t="str">
        <f t="shared" si="8"/>
        <v>Adult</v>
      </c>
    </row>
    <row r="574" spans="1:15">
      <c r="A574" t="s">
        <v>642</v>
      </c>
      <c r="B574" t="s">
        <v>137</v>
      </c>
      <c r="C574" t="s">
        <v>26</v>
      </c>
      <c r="D574" t="s">
        <v>27</v>
      </c>
      <c r="E574" s="2">
        <v>37</v>
      </c>
      <c r="F574" t="s">
        <v>17</v>
      </c>
      <c r="G574" t="s">
        <v>40</v>
      </c>
      <c r="H574" s="2">
        <v>85</v>
      </c>
      <c r="I574" s="3">
        <v>3196</v>
      </c>
      <c r="J574" s="4">
        <v>7.84</v>
      </c>
      <c r="K574" s="2">
        <v>65</v>
      </c>
      <c r="L574" s="2">
        <v>4</v>
      </c>
      <c r="M574" s="3">
        <v>12409</v>
      </c>
      <c r="N574" t="str" cm="1">
        <f t="array" ref="N574">_xlfn.IFS(Table1_36[[#This Row],[Patient Satisfaction Score]]&gt;=83,"High",H574&lt;=75,"Low",TRUE,"Moderate")</f>
        <v>High</v>
      </c>
      <c r="O574" t="str">
        <f t="shared" si="8"/>
        <v>Adult</v>
      </c>
    </row>
    <row r="575" spans="1:15">
      <c r="A575" t="s">
        <v>643</v>
      </c>
      <c r="B575" t="s">
        <v>54</v>
      </c>
      <c r="C575" t="s">
        <v>39</v>
      </c>
      <c r="D575" t="s">
        <v>16</v>
      </c>
      <c r="E575" s="2">
        <v>7</v>
      </c>
      <c r="F575" t="s">
        <v>22</v>
      </c>
      <c r="G575" t="s">
        <v>31</v>
      </c>
      <c r="H575" s="2">
        <v>77</v>
      </c>
      <c r="I575" s="3">
        <v>2667</v>
      </c>
      <c r="J575" s="4">
        <v>15.76</v>
      </c>
      <c r="K575" s="2">
        <v>48</v>
      </c>
      <c r="L575" s="2">
        <v>4</v>
      </c>
      <c r="M575" s="3">
        <v>12592</v>
      </c>
      <c r="N575" t="str" cm="1">
        <f t="array" ref="N575">_xlfn.IFS(Table1_36[[#This Row],[Patient Satisfaction Score]]&gt;=83,"High",H575&lt;=75,"Low",TRUE,"Moderate")</f>
        <v>Moderate</v>
      </c>
      <c r="O575" t="str">
        <f t="shared" si="8"/>
        <v>Pediatric</v>
      </c>
    </row>
    <row r="576" spans="1:15">
      <c r="A576" t="s">
        <v>644</v>
      </c>
      <c r="B576" t="s">
        <v>47</v>
      </c>
      <c r="C576" t="s">
        <v>48</v>
      </c>
      <c r="D576" t="s">
        <v>16</v>
      </c>
      <c r="E576" s="2">
        <v>56</v>
      </c>
      <c r="F576" t="s">
        <v>22</v>
      </c>
      <c r="G576" t="s">
        <v>18</v>
      </c>
      <c r="H576" s="2">
        <v>86</v>
      </c>
      <c r="I576" s="3">
        <v>4301</v>
      </c>
      <c r="J576" s="4">
        <v>12.87</v>
      </c>
      <c r="K576" s="2">
        <v>60</v>
      </c>
      <c r="L576" s="2">
        <v>4</v>
      </c>
      <c r="M576" s="3">
        <v>18017</v>
      </c>
      <c r="N576" t="str" cm="1">
        <f t="array" ref="N576">_xlfn.IFS(Table1_36[[#This Row],[Patient Satisfaction Score]]&gt;=83,"High",H576&lt;=75,"Low",TRUE,"Moderate")</f>
        <v>High</v>
      </c>
      <c r="O576" t="str">
        <f t="shared" si="8"/>
        <v>Adult</v>
      </c>
    </row>
    <row r="577" spans="1:15">
      <c r="A577" t="s">
        <v>645</v>
      </c>
      <c r="B577" t="s">
        <v>38</v>
      </c>
      <c r="C577" t="s">
        <v>39</v>
      </c>
      <c r="D577" t="s">
        <v>27</v>
      </c>
      <c r="E577" s="2">
        <v>17</v>
      </c>
      <c r="F577" t="s">
        <v>17</v>
      </c>
      <c r="G577" t="s">
        <v>18</v>
      </c>
      <c r="H577" s="2">
        <v>83</v>
      </c>
      <c r="I577" s="3">
        <v>3035</v>
      </c>
      <c r="J577" s="4">
        <v>11.8</v>
      </c>
      <c r="K577" s="2">
        <v>8</v>
      </c>
      <c r="L577" s="2">
        <v>4</v>
      </c>
      <c r="M577" s="3">
        <v>12332</v>
      </c>
      <c r="N577" t="str" cm="1">
        <f t="array" ref="N577">_xlfn.IFS(Table1_36[[#This Row],[Patient Satisfaction Score]]&gt;=83,"High",H577&lt;=75,"Low",TRUE,"Moderate")</f>
        <v>High</v>
      </c>
      <c r="O577" t="str">
        <f t="shared" si="8"/>
        <v>Pediatric</v>
      </c>
    </row>
    <row r="578" spans="1:15">
      <c r="A578" t="s">
        <v>646</v>
      </c>
      <c r="B578" t="s">
        <v>66</v>
      </c>
      <c r="C578" t="s">
        <v>39</v>
      </c>
      <c r="D578" t="s">
        <v>16</v>
      </c>
      <c r="E578" s="2">
        <v>17</v>
      </c>
      <c r="F578" t="s">
        <v>34</v>
      </c>
      <c r="G578" t="s">
        <v>49</v>
      </c>
      <c r="H578" s="2">
        <v>78</v>
      </c>
      <c r="I578" s="3">
        <v>3576</v>
      </c>
      <c r="J578" s="4">
        <v>9.85</v>
      </c>
      <c r="K578" s="2">
        <v>53</v>
      </c>
      <c r="L578" s="2">
        <v>4</v>
      </c>
      <c r="M578" s="3">
        <v>18053</v>
      </c>
      <c r="N578" t="str" cm="1">
        <f t="array" ref="N578">_xlfn.IFS(Table1_36[[#This Row],[Patient Satisfaction Score]]&gt;=83,"High",H578&lt;=75,"Low",TRUE,"Moderate")</f>
        <v>Moderate</v>
      </c>
      <c r="O578" t="str">
        <f t="shared" ref="O578:O641" si="9">IF(E578&lt;19,"Pediatric","Adult")</f>
        <v>Pediatric</v>
      </c>
    </row>
    <row r="579" spans="1:15">
      <c r="A579" t="s">
        <v>647</v>
      </c>
      <c r="B579" t="s">
        <v>84</v>
      </c>
      <c r="C579" t="s">
        <v>21</v>
      </c>
      <c r="D579" t="s">
        <v>27</v>
      </c>
      <c r="E579" s="2">
        <v>75</v>
      </c>
      <c r="F579" t="s">
        <v>17</v>
      </c>
      <c r="G579" t="s">
        <v>70</v>
      </c>
      <c r="H579" s="2">
        <v>70</v>
      </c>
      <c r="I579" s="3">
        <v>4081</v>
      </c>
      <c r="J579" s="4">
        <v>18.46</v>
      </c>
      <c r="K579" s="2">
        <v>103</v>
      </c>
      <c r="L579" s="2">
        <v>4</v>
      </c>
      <c r="M579" s="3">
        <v>23020</v>
      </c>
      <c r="N579" t="str" cm="1">
        <f t="array" ref="N579">_xlfn.IFS(Table1_36[[#This Row],[Patient Satisfaction Score]]&gt;=83,"High",H579&lt;=75,"Low",TRUE,"Moderate")</f>
        <v>Low</v>
      </c>
      <c r="O579" t="str">
        <f t="shared" si="9"/>
        <v>Adult</v>
      </c>
    </row>
    <row r="580" spans="1:15">
      <c r="A580" t="s">
        <v>648</v>
      </c>
      <c r="B580" t="s">
        <v>84</v>
      </c>
      <c r="C580" t="s">
        <v>21</v>
      </c>
      <c r="D580" t="s">
        <v>27</v>
      </c>
      <c r="E580" s="2">
        <v>38</v>
      </c>
      <c r="F580" t="s">
        <v>34</v>
      </c>
      <c r="G580" t="s">
        <v>18</v>
      </c>
      <c r="H580" s="2">
        <v>73</v>
      </c>
      <c r="I580" s="3">
        <v>6992</v>
      </c>
      <c r="J580" s="4">
        <v>19.920000000000002</v>
      </c>
      <c r="K580" s="2">
        <v>74</v>
      </c>
      <c r="L580" s="2">
        <v>3</v>
      </c>
      <c r="M580" s="3">
        <v>38392</v>
      </c>
      <c r="N580" t="str" cm="1">
        <f t="array" ref="N580">_xlfn.IFS(Table1_36[[#This Row],[Patient Satisfaction Score]]&gt;=83,"High",H580&lt;=75,"Low",TRUE,"Moderate")</f>
        <v>Low</v>
      </c>
      <c r="O580" t="str">
        <f t="shared" si="9"/>
        <v>Adult</v>
      </c>
    </row>
    <row r="581" spans="1:15">
      <c r="A581" t="s">
        <v>649</v>
      </c>
      <c r="B581" t="s">
        <v>129</v>
      </c>
      <c r="C581" t="s">
        <v>21</v>
      </c>
      <c r="D581" t="s">
        <v>16</v>
      </c>
      <c r="E581" s="2">
        <v>62</v>
      </c>
      <c r="F581" t="s">
        <v>22</v>
      </c>
      <c r="G581" t="s">
        <v>23</v>
      </c>
      <c r="H581" s="2">
        <v>76</v>
      </c>
      <c r="I581" s="3">
        <v>6626</v>
      </c>
      <c r="J581" s="4">
        <v>14.42</v>
      </c>
      <c r="K581" s="2">
        <v>82</v>
      </c>
      <c r="L581" s="2">
        <v>4</v>
      </c>
      <c r="M581" s="3">
        <v>26545</v>
      </c>
      <c r="N581" t="str" cm="1">
        <f t="array" ref="N581">_xlfn.IFS(Table1_36[[#This Row],[Patient Satisfaction Score]]&gt;=83,"High",H581&lt;=75,"Low",TRUE,"Moderate")</f>
        <v>Moderate</v>
      </c>
      <c r="O581" t="str">
        <f t="shared" si="9"/>
        <v>Adult</v>
      </c>
    </row>
    <row r="582" spans="1:15">
      <c r="A582" t="s">
        <v>650</v>
      </c>
      <c r="B582" t="s">
        <v>38</v>
      </c>
      <c r="C582" t="s">
        <v>39</v>
      </c>
      <c r="D582" t="s">
        <v>16</v>
      </c>
      <c r="E582" s="2">
        <v>12</v>
      </c>
      <c r="F582" t="s">
        <v>17</v>
      </c>
      <c r="G582" t="s">
        <v>70</v>
      </c>
      <c r="H582" s="2">
        <v>82</v>
      </c>
      <c r="I582" s="3">
        <v>4310</v>
      </c>
      <c r="J582" s="4">
        <v>10.28</v>
      </c>
      <c r="K582" s="2">
        <v>43</v>
      </c>
      <c r="L582" s="2">
        <v>4</v>
      </c>
      <c r="M582" s="3">
        <v>11400</v>
      </c>
      <c r="N582" t="str" cm="1">
        <f t="array" ref="N582">_xlfn.IFS(Table1_36[[#This Row],[Patient Satisfaction Score]]&gt;=83,"High",H582&lt;=75,"Low",TRUE,"Moderate")</f>
        <v>Moderate</v>
      </c>
      <c r="O582" t="str">
        <f t="shared" si="9"/>
        <v>Pediatric</v>
      </c>
    </row>
    <row r="583" spans="1:15">
      <c r="A583" t="s">
        <v>651</v>
      </c>
      <c r="B583" t="s">
        <v>168</v>
      </c>
      <c r="C583" t="s">
        <v>45</v>
      </c>
      <c r="D583" t="s">
        <v>16</v>
      </c>
      <c r="E583" s="2">
        <v>57</v>
      </c>
      <c r="F583" t="s">
        <v>34</v>
      </c>
      <c r="G583" t="s">
        <v>31</v>
      </c>
      <c r="H583" s="2">
        <v>81</v>
      </c>
      <c r="I583" s="3">
        <v>9738</v>
      </c>
      <c r="J583" s="4">
        <v>20.52</v>
      </c>
      <c r="K583" s="2">
        <v>57</v>
      </c>
      <c r="L583" s="2">
        <v>4</v>
      </c>
      <c r="M583" s="3">
        <v>48859</v>
      </c>
      <c r="N583" t="str" cm="1">
        <f t="array" ref="N583">_xlfn.IFS(Table1_36[[#This Row],[Patient Satisfaction Score]]&gt;=83,"High",H583&lt;=75,"Low",TRUE,"Moderate")</f>
        <v>Moderate</v>
      </c>
      <c r="O583" t="str">
        <f t="shared" si="9"/>
        <v>Adult</v>
      </c>
    </row>
    <row r="584" spans="1:15">
      <c r="A584" t="s">
        <v>652</v>
      </c>
      <c r="B584" t="s">
        <v>168</v>
      </c>
      <c r="C584" t="s">
        <v>45</v>
      </c>
      <c r="D584" t="s">
        <v>27</v>
      </c>
      <c r="E584" s="2">
        <v>45</v>
      </c>
      <c r="F584" t="s">
        <v>22</v>
      </c>
      <c r="G584" t="s">
        <v>23</v>
      </c>
      <c r="H584" s="2">
        <v>74</v>
      </c>
      <c r="I584" s="3">
        <v>7905</v>
      </c>
      <c r="J584" s="4">
        <v>18.45</v>
      </c>
      <c r="K584" s="2">
        <v>110</v>
      </c>
      <c r="L584" s="2">
        <v>3</v>
      </c>
      <c r="M584" s="3">
        <v>35378</v>
      </c>
      <c r="N584" t="str" cm="1">
        <f t="array" ref="N584">_xlfn.IFS(Table1_36[[#This Row],[Patient Satisfaction Score]]&gt;=83,"High",H584&lt;=75,"Low",TRUE,"Moderate")</f>
        <v>Low</v>
      </c>
      <c r="O584" t="str">
        <f t="shared" si="9"/>
        <v>Adult</v>
      </c>
    </row>
    <row r="585" spans="1:15">
      <c r="A585" t="s">
        <v>653</v>
      </c>
      <c r="B585" t="s">
        <v>62</v>
      </c>
      <c r="C585" t="s">
        <v>52</v>
      </c>
      <c r="D585" t="s">
        <v>27</v>
      </c>
      <c r="E585" s="2">
        <v>21</v>
      </c>
      <c r="F585" t="s">
        <v>17</v>
      </c>
      <c r="G585" t="s">
        <v>49</v>
      </c>
      <c r="H585" s="2">
        <v>81</v>
      </c>
      <c r="I585" s="3">
        <v>10332</v>
      </c>
      <c r="J585" s="4">
        <v>8.02</v>
      </c>
      <c r="K585" s="2">
        <v>86</v>
      </c>
      <c r="L585" s="2">
        <v>4</v>
      </c>
      <c r="M585" s="3">
        <v>47227</v>
      </c>
      <c r="N585" t="str" cm="1">
        <f t="array" ref="N585">_xlfn.IFS(Table1_36[[#This Row],[Patient Satisfaction Score]]&gt;=83,"High",H585&lt;=75,"Low",TRUE,"Moderate")</f>
        <v>Moderate</v>
      </c>
      <c r="O585" t="str">
        <f t="shared" si="9"/>
        <v>Adult</v>
      </c>
    </row>
    <row r="586" spans="1:15">
      <c r="A586" t="s">
        <v>654</v>
      </c>
      <c r="B586" t="s">
        <v>135</v>
      </c>
      <c r="C586" t="s">
        <v>48</v>
      </c>
      <c r="D586" t="s">
        <v>16</v>
      </c>
      <c r="E586" s="2">
        <v>56</v>
      </c>
      <c r="F586" t="s">
        <v>22</v>
      </c>
      <c r="G586" t="s">
        <v>31</v>
      </c>
      <c r="H586" s="2">
        <v>95</v>
      </c>
      <c r="I586" s="3">
        <v>7635</v>
      </c>
      <c r="J586" s="4">
        <v>18.559999999999999</v>
      </c>
      <c r="K586" s="2">
        <v>54</v>
      </c>
      <c r="L586" s="2">
        <v>4</v>
      </c>
      <c r="M586" s="3">
        <v>28024</v>
      </c>
      <c r="N586" t="str" cm="1">
        <f t="array" ref="N586">_xlfn.IFS(Table1_36[[#This Row],[Patient Satisfaction Score]]&gt;=83,"High",H586&lt;=75,"Low",TRUE,"Moderate")</f>
        <v>High</v>
      </c>
      <c r="O586" t="str">
        <f t="shared" si="9"/>
        <v>Adult</v>
      </c>
    </row>
    <row r="587" spans="1:15">
      <c r="A587" t="s">
        <v>655</v>
      </c>
      <c r="B587" t="s">
        <v>44</v>
      </c>
      <c r="C587" t="s">
        <v>45</v>
      </c>
      <c r="D587" t="s">
        <v>16</v>
      </c>
      <c r="E587" s="2">
        <v>16</v>
      </c>
      <c r="F587" t="s">
        <v>22</v>
      </c>
      <c r="G587" t="s">
        <v>23</v>
      </c>
      <c r="H587" s="2">
        <v>73</v>
      </c>
      <c r="I587" s="3">
        <v>8060</v>
      </c>
      <c r="J587" s="4">
        <v>19.03</v>
      </c>
      <c r="K587" s="2">
        <v>96</v>
      </c>
      <c r="L587" s="2">
        <v>3</v>
      </c>
      <c r="M587" s="3">
        <v>38720</v>
      </c>
      <c r="N587" t="str" cm="1">
        <f t="array" ref="N587">_xlfn.IFS(Table1_36[[#This Row],[Patient Satisfaction Score]]&gt;=83,"High",H587&lt;=75,"Low",TRUE,"Moderate")</f>
        <v>Low</v>
      </c>
      <c r="O587" t="str">
        <f t="shared" si="9"/>
        <v>Pediatric</v>
      </c>
    </row>
    <row r="588" spans="1:15">
      <c r="A588" t="s">
        <v>656</v>
      </c>
      <c r="B588" t="s">
        <v>47</v>
      </c>
      <c r="C588" t="s">
        <v>48</v>
      </c>
      <c r="D588" t="s">
        <v>16</v>
      </c>
      <c r="E588" s="2">
        <v>11</v>
      </c>
      <c r="F588" t="s">
        <v>34</v>
      </c>
      <c r="G588" t="s">
        <v>49</v>
      </c>
      <c r="H588" s="2">
        <v>69</v>
      </c>
      <c r="I588" s="3">
        <v>3629</v>
      </c>
      <c r="J588" s="4">
        <v>15</v>
      </c>
      <c r="K588" s="2">
        <v>65</v>
      </c>
      <c r="L588" s="2">
        <v>3</v>
      </c>
      <c r="M588" s="3">
        <v>18435</v>
      </c>
      <c r="N588" t="str" cm="1">
        <f t="array" ref="N588">_xlfn.IFS(Table1_36[[#This Row],[Patient Satisfaction Score]]&gt;=83,"High",H588&lt;=75,"Low",TRUE,"Moderate")</f>
        <v>Low</v>
      </c>
      <c r="O588" t="str">
        <f t="shared" si="9"/>
        <v>Pediatric</v>
      </c>
    </row>
    <row r="589" spans="1:15">
      <c r="A589" t="s">
        <v>657</v>
      </c>
      <c r="B589" t="s">
        <v>187</v>
      </c>
      <c r="C589" t="s">
        <v>30</v>
      </c>
      <c r="D589" t="s">
        <v>16</v>
      </c>
      <c r="E589" s="2">
        <v>44</v>
      </c>
      <c r="F589" t="s">
        <v>34</v>
      </c>
      <c r="G589" t="s">
        <v>23</v>
      </c>
      <c r="H589" s="2">
        <v>74</v>
      </c>
      <c r="I589" s="3">
        <v>3917</v>
      </c>
      <c r="J589" s="4">
        <v>17.07</v>
      </c>
      <c r="K589" s="2">
        <v>99</v>
      </c>
      <c r="L589" s="2">
        <v>4</v>
      </c>
      <c r="M589" s="3">
        <v>19946</v>
      </c>
      <c r="N589" t="str" cm="1">
        <f t="array" ref="N589">_xlfn.IFS(Table1_36[[#This Row],[Patient Satisfaction Score]]&gt;=83,"High",H589&lt;=75,"Low",TRUE,"Moderate")</f>
        <v>Low</v>
      </c>
      <c r="O589" t="str">
        <f t="shared" si="9"/>
        <v>Adult</v>
      </c>
    </row>
    <row r="590" spans="1:15">
      <c r="A590" t="s">
        <v>658</v>
      </c>
      <c r="B590" t="s">
        <v>62</v>
      </c>
      <c r="C590" t="s">
        <v>52</v>
      </c>
      <c r="D590" t="s">
        <v>16</v>
      </c>
      <c r="E590" s="2">
        <v>27</v>
      </c>
      <c r="F590" t="s">
        <v>17</v>
      </c>
      <c r="G590" t="s">
        <v>70</v>
      </c>
      <c r="H590" s="2">
        <v>70</v>
      </c>
      <c r="I590" s="3">
        <v>8028</v>
      </c>
      <c r="J590" s="4">
        <v>15.89</v>
      </c>
      <c r="K590" s="2">
        <v>79</v>
      </c>
      <c r="L590" s="2">
        <v>4</v>
      </c>
      <c r="M590" s="3">
        <v>33655</v>
      </c>
      <c r="N590" t="str" cm="1">
        <f t="array" ref="N590">_xlfn.IFS(Table1_36[[#This Row],[Patient Satisfaction Score]]&gt;=83,"High",H590&lt;=75,"Low",TRUE,"Moderate")</f>
        <v>Low</v>
      </c>
      <c r="O590" t="str">
        <f t="shared" si="9"/>
        <v>Adult</v>
      </c>
    </row>
    <row r="591" spans="1:15">
      <c r="A591" t="s">
        <v>659</v>
      </c>
      <c r="B591" t="s">
        <v>150</v>
      </c>
      <c r="C591" t="s">
        <v>48</v>
      </c>
      <c r="D591" t="s">
        <v>16</v>
      </c>
      <c r="E591" s="2">
        <v>29</v>
      </c>
      <c r="F591" t="s">
        <v>17</v>
      </c>
      <c r="G591" t="s">
        <v>70</v>
      </c>
      <c r="H591" s="2">
        <v>89</v>
      </c>
      <c r="I591" s="3">
        <v>5141</v>
      </c>
      <c r="J591" s="4">
        <v>9.56</v>
      </c>
      <c r="K591" s="2">
        <v>72</v>
      </c>
      <c r="L591" s="2">
        <v>4</v>
      </c>
      <c r="M591" s="3">
        <v>13967</v>
      </c>
      <c r="N591" t="str" cm="1">
        <f t="array" ref="N591">_xlfn.IFS(Table1_36[[#This Row],[Patient Satisfaction Score]]&gt;=83,"High",H591&lt;=75,"Low",TRUE,"Moderate")</f>
        <v>High</v>
      </c>
      <c r="O591" t="str">
        <f t="shared" si="9"/>
        <v>Adult</v>
      </c>
    </row>
    <row r="592" spans="1:15">
      <c r="A592" t="s">
        <v>660</v>
      </c>
      <c r="B592" t="s">
        <v>54</v>
      </c>
      <c r="C592" t="s">
        <v>15</v>
      </c>
      <c r="D592" t="s">
        <v>27</v>
      </c>
      <c r="E592" s="2">
        <v>25</v>
      </c>
      <c r="F592" t="s">
        <v>22</v>
      </c>
      <c r="G592" t="s">
        <v>49</v>
      </c>
      <c r="H592" s="2">
        <v>75</v>
      </c>
      <c r="I592" s="3">
        <v>6889</v>
      </c>
      <c r="J592" s="4">
        <v>13.68</v>
      </c>
      <c r="K592" s="2">
        <v>88</v>
      </c>
      <c r="L592" s="2">
        <v>4</v>
      </c>
      <c r="M592" s="3">
        <v>27390</v>
      </c>
      <c r="N592" t="str" cm="1">
        <f t="array" ref="N592">_xlfn.IFS(Table1_36[[#This Row],[Patient Satisfaction Score]]&gt;=83,"High",H592&lt;=75,"Low",TRUE,"Moderate")</f>
        <v>Low</v>
      </c>
      <c r="O592" t="str">
        <f t="shared" si="9"/>
        <v>Adult</v>
      </c>
    </row>
    <row r="593" spans="1:15">
      <c r="A593" t="s">
        <v>661</v>
      </c>
      <c r="B593" t="s">
        <v>42</v>
      </c>
      <c r="C593" t="s">
        <v>39</v>
      </c>
      <c r="D593" t="s">
        <v>16</v>
      </c>
      <c r="E593" s="2">
        <v>16</v>
      </c>
      <c r="F593" t="s">
        <v>17</v>
      </c>
      <c r="G593" t="s">
        <v>49</v>
      </c>
      <c r="H593" s="2">
        <v>75</v>
      </c>
      <c r="I593" s="3">
        <v>4010</v>
      </c>
      <c r="J593" s="4">
        <v>15.38</v>
      </c>
      <c r="K593" s="2">
        <v>48</v>
      </c>
      <c r="L593" s="2">
        <v>3</v>
      </c>
      <c r="M593" s="3">
        <v>11521</v>
      </c>
      <c r="N593" t="str" cm="1">
        <f t="array" ref="N593">_xlfn.IFS(Table1_36[[#This Row],[Patient Satisfaction Score]]&gt;=83,"High",H593&lt;=75,"Low",TRUE,"Moderate")</f>
        <v>Low</v>
      </c>
      <c r="O593" t="str">
        <f t="shared" si="9"/>
        <v>Pediatric</v>
      </c>
    </row>
    <row r="594" spans="1:15">
      <c r="A594" t="s">
        <v>662</v>
      </c>
      <c r="B594" t="s">
        <v>143</v>
      </c>
      <c r="C594" t="s">
        <v>21</v>
      </c>
      <c r="D594" t="s">
        <v>16</v>
      </c>
      <c r="E594" s="2">
        <v>29</v>
      </c>
      <c r="F594" t="s">
        <v>17</v>
      </c>
      <c r="G594" t="s">
        <v>49</v>
      </c>
      <c r="H594" s="2">
        <v>80</v>
      </c>
      <c r="I594" s="3">
        <v>8578</v>
      </c>
      <c r="J594" s="4">
        <v>18.21</v>
      </c>
      <c r="K594" s="2">
        <v>84</v>
      </c>
      <c r="L594" s="2">
        <v>3</v>
      </c>
      <c r="M594" s="3">
        <v>35124</v>
      </c>
      <c r="N594" t="str" cm="1">
        <f t="array" ref="N594">_xlfn.IFS(Table1_36[[#This Row],[Patient Satisfaction Score]]&gt;=83,"High",H594&lt;=75,"Low",TRUE,"Moderate")</f>
        <v>Moderate</v>
      </c>
      <c r="O594" t="str">
        <f t="shared" si="9"/>
        <v>Adult</v>
      </c>
    </row>
    <row r="595" spans="1:15">
      <c r="A595" t="s">
        <v>663</v>
      </c>
      <c r="B595" t="s">
        <v>42</v>
      </c>
      <c r="C595" t="s">
        <v>39</v>
      </c>
      <c r="D595" t="s">
        <v>27</v>
      </c>
      <c r="E595" s="2">
        <v>12</v>
      </c>
      <c r="F595" t="s">
        <v>22</v>
      </c>
      <c r="G595" t="s">
        <v>18</v>
      </c>
      <c r="H595" s="2">
        <v>91</v>
      </c>
      <c r="I595" s="3">
        <v>2421</v>
      </c>
      <c r="J595" s="4">
        <v>3.38</v>
      </c>
      <c r="K595" s="2">
        <v>57</v>
      </c>
      <c r="L595" s="2">
        <v>5</v>
      </c>
      <c r="M595" s="3">
        <v>11224</v>
      </c>
      <c r="N595" t="str" cm="1">
        <f t="array" ref="N595">_xlfn.IFS(Table1_36[[#This Row],[Patient Satisfaction Score]]&gt;=83,"High",H595&lt;=75,"Low",TRUE,"Moderate")</f>
        <v>High</v>
      </c>
      <c r="O595" t="str">
        <f t="shared" si="9"/>
        <v>Pediatric</v>
      </c>
    </row>
    <row r="596" spans="1:15">
      <c r="A596" t="s">
        <v>664</v>
      </c>
      <c r="B596" t="s">
        <v>25</v>
      </c>
      <c r="C596" t="s">
        <v>39</v>
      </c>
      <c r="D596" t="s">
        <v>27</v>
      </c>
      <c r="E596" s="2">
        <v>12</v>
      </c>
      <c r="F596" t="s">
        <v>34</v>
      </c>
      <c r="G596" t="s">
        <v>49</v>
      </c>
      <c r="H596" s="2">
        <v>87</v>
      </c>
      <c r="I596" s="3">
        <v>3559</v>
      </c>
      <c r="J596" s="4">
        <v>6.34</v>
      </c>
      <c r="K596" s="2">
        <v>65</v>
      </c>
      <c r="L596" s="2">
        <v>5</v>
      </c>
      <c r="M596" s="3">
        <v>10137</v>
      </c>
      <c r="N596" t="str" cm="1">
        <f t="array" ref="N596">_xlfn.IFS(Table1_36[[#This Row],[Patient Satisfaction Score]]&gt;=83,"High",H596&lt;=75,"Low",TRUE,"Moderate")</f>
        <v>High</v>
      </c>
      <c r="O596" t="str">
        <f t="shared" si="9"/>
        <v>Pediatric</v>
      </c>
    </row>
    <row r="597" spans="1:15">
      <c r="A597" t="s">
        <v>665</v>
      </c>
      <c r="B597" t="s">
        <v>54</v>
      </c>
      <c r="C597" t="s">
        <v>15</v>
      </c>
      <c r="D597" t="s">
        <v>72</v>
      </c>
      <c r="E597" s="2">
        <v>72</v>
      </c>
      <c r="F597" t="s">
        <v>34</v>
      </c>
      <c r="G597" t="s">
        <v>23</v>
      </c>
      <c r="H597" s="2">
        <v>82</v>
      </c>
      <c r="I597" s="3">
        <v>7329</v>
      </c>
      <c r="J597" s="4">
        <v>13.84</v>
      </c>
      <c r="K597" s="2">
        <v>52</v>
      </c>
      <c r="L597" s="2">
        <v>4</v>
      </c>
      <c r="M597" s="3">
        <v>21557</v>
      </c>
      <c r="N597" t="str" cm="1">
        <f t="array" ref="N597">_xlfn.IFS(Table1_36[[#This Row],[Patient Satisfaction Score]]&gt;=83,"High",H597&lt;=75,"Low",TRUE,"Moderate")</f>
        <v>Moderate</v>
      </c>
      <c r="O597" t="str">
        <f t="shared" si="9"/>
        <v>Adult</v>
      </c>
    </row>
    <row r="598" spans="1:15">
      <c r="A598" t="s">
        <v>666</v>
      </c>
      <c r="B598" t="s">
        <v>135</v>
      </c>
      <c r="C598" t="s">
        <v>48</v>
      </c>
      <c r="D598" t="s">
        <v>16</v>
      </c>
      <c r="E598" s="2">
        <v>74</v>
      </c>
      <c r="F598" t="s">
        <v>17</v>
      </c>
      <c r="G598" t="s">
        <v>18</v>
      </c>
      <c r="H598" s="2">
        <v>83</v>
      </c>
      <c r="I598" s="3">
        <v>7154</v>
      </c>
      <c r="J598" s="4">
        <v>11.05</v>
      </c>
      <c r="K598" s="2">
        <v>83</v>
      </c>
      <c r="L598" s="2">
        <v>4</v>
      </c>
      <c r="M598" s="3">
        <v>33496</v>
      </c>
      <c r="N598" t="str" cm="1">
        <f t="array" ref="N598">_xlfn.IFS(Table1_36[[#This Row],[Patient Satisfaction Score]]&gt;=83,"High",H598&lt;=75,"Low",TRUE,"Moderate")</f>
        <v>High</v>
      </c>
      <c r="O598" t="str">
        <f t="shared" si="9"/>
        <v>Adult</v>
      </c>
    </row>
    <row r="599" spans="1:15">
      <c r="A599" t="s">
        <v>667</v>
      </c>
      <c r="B599" t="s">
        <v>129</v>
      </c>
      <c r="C599" t="s">
        <v>21</v>
      </c>
      <c r="D599" t="s">
        <v>16</v>
      </c>
      <c r="E599" s="2">
        <v>37</v>
      </c>
      <c r="F599" t="s">
        <v>22</v>
      </c>
      <c r="G599" t="s">
        <v>70</v>
      </c>
      <c r="H599" s="2">
        <v>71</v>
      </c>
      <c r="I599" s="3">
        <v>7492</v>
      </c>
      <c r="J599" s="4">
        <v>19.510000000000002</v>
      </c>
      <c r="K599" s="2">
        <v>74</v>
      </c>
      <c r="L599" s="2">
        <v>3</v>
      </c>
      <c r="M599" s="3">
        <v>38565</v>
      </c>
      <c r="N599" t="str" cm="1">
        <f t="array" ref="N599">_xlfn.IFS(Table1_36[[#This Row],[Patient Satisfaction Score]]&gt;=83,"High",H599&lt;=75,"Low",TRUE,"Moderate")</f>
        <v>Low</v>
      </c>
      <c r="O599" t="str">
        <f t="shared" si="9"/>
        <v>Adult</v>
      </c>
    </row>
    <row r="600" spans="1:15">
      <c r="A600" t="s">
        <v>668</v>
      </c>
      <c r="B600" t="s">
        <v>68</v>
      </c>
      <c r="C600" t="s">
        <v>45</v>
      </c>
      <c r="D600" t="s">
        <v>16</v>
      </c>
      <c r="E600" s="2">
        <v>14</v>
      </c>
      <c r="F600" t="s">
        <v>34</v>
      </c>
      <c r="G600" t="s">
        <v>31</v>
      </c>
      <c r="H600" s="2">
        <v>73</v>
      </c>
      <c r="I600" s="3">
        <v>8197</v>
      </c>
      <c r="J600" s="4">
        <v>17.45</v>
      </c>
      <c r="K600" s="2">
        <v>92</v>
      </c>
      <c r="L600" s="2">
        <v>3</v>
      </c>
      <c r="M600" s="3">
        <v>24737</v>
      </c>
      <c r="N600" t="str" cm="1">
        <f t="array" ref="N600">_xlfn.IFS(Table1_36[[#This Row],[Patient Satisfaction Score]]&gt;=83,"High",H600&lt;=75,"Low",TRUE,"Moderate")</f>
        <v>Low</v>
      </c>
      <c r="O600" t="str">
        <f t="shared" si="9"/>
        <v>Pediatric</v>
      </c>
    </row>
    <row r="601" spans="1:15">
      <c r="A601" t="s">
        <v>669</v>
      </c>
      <c r="B601" t="s">
        <v>103</v>
      </c>
      <c r="C601" t="s">
        <v>26</v>
      </c>
      <c r="D601" t="s">
        <v>27</v>
      </c>
      <c r="E601" s="2">
        <v>39</v>
      </c>
      <c r="F601" t="s">
        <v>22</v>
      </c>
      <c r="G601" t="s">
        <v>23</v>
      </c>
      <c r="H601" s="2">
        <v>83</v>
      </c>
      <c r="I601" s="3">
        <v>2296</v>
      </c>
      <c r="J601" s="4">
        <v>10.89</v>
      </c>
      <c r="K601" s="2">
        <v>37</v>
      </c>
      <c r="L601" s="2">
        <v>4</v>
      </c>
      <c r="M601" s="3">
        <v>6016</v>
      </c>
      <c r="N601" t="str" cm="1">
        <f t="array" ref="N601">_xlfn.IFS(Table1_36[[#This Row],[Patient Satisfaction Score]]&gt;=83,"High",H601&lt;=75,"Low",TRUE,"Moderate")</f>
        <v>High</v>
      </c>
      <c r="O601" t="str">
        <f t="shared" si="9"/>
        <v>Adult</v>
      </c>
    </row>
    <row r="602" spans="1:15">
      <c r="A602" t="s">
        <v>670</v>
      </c>
      <c r="B602" t="s">
        <v>137</v>
      </c>
      <c r="C602" t="s">
        <v>26</v>
      </c>
      <c r="D602" t="s">
        <v>16</v>
      </c>
      <c r="E602" s="2">
        <v>71</v>
      </c>
      <c r="F602" t="s">
        <v>22</v>
      </c>
      <c r="G602" t="s">
        <v>40</v>
      </c>
      <c r="H602" s="2">
        <v>93</v>
      </c>
      <c r="I602" s="3">
        <v>2929</v>
      </c>
      <c r="J602" s="4">
        <v>5.32</v>
      </c>
      <c r="K602" s="2">
        <v>40</v>
      </c>
      <c r="L602" s="2">
        <v>4</v>
      </c>
      <c r="M602" s="3">
        <v>8693</v>
      </c>
      <c r="N602" t="str" cm="1">
        <f t="array" ref="N602">_xlfn.IFS(Table1_36[[#This Row],[Patient Satisfaction Score]]&gt;=83,"High",H602&lt;=75,"Low",TRUE,"Moderate")</f>
        <v>High</v>
      </c>
      <c r="O602" t="str">
        <f t="shared" si="9"/>
        <v>Adult</v>
      </c>
    </row>
    <row r="603" spans="1:15">
      <c r="A603" t="s">
        <v>671</v>
      </c>
      <c r="B603" t="s">
        <v>168</v>
      </c>
      <c r="C603" t="s">
        <v>45</v>
      </c>
      <c r="D603" t="s">
        <v>27</v>
      </c>
      <c r="E603" s="2">
        <v>48</v>
      </c>
      <c r="F603" t="s">
        <v>17</v>
      </c>
      <c r="G603" t="s">
        <v>31</v>
      </c>
      <c r="H603" s="2">
        <v>69</v>
      </c>
      <c r="I603" s="3">
        <v>10005</v>
      </c>
      <c r="J603" s="4">
        <v>16.3</v>
      </c>
      <c r="K603" s="2">
        <v>103</v>
      </c>
      <c r="L603" s="2">
        <v>3</v>
      </c>
      <c r="M603" s="3">
        <v>49553</v>
      </c>
      <c r="N603" t="str" cm="1">
        <f t="array" ref="N603">_xlfn.IFS(Table1_36[[#This Row],[Patient Satisfaction Score]]&gt;=83,"High",H603&lt;=75,"Low",TRUE,"Moderate")</f>
        <v>Low</v>
      </c>
      <c r="O603" t="str">
        <f t="shared" si="9"/>
        <v>Adult</v>
      </c>
    </row>
    <row r="604" spans="1:15">
      <c r="A604" t="s">
        <v>672</v>
      </c>
      <c r="B604" t="s">
        <v>88</v>
      </c>
      <c r="C604" t="s">
        <v>15</v>
      </c>
      <c r="D604" t="s">
        <v>16</v>
      </c>
      <c r="E604" s="2">
        <v>56</v>
      </c>
      <c r="F604" t="s">
        <v>22</v>
      </c>
      <c r="G604" t="s">
        <v>40</v>
      </c>
      <c r="H604" s="2">
        <v>70</v>
      </c>
      <c r="I604" s="3">
        <v>6814</v>
      </c>
      <c r="J604" s="4">
        <v>16.29</v>
      </c>
      <c r="K604" s="2">
        <v>73</v>
      </c>
      <c r="L604" s="2">
        <v>3</v>
      </c>
      <c r="M604" s="3">
        <v>24296</v>
      </c>
      <c r="N604" t="str" cm="1">
        <f t="array" ref="N604">_xlfn.IFS(Table1_36[[#This Row],[Patient Satisfaction Score]]&gt;=83,"High",H604&lt;=75,"Low",TRUE,"Moderate")</f>
        <v>Low</v>
      </c>
      <c r="O604" t="str">
        <f t="shared" si="9"/>
        <v>Adult</v>
      </c>
    </row>
    <row r="605" spans="1:15">
      <c r="A605" t="s">
        <v>673</v>
      </c>
      <c r="B605" t="s">
        <v>78</v>
      </c>
      <c r="C605" t="s">
        <v>15</v>
      </c>
      <c r="D605" t="s">
        <v>27</v>
      </c>
      <c r="E605" s="2">
        <v>69</v>
      </c>
      <c r="F605" t="s">
        <v>34</v>
      </c>
      <c r="G605" t="s">
        <v>18</v>
      </c>
      <c r="H605" s="2">
        <v>75</v>
      </c>
      <c r="I605" s="3">
        <v>8476</v>
      </c>
      <c r="J605" s="4">
        <v>15.25</v>
      </c>
      <c r="K605" s="2">
        <v>75</v>
      </c>
      <c r="L605" s="2">
        <v>3</v>
      </c>
      <c r="M605" s="3">
        <v>43623</v>
      </c>
      <c r="N605" t="str" cm="1">
        <f t="array" ref="N605">_xlfn.IFS(Table1_36[[#This Row],[Patient Satisfaction Score]]&gt;=83,"High",H605&lt;=75,"Low",TRUE,"Moderate")</f>
        <v>Low</v>
      </c>
      <c r="O605" t="str">
        <f t="shared" si="9"/>
        <v>Adult</v>
      </c>
    </row>
    <row r="606" spans="1:15">
      <c r="A606" t="s">
        <v>674</v>
      </c>
      <c r="B606" t="s">
        <v>56</v>
      </c>
      <c r="C606" t="s">
        <v>45</v>
      </c>
      <c r="D606" t="s">
        <v>27</v>
      </c>
      <c r="E606" s="2">
        <v>76</v>
      </c>
      <c r="F606" t="s">
        <v>34</v>
      </c>
      <c r="G606" t="s">
        <v>40</v>
      </c>
      <c r="H606" s="2">
        <v>78</v>
      </c>
      <c r="I606" s="3">
        <v>11933</v>
      </c>
      <c r="J606" s="4">
        <v>15.51</v>
      </c>
      <c r="K606" s="2">
        <v>64</v>
      </c>
      <c r="L606" s="2">
        <v>3</v>
      </c>
      <c r="M606" s="3">
        <v>36849</v>
      </c>
      <c r="N606" t="str" cm="1">
        <f t="array" ref="N606">_xlfn.IFS(Table1_36[[#This Row],[Patient Satisfaction Score]]&gt;=83,"High",H606&lt;=75,"Low",TRUE,"Moderate")</f>
        <v>Moderate</v>
      </c>
      <c r="O606" t="str">
        <f t="shared" si="9"/>
        <v>Adult</v>
      </c>
    </row>
    <row r="607" spans="1:15">
      <c r="A607" t="s">
        <v>675</v>
      </c>
      <c r="B607" t="s">
        <v>84</v>
      </c>
      <c r="C607" t="s">
        <v>21</v>
      </c>
      <c r="D607" t="s">
        <v>16</v>
      </c>
      <c r="E607" s="2">
        <v>21</v>
      </c>
      <c r="F607" t="s">
        <v>34</v>
      </c>
      <c r="G607" t="s">
        <v>31</v>
      </c>
      <c r="H607" s="2">
        <v>90</v>
      </c>
      <c r="I607" s="3">
        <v>6655</v>
      </c>
      <c r="J607" s="4">
        <v>12.46</v>
      </c>
      <c r="K607" s="2">
        <v>56</v>
      </c>
      <c r="L607" s="2">
        <v>5</v>
      </c>
      <c r="M607" s="3">
        <v>26404</v>
      </c>
      <c r="N607" t="str" cm="1">
        <f t="array" ref="N607">_xlfn.IFS(Table1_36[[#This Row],[Patient Satisfaction Score]]&gt;=83,"High",H607&lt;=75,"Low",TRUE,"Moderate")</f>
        <v>High</v>
      </c>
      <c r="O607" t="str">
        <f t="shared" si="9"/>
        <v>Adult</v>
      </c>
    </row>
    <row r="608" spans="1:15">
      <c r="A608" t="s">
        <v>676</v>
      </c>
      <c r="B608" t="s">
        <v>109</v>
      </c>
      <c r="C608" t="s">
        <v>30</v>
      </c>
      <c r="D608" t="s">
        <v>27</v>
      </c>
      <c r="E608" s="2">
        <v>30</v>
      </c>
      <c r="F608" t="s">
        <v>34</v>
      </c>
      <c r="G608" t="s">
        <v>23</v>
      </c>
      <c r="H608" s="2">
        <v>73</v>
      </c>
      <c r="I608" s="3">
        <v>3329</v>
      </c>
      <c r="J608" s="4">
        <v>18.010000000000002</v>
      </c>
      <c r="K608" s="2">
        <v>143</v>
      </c>
      <c r="L608" s="2">
        <v>4</v>
      </c>
      <c r="M608" s="3">
        <v>8769</v>
      </c>
      <c r="N608" t="str" cm="1">
        <f t="array" ref="N608">_xlfn.IFS(Table1_36[[#This Row],[Patient Satisfaction Score]]&gt;=83,"High",H608&lt;=75,"Low",TRUE,"Moderate")</f>
        <v>Low</v>
      </c>
      <c r="O608" t="str">
        <f t="shared" si="9"/>
        <v>Adult</v>
      </c>
    </row>
    <row r="609" spans="1:15">
      <c r="A609" t="s">
        <v>677</v>
      </c>
      <c r="B609" t="s">
        <v>54</v>
      </c>
      <c r="C609" t="s">
        <v>15</v>
      </c>
      <c r="D609" t="s">
        <v>27</v>
      </c>
      <c r="E609" s="2">
        <v>48</v>
      </c>
      <c r="F609" t="s">
        <v>17</v>
      </c>
      <c r="G609" t="s">
        <v>70</v>
      </c>
      <c r="H609" s="2">
        <v>83</v>
      </c>
      <c r="I609" s="3">
        <v>7093</v>
      </c>
      <c r="J609" s="4">
        <v>5.15</v>
      </c>
      <c r="K609" s="2">
        <v>84</v>
      </c>
      <c r="L609" s="2">
        <v>4</v>
      </c>
      <c r="M609" s="3">
        <v>32182</v>
      </c>
      <c r="N609" t="str" cm="1">
        <f t="array" ref="N609">_xlfn.IFS(Table1_36[[#This Row],[Patient Satisfaction Score]]&gt;=83,"High",H609&lt;=75,"Low",TRUE,"Moderate")</f>
        <v>High</v>
      </c>
      <c r="O609" t="str">
        <f t="shared" si="9"/>
        <v>Adult</v>
      </c>
    </row>
    <row r="610" spans="1:15">
      <c r="A610" t="s">
        <v>678</v>
      </c>
      <c r="B610" t="s">
        <v>60</v>
      </c>
      <c r="C610" t="s">
        <v>52</v>
      </c>
      <c r="D610" t="s">
        <v>16</v>
      </c>
      <c r="E610" s="2">
        <v>52</v>
      </c>
      <c r="F610" t="s">
        <v>34</v>
      </c>
      <c r="G610" t="s">
        <v>18</v>
      </c>
      <c r="H610" s="2">
        <v>84</v>
      </c>
      <c r="I610" s="3">
        <v>5569</v>
      </c>
      <c r="J610" s="4">
        <v>3.48</v>
      </c>
      <c r="K610" s="2">
        <v>86</v>
      </c>
      <c r="L610" s="2">
        <v>4</v>
      </c>
      <c r="M610" s="3">
        <v>27511</v>
      </c>
      <c r="N610" t="str" cm="1">
        <f t="array" ref="N610">_xlfn.IFS(Table1_36[[#This Row],[Patient Satisfaction Score]]&gt;=83,"High",H610&lt;=75,"Low",TRUE,"Moderate")</f>
        <v>High</v>
      </c>
      <c r="O610" t="str">
        <f t="shared" si="9"/>
        <v>Adult</v>
      </c>
    </row>
    <row r="611" spans="1:15">
      <c r="A611" t="s">
        <v>679</v>
      </c>
      <c r="B611" t="s">
        <v>58</v>
      </c>
      <c r="C611" t="s">
        <v>48</v>
      </c>
      <c r="D611" t="s">
        <v>16</v>
      </c>
      <c r="E611" s="2">
        <v>29</v>
      </c>
      <c r="F611" t="s">
        <v>34</v>
      </c>
      <c r="G611" t="s">
        <v>23</v>
      </c>
      <c r="H611" s="2">
        <v>76</v>
      </c>
      <c r="I611" s="3">
        <v>3361</v>
      </c>
      <c r="J611" s="4">
        <v>17.28</v>
      </c>
      <c r="K611" s="2">
        <v>74</v>
      </c>
      <c r="L611" s="2">
        <v>4</v>
      </c>
      <c r="M611" s="3">
        <v>18124</v>
      </c>
      <c r="N611" t="str" cm="1">
        <f t="array" ref="N611">_xlfn.IFS(Table1_36[[#This Row],[Patient Satisfaction Score]]&gt;=83,"High",H611&lt;=75,"Low",TRUE,"Moderate")</f>
        <v>Moderate</v>
      </c>
      <c r="O611" t="str">
        <f t="shared" si="9"/>
        <v>Adult</v>
      </c>
    </row>
    <row r="612" spans="1:15">
      <c r="A612" t="s">
        <v>680</v>
      </c>
      <c r="B612" t="s">
        <v>66</v>
      </c>
      <c r="C612" t="s">
        <v>39</v>
      </c>
      <c r="D612" t="s">
        <v>27</v>
      </c>
      <c r="E612" s="2">
        <v>16</v>
      </c>
      <c r="F612" t="s">
        <v>22</v>
      </c>
      <c r="G612" t="s">
        <v>40</v>
      </c>
      <c r="H612" s="2">
        <v>81</v>
      </c>
      <c r="I612" s="3">
        <v>3007</v>
      </c>
      <c r="J612" s="4">
        <v>9.92</v>
      </c>
      <c r="K612" s="2">
        <v>61</v>
      </c>
      <c r="L612" s="2">
        <v>3</v>
      </c>
      <c r="M612" s="3">
        <v>16546</v>
      </c>
      <c r="N612" t="str" cm="1">
        <f t="array" ref="N612">_xlfn.IFS(Table1_36[[#This Row],[Patient Satisfaction Score]]&gt;=83,"High",H612&lt;=75,"Low",TRUE,"Moderate")</f>
        <v>Moderate</v>
      </c>
      <c r="O612" t="str">
        <f t="shared" si="9"/>
        <v>Pediatric</v>
      </c>
    </row>
    <row r="613" spans="1:15">
      <c r="A613" t="s">
        <v>681</v>
      </c>
      <c r="B613" t="s">
        <v>185</v>
      </c>
      <c r="C613" t="s">
        <v>52</v>
      </c>
      <c r="D613" t="s">
        <v>16</v>
      </c>
      <c r="E613" s="2">
        <v>25</v>
      </c>
      <c r="F613" t="s">
        <v>22</v>
      </c>
      <c r="G613" t="s">
        <v>23</v>
      </c>
      <c r="H613" s="2">
        <v>80</v>
      </c>
      <c r="I613" s="3">
        <v>7371</v>
      </c>
      <c r="J613" s="4">
        <v>11.12</v>
      </c>
      <c r="K613" s="2">
        <v>67</v>
      </c>
      <c r="L613" s="2">
        <v>5</v>
      </c>
      <c r="M613" s="3">
        <v>24296</v>
      </c>
      <c r="N613" t="str" cm="1">
        <f t="array" ref="N613">_xlfn.IFS(Table1_36[[#This Row],[Patient Satisfaction Score]]&gt;=83,"High",H613&lt;=75,"Low",TRUE,"Moderate")</f>
        <v>Moderate</v>
      </c>
      <c r="O613" t="str">
        <f t="shared" si="9"/>
        <v>Adult</v>
      </c>
    </row>
    <row r="614" spans="1:15">
      <c r="A614" t="s">
        <v>682</v>
      </c>
      <c r="B614" t="s">
        <v>97</v>
      </c>
      <c r="C614" t="s">
        <v>30</v>
      </c>
      <c r="D614" t="s">
        <v>27</v>
      </c>
      <c r="E614" s="2">
        <v>35</v>
      </c>
      <c r="F614" t="s">
        <v>17</v>
      </c>
      <c r="G614" t="s">
        <v>49</v>
      </c>
      <c r="H614" s="2">
        <v>74</v>
      </c>
      <c r="I614" s="3">
        <v>3377</v>
      </c>
      <c r="J614" s="4">
        <v>19.97</v>
      </c>
      <c r="K614" s="2">
        <v>90</v>
      </c>
      <c r="L614" s="2">
        <v>4</v>
      </c>
      <c r="M614" s="3">
        <v>10560</v>
      </c>
      <c r="N614" t="str" cm="1">
        <f t="array" ref="N614">_xlfn.IFS(Table1_36[[#This Row],[Patient Satisfaction Score]]&gt;=83,"High",H614&lt;=75,"Low",TRUE,"Moderate")</f>
        <v>Low</v>
      </c>
      <c r="O614" t="str">
        <f t="shared" si="9"/>
        <v>Adult</v>
      </c>
    </row>
    <row r="615" spans="1:15">
      <c r="A615" t="s">
        <v>683</v>
      </c>
      <c r="B615" t="s">
        <v>95</v>
      </c>
      <c r="C615" t="s">
        <v>52</v>
      </c>
      <c r="D615" t="s">
        <v>16</v>
      </c>
      <c r="E615" s="2">
        <v>43</v>
      </c>
      <c r="F615" t="s">
        <v>17</v>
      </c>
      <c r="G615" t="s">
        <v>23</v>
      </c>
      <c r="H615" s="2">
        <v>73</v>
      </c>
      <c r="I615" s="3">
        <v>6444</v>
      </c>
      <c r="J615" s="4">
        <v>17.93</v>
      </c>
      <c r="K615" s="2">
        <v>99</v>
      </c>
      <c r="L615" s="2">
        <v>3</v>
      </c>
      <c r="M615" s="3">
        <v>29775</v>
      </c>
      <c r="N615" t="str" cm="1">
        <f t="array" ref="N615">_xlfn.IFS(Table1_36[[#This Row],[Patient Satisfaction Score]]&gt;=83,"High",H615&lt;=75,"Low",TRUE,"Moderate")</f>
        <v>Low</v>
      </c>
      <c r="O615" t="str">
        <f t="shared" si="9"/>
        <v>Adult</v>
      </c>
    </row>
    <row r="616" spans="1:15">
      <c r="A616" t="s">
        <v>684</v>
      </c>
      <c r="B616" t="s">
        <v>38</v>
      </c>
      <c r="C616" t="s">
        <v>39</v>
      </c>
      <c r="D616" t="s">
        <v>72</v>
      </c>
      <c r="E616" s="2">
        <v>18</v>
      </c>
      <c r="F616" t="s">
        <v>34</v>
      </c>
      <c r="G616" t="s">
        <v>31</v>
      </c>
      <c r="H616" s="2">
        <v>90</v>
      </c>
      <c r="I616" s="3">
        <v>3237</v>
      </c>
      <c r="J616" s="4">
        <v>9.0500000000000007</v>
      </c>
      <c r="K616" s="2">
        <v>58</v>
      </c>
      <c r="L616" s="2">
        <v>4</v>
      </c>
      <c r="M616" s="3">
        <v>13496</v>
      </c>
      <c r="N616" t="str" cm="1">
        <f t="array" ref="N616">_xlfn.IFS(Table1_36[[#This Row],[Patient Satisfaction Score]]&gt;=83,"High",H616&lt;=75,"Low",TRUE,"Moderate")</f>
        <v>High</v>
      </c>
      <c r="O616" t="str">
        <f t="shared" si="9"/>
        <v>Pediatric</v>
      </c>
    </row>
    <row r="617" spans="1:15">
      <c r="A617" t="s">
        <v>685</v>
      </c>
      <c r="B617" t="s">
        <v>36</v>
      </c>
      <c r="C617" t="s">
        <v>21</v>
      </c>
      <c r="D617" t="s">
        <v>27</v>
      </c>
      <c r="E617" s="2">
        <v>62</v>
      </c>
      <c r="F617" t="s">
        <v>34</v>
      </c>
      <c r="G617" t="s">
        <v>23</v>
      </c>
      <c r="H617" s="2">
        <v>79</v>
      </c>
      <c r="I617" s="3">
        <v>6101</v>
      </c>
      <c r="J617" s="4">
        <v>17.940000000000001</v>
      </c>
      <c r="K617" s="2">
        <v>84</v>
      </c>
      <c r="L617" s="2">
        <v>4</v>
      </c>
      <c r="M617" s="3">
        <v>35795</v>
      </c>
      <c r="N617" t="str" cm="1">
        <f t="array" ref="N617">_xlfn.IFS(Table1_36[[#This Row],[Patient Satisfaction Score]]&gt;=83,"High",H617&lt;=75,"Low",TRUE,"Moderate")</f>
        <v>Moderate</v>
      </c>
      <c r="O617" t="str">
        <f t="shared" si="9"/>
        <v>Adult</v>
      </c>
    </row>
    <row r="618" spans="1:15">
      <c r="A618" t="s">
        <v>686</v>
      </c>
      <c r="B618" t="s">
        <v>14</v>
      </c>
      <c r="C618" t="s">
        <v>15</v>
      </c>
      <c r="D618" t="s">
        <v>27</v>
      </c>
      <c r="E618" s="2">
        <v>1</v>
      </c>
      <c r="F618" t="s">
        <v>34</v>
      </c>
      <c r="G618" t="s">
        <v>18</v>
      </c>
      <c r="H618" s="2">
        <v>72</v>
      </c>
      <c r="I618" s="3">
        <v>7341</v>
      </c>
      <c r="J618" s="4">
        <v>11.64</v>
      </c>
      <c r="K618" s="2">
        <v>96</v>
      </c>
      <c r="L618" s="2">
        <v>3</v>
      </c>
      <c r="M618" s="3">
        <v>28757</v>
      </c>
      <c r="N618" t="str" cm="1">
        <f t="array" ref="N618">_xlfn.IFS(Table1_36[[#This Row],[Patient Satisfaction Score]]&gt;=83,"High",H618&lt;=75,"Low",TRUE,"Moderate")</f>
        <v>Low</v>
      </c>
      <c r="O618" t="str">
        <f t="shared" si="9"/>
        <v>Pediatric</v>
      </c>
    </row>
    <row r="619" spans="1:15">
      <c r="A619" t="s">
        <v>687</v>
      </c>
      <c r="B619" t="s">
        <v>33</v>
      </c>
      <c r="C619" t="s">
        <v>26</v>
      </c>
      <c r="D619" t="s">
        <v>16</v>
      </c>
      <c r="E619" s="2">
        <v>29</v>
      </c>
      <c r="F619" t="s">
        <v>22</v>
      </c>
      <c r="G619" t="s">
        <v>18</v>
      </c>
      <c r="H619" s="2">
        <v>80</v>
      </c>
      <c r="I619" s="3">
        <v>2397</v>
      </c>
      <c r="J619" s="4">
        <v>0.31</v>
      </c>
      <c r="K619" s="2">
        <v>47</v>
      </c>
      <c r="L619" s="2">
        <v>4</v>
      </c>
      <c r="M619" s="3">
        <v>8647</v>
      </c>
      <c r="N619" t="str" cm="1">
        <f t="array" ref="N619">_xlfn.IFS(Table1_36[[#This Row],[Patient Satisfaction Score]]&gt;=83,"High",H619&lt;=75,"Low",TRUE,"Moderate")</f>
        <v>Moderate</v>
      </c>
      <c r="O619" t="str">
        <f t="shared" si="9"/>
        <v>Adult</v>
      </c>
    </row>
    <row r="620" spans="1:15">
      <c r="A620" t="s">
        <v>688</v>
      </c>
      <c r="B620" t="s">
        <v>78</v>
      </c>
      <c r="C620" t="s">
        <v>15</v>
      </c>
      <c r="D620" t="s">
        <v>16</v>
      </c>
      <c r="E620" s="2">
        <v>39</v>
      </c>
      <c r="F620" t="s">
        <v>22</v>
      </c>
      <c r="G620" t="s">
        <v>31</v>
      </c>
      <c r="H620" s="2">
        <v>82</v>
      </c>
      <c r="I620" s="3">
        <v>8116</v>
      </c>
      <c r="J620" s="4">
        <v>8.56</v>
      </c>
      <c r="K620" s="2">
        <v>74</v>
      </c>
      <c r="L620" s="2">
        <v>4</v>
      </c>
      <c r="M620" s="3">
        <v>20693</v>
      </c>
      <c r="N620" t="str" cm="1">
        <f t="array" ref="N620">_xlfn.IFS(Table1_36[[#This Row],[Patient Satisfaction Score]]&gt;=83,"High",H620&lt;=75,"Low",TRUE,"Moderate")</f>
        <v>Moderate</v>
      </c>
      <c r="O620" t="str">
        <f t="shared" si="9"/>
        <v>Adult</v>
      </c>
    </row>
    <row r="621" spans="1:15">
      <c r="A621" t="s">
        <v>689</v>
      </c>
      <c r="B621" t="s">
        <v>36</v>
      </c>
      <c r="C621" t="s">
        <v>21</v>
      </c>
      <c r="D621" t="s">
        <v>27</v>
      </c>
      <c r="E621" s="2">
        <v>38</v>
      </c>
      <c r="F621" t="s">
        <v>17</v>
      </c>
      <c r="G621" t="s">
        <v>31</v>
      </c>
      <c r="H621" s="2">
        <v>89</v>
      </c>
      <c r="I621" s="3">
        <v>7919</v>
      </c>
      <c r="J621" s="4">
        <v>18.61</v>
      </c>
      <c r="K621" s="2">
        <v>57</v>
      </c>
      <c r="L621" s="2">
        <v>5</v>
      </c>
      <c r="M621" s="3">
        <v>31040</v>
      </c>
      <c r="N621" t="str" cm="1">
        <f t="array" ref="N621">_xlfn.IFS(Table1_36[[#This Row],[Patient Satisfaction Score]]&gt;=83,"High",H621&lt;=75,"Low",TRUE,"Moderate")</f>
        <v>High</v>
      </c>
      <c r="O621" t="str">
        <f t="shared" si="9"/>
        <v>Adult</v>
      </c>
    </row>
    <row r="622" spans="1:15">
      <c r="A622" t="s">
        <v>690</v>
      </c>
      <c r="B622" t="s">
        <v>36</v>
      </c>
      <c r="C622" t="s">
        <v>21</v>
      </c>
      <c r="D622" t="s">
        <v>16</v>
      </c>
      <c r="E622" s="2">
        <v>44</v>
      </c>
      <c r="F622" t="s">
        <v>34</v>
      </c>
      <c r="G622" t="s">
        <v>18</v>
      </c>
      <c r="H622" s="2">
        <v>82</v>
      </c>
      <c r="I622" s="3">
        <v>4714</v>
      </c>
      <c r="J622" s="4">
        <v>17.079999999999998</v>
      </c>
      <c r="K622" s="2">
        <v>113</v>
      </c>
      <c r="L622" s="2">
        <v>4</v>
      </c>
      <c r="M622" s="3">
        <v>20284</v>
      </c>
      <c r="N622" t="str" cm="1">
        <f t="array" ref="N622">_xlfn.IFS(Table1_36[[#This Row],[Patient Satisfaction Score]]&gt;=83,"High",H622&lt;=75,"Low",TRUE,"Moderate")</f>
        <v>Moderate</v>
      </c>
      <c r="O622" t="str">
        <f t="shared" si="9"/>
        <v>Adult</v>
      </c>
    </row>
    <row r="623" spans="1:15">
      <c r="A623" t="s">
        <v>691</v>
      </c>
      <c r="B623" t="s">
        <v>14</v>
      </c>
      <c r="C623" t="s">
        <v>15</v>
      </c>
      <c r="D623" t="s">
        <v>27</v>
      </c>
      <c r="E623" s="2">
        <v>70</v>
      </c>
      <c r="F623" t="s">
        <v>17</v>
      </c>
      <c r="G623" t="s">
        <v>49</v>
      </c>
      <c r="H623" s="2">
        <v>76</v>
      </c>
      <c r="I623" s="3">
        <v>6445</v>
      </c>
      <c r="J623" s="4">
        <v>11.48</v>
      </c>
      <c r="K623" s="2">
        <v>72</v>
      </c>
      <c r="L623" s="2">
        <v>3</v>
      </c>
      <c r="M623" s="3">
        <v>33747</v>
      </c>
      <c r="N623" t="str" cm="1">
        <f t="array" ref="N623">_xlfn.IFS(Table1_36[[#This Row],[Patient Satisfaction Score]]&gt;=83,"High",H623&lt;=75,"Low",TRUE,"Moderate")</f>
        <v>Moderate</v>
      </c>
      <c r="O623" t="str">
        <f t="shared" si="9"/>
        <v>Adult</v>
      </c>
    </row>
    <row r="624" spans="1:15">
      <c r="A624" t="s">
        <v>692</v>
      </c>
      <c r="B624" t="s">
        <v>25</v>
      </c>
      <c r="C624" t="s">
        <v>26</v>
      </c>
      <c r="D624" t="s">
        <v>72</v>
      </c>
      <c r="E624" s="2">
        <v>74</v>
      </c>
      <c r="F624" t="s">
        <v>34</v>
      </c>
      <c r="G624" t="s">
        <v>18</v>
      </c>
      <c r="H624" s="2">
        <v>82</v>
      </c>
      <c r="I624" s="3">
        <v>1579</v>
      </c>
      <c r="J624" s="4">
        <v>8.57</v>
      </c>
      <c r="K624" s="2">
        <v>43</v>
      </c>
      <c r="L624" s="2">
        <v>4</v>
      </c>
      <c r="M624" s="3">
        <v>5187</v>
      </c>
      <c r="N624" t="str" cm="1">
        <f t="array" ref="N624">_xlfn.IFS(Table1_36[[#This Row],[Patient Satisfaction Score]]&gt;=83,"High",H624&lt;=75,"Low",TRUE,"Moderate")</f>
        <v>Moderate</v>
      </c>
      <c r="O624" t="str">
        <f t="shared" si="9"/>
        <v>Adult</v>
      </c>
    </row>
    <row r="625" spans="1:15">
      <c r="A625" t="s">
        <v>693</v>
      </c>
      <c r="B625" t="s">
        <v>62</v>
      </c>
      <c r="C625" t="s">
        <v>52</v>
      </c>
      <c r="D625" t="s">
        <v>16</v>
      </c>
      <c r="E625" s="2">
        <v>10</v>
      </c>
      <c r="F625" t="s">
        <v>17</v>
      </c>
      <c r="G625" t="s">
        <v>49</v>
      </c>
      <c r="H625" s="2">
        <v>77</v>
      </c>
      <c r="I625" s="3">
        <v>3352</v>
      </c>
      <c r="J625" s="4">
        <v>16.37</v>
      </c>
      <c r="K625" s="2">
        <v>80</v>
      </c>
      <c r="L625" s="2">
        <v>4</v>
      </c>
      <c r="M625" s="3">
        <v>18509</v>
      </c>
      <c r="N625" t="str" cm="1">
        <f t="array" ref="N625">_xlfn.IFS(Table1_36[[#This Row],[Patient Satisfaction Score]]&gt;=83,"High",H625&lt;=75,"Low",TRUE,"Moderate")</f>
        <v>Moderate</v>
      </c>
      <c r="O625" t="str">
        <f t="shared" si="9"/>
        <v>Pediatric</v>
      </c>
    </row>
    <row r="626" spans="1:15">
      <c r="A626" t="s">
        <v>694</v>
      </c>
      <c r="B626" t="s">
        <v>58</v>
      </c>
      <c r="C626" t="s">
        <v>48</v>
      </c>
      <c r="D626" t="s">
        <v>16</v>
      </c>
      <c r="E626" s="2">
        <v>49</v>
      </c>
      <c r="F626" t="s">
        <v>22</v>
      </c>
      <c r="G626" t="s">
        <v>40</v>
      </c>
      <c r="H626" s="2">
        <v>76</v>
      </c>
      <c r="I626" s="3">
        <v>6280</v>
      </c>
      <c r="J626" s="4">
        <v>16.14</v>
      </c>
      <c r="K626" s="2">
        <v>53</v>
      </c>
      <c r="L626" s="2">
        <v>4</v>
      </c>
      <c r="M626" s="3">
        <v>17732</v>
      </c>
      <c r="N626" t="str" cm="1">
        <f t="array" ref="N626">_xlfn.IFS(Table1_36[[#This Row],[Patient Satisfaction Score]]&gt;=83,"High",H626&lt;=75,"Low",TRUE,"Moderate")</f>
        <v>Moderate</v>
      </c>
      <c r="O626" t="str">
        <f t="shared" si="9"/>
        <v>Adult</v>
      </c>
    </row>
    <row r="627" spans="1:15">
      <c r="A627" t="s">
        <v>695</v>
      </c>
      <c r="B627" t="s">
        <v>95</v>
      </c>
      <c r="C627" t="s">
        <v>52</v>
      </c>
      <c r="D627" t="s">
        <v>16</v>
      </c>
      <c r="E627" s="2">
        <v>1</v>
      </c>
      <c r="F627" t="s">
        <v>17</v>
      </c>
      <c r="G627" t="s">
        <v>31</v>
      </c>
      <c r="H627" s="2">
        <v>76</v>
      </c>
      <c r="I627" s="3">
        <v>7390</v>
      </c>
      <c r="J627" s="4">
        <v>16.190000000000001</v>
      </c>
      <c r="K627" s="2">
        <v>61</v>
      </c>
      <c r="L627" s="2">
        <v>3</v>
      </c>
      <c r="M627" s="3">
        <v>41638</v>
      </c>
      <c r="N627" t="str" cm="1">
        <f t="array" ref="N627">_xlfn.IFS(Table1_36[[#This Row],[Patient Satisfaction Score]]&gt;=83,"High",H627&lt;=75,"Low",TRUE,"Moderate")</f>
        <v>Moderate</v>
      </c>
      <c r="O627" t="str">
        <f t="shared" si="9"/>
        <v>Pediatric</v>
      </c>
    </row>
    <row r="628" spans="1:15">
      <c r="A628" t="s">
        <v>696</v>
      </c>
      <c r="B628" t="s">
        <v>25</v>
      </c>
      <c r="C628" t="s">
        <v>26</v>
      </c>
      <c r="D628" t="s">
        <v>16</v>
      </c>
      <c r="E628" s="2">
        <v>43</v>
      </c>
      <c r="F628" t="s">
        <v>17</v>
      </c>
      <c r="G628" t="s">
        <v>70</v>
      </c>
      <c r="H628" s="2">
        <v>83</v>
      </c>
      <c r="I628" s="3">
        <v>2645</v>
      </c>
      <c r="J628" s="4">
        <v>0</v>
      </c>
      <c r="K628" s="2">
        <v>54</v>
      </c>
      <c r="L628" s="2">
        <v>5</v>
      </c>
      <c r="M628" s="3">
        <v>13430</v>
      </c>
      <c r="N628" t="str" cm="1">
        <f t="array" ref="N628">_xlfn.IFS(Table1_36[[#This Row],[Patient Satisfaction Score]]&gt;=83,"High",H628&lt;=75,"Low",TRUE,"Moderate")</f>
        <v>High</v>
      </c>
      <c r="O628" t="str">
        <f t="shared" si="9"/>
        <v>Adult</v>
      </c>
    </row>
    <row r="629" spans="1:15">
      <c r="A629" t="s">
        <v>697</v>
      </c>
      <c r="B629" t="s">
        <v>25</v>
      </c>
      <c r="C629" t="s">
        <v>26</v>
      </c>
      <c r="D629" t="s">
        <v>27</v>
      </c>
      <c r="E629" s="2">
        <v>13</v>
      </c>
      <c r="F629" t="s">
        <v>22</v>
      </c>
      <c r="G629" t="s">
        <v>49</v>
      </c>
      <c r="H629" s="2">
        <v>87</v>
      </c>
      <c r="I629" s="3">
        <v>2451</v>
      </c>
      <c r="J629" s="4">
        <v>0</v>
      </c>
      <c r="K629" s="2">
        <v>20</v>
      </c>
      <c r="L629" s="2">
        <v>4</v>
      </c>
      <c r="M629" s="3">
        <v>8782</v>
      </c>
      <c r="N629" t="str" cm="1">
        <f t="array" ref="N629">_xlfn.IFS(Table1_36[[#This Row],[Patient Satisfaction Score]]&gt;=83,"High",H629&lt;=75,"Low",TRUE,"Moderate")</f>
        <v>High</v>
      </c>
      <c r="O629" t="str">
        <f t="shared" si="9"/>
        <v>Pediatric</v>
      </c>
    </row>
    <row r="630" spans="1:15">
      <c r="A630" t="s">
        <v>698</v>
      </c>
      <c r="B630" t="s">
        <v>78</v>
      </c>
      <c r="C630" t="s">
        <v>15</v>
      </c>
      <c r="D630" t="s">
        <v>16</v>
      </c>
      <c r="E630" s="2">
        <v>43</v>
      </c>
      <c r="F630" t="s">
        <v>17</v>
      </c>
      <c r="G630" t="s">
        <v>40</v>
      </c>
      <c r="H630" s="2">
        <v>84</v>
      </c>
      <c r="I630" s="3">
        <v>9930</v>
      </c>
      <c r="J630" s="4">
        <v>9.9499999999999993</v>
      </c>
      <c r="K630" s="2">
        <v>92</v>
      </c>
      <c r="L630" s="2">
        <v>5</v>
      </c>
      <c r="M630" s="3">
        <v>45932</v>
      </c>
      <c r="N630" t="str" cm="1">
        <f t="array" ref="N630">_xlfn.IFS(Table1_36[[#This Row],[Patient Satisfaction Score]]&gt;=83,"High",H630&lt;=75,"Low",TRUE,"Moderate")</f>
        <v>High</v>
      </c>
      <c r="O630" t="str">
        <f t="shared" si="9"/>
        <v>Adult</v>
      </c>
    </row>
    <row r="631" spans="1:15">
      <c r="A631" t="s">
        <v>699</v>
      </c>
      <c r="B631" t="s">
        <v>66</v>
      </c>
      <c r="C631" t="s">
        <v>39</v>
      </c>
      <c r="D631" t="s">
        <v>27</v>
      </c>
      <c r="E631" s="2">
        <v>16</v>
      </c>
      <c r="F631" t="s">
        <v>22</v>
      </c>
      <c r="G631" t="s">
        <v>70</v>
      </c>
      <c r="H631" s="2">
        <v>82</v>
      </c>
      <c r="I631" s="3">
        <v>3087</v>
      </c>
      <c r="J631" s="4">
        <v>5.37</v>
      </c>
      <c r="K631" s="2">
        <v>47</v>
      </c>
      <c r="L631" s="2">
        <v>4</v>
      </c>
      <c r="M631" s="3">
        <v>16810</v>
      </c>
      <c r="N631" t="str" cm="1">
        <f t="array" ref="N631">_xlfn.IFS(Table1_36[[#This Row],[Patient Satisfaction Score]]&gt;=83,"High",H631&lt;=75,"Low",TRUE,"Moderate")</f>
        <v>Moderate</v>
      </c>
      <c r="O631" t="str">
        <f t="shared" si="9"/>
        <v>Pediatric</v>
      </c>
    </row>
    <row r="632" spans="1:15">
      <c r="A632" t="s">
        <v>700</v>
      </c>
      <c r="B632" t="s">
        <v>42</v>
      </c>
      <c r="C632" t="s">
        <v>39</v>
      </c>
      <c r="D632" t="s">
        <v>16</v>
      </c>
      <c r="E632" s="2">
        <v>15</v>
      </c>
      <c r="F632" t="s">
        <v>34</v>
      </c>
      <c r="G632" t="s">
        <v>23</v>
      </c>
      <c r="H632" s="2">
        <v>82</v>
      </c>
      <c r="I632" s="3">
        <v>3723</v>
      </c>
      <c r="J632" s="4">
        <v>1.89</v>
      </c>
      <c r="K632" s="2">
        <v>55</v>
      </c>
      <c r="L632" s="2">
        <v>4</v>
      </c>
      <c r="M632" s="3">
        <v>13082</v>
      </c>
      <c r="N632" t="str" cm="1">
        <f t="array" ref="N632">_xlfn.IFS(Table1_36[[#This Row],[Patient Satisfaction Score]]&gt;=83,"High",H632&lt;=75,"Low",TRUE,"Moderate")</f>
        <v>Moderate</v>
      </c>
      <c r="O632" t="str">
        <f t="shared" si="9"/>
        <v>Pediatric</v>
      </c>
    </row>
    <row r="633" spans="1:15">
      <c r="A633" t="s">
        <v>701</v>
      </c>
      <c r="B633" t="s">
        <v>29</v>
      </c>
      <c r="C633" t="s">
        <v>30</v>
      </c>
      <c r="D633" t="s">
        <v>27</v>
      </c>
      <c r="E633" s="2">
        <v>30</v>
      </c>
      <c r="F633" t="s">
        <v>34</v>
      </c>
      <c r="G633" t="s">
        <v>18</v>
      </c>
      <c r="H633" s="2">
        <v>73</v>
      </c>
      <c r="I633" s="3">
        <v>4654</v>
      </c>
      <c r="J633" s="4">
        <v>15.13</v>
      </c>
      <c r="K633" s="2">
        <v>96</v>
      </c>
      <c r="L633" s="2">
        <v>3</v>
      </c>
      <c r="M633" s="3">
        <v>18002</v>
      </c>
      <c r="N633" t="str" cm="1">
        <f t="array" ref="N633">_xlfn.IFS(Table1_36[[#This Row],[Patient Satisfaction Score]]&gt;=83,"High",H633&lt;=75,"Low",TRUE,"Moderate")</f>
        <v>Low</v>
      </c>
      <c r="O633" t="str">
        <f t="shared" si="9"/>
        <v>Adult</v>
      </c>
    </row>
    <row r="634" spans="1:15">
      <c r="A634" t="s">
        <v>702</v>
      </c>
      <c r="B634" t="s">
        <v>109</v>
      </c>
      <c r="C634" t="s">
        <v>30</v>
      </c>
      <c r="D634" t="s">
        <v>16</v>
      </c>
      <c r="E634" s="2">
        <v>32</v>
      </c>
      <c r="F634" t="s">
        <v>34</v>
      </c>
      <c r="G634" t="s">
        <v>49</v>
      </c>
      <c r="H634" s="2">
        <v>72</v>
      </c>
      <c r="I634" s="3">
        <v>3362</v>
      </c>
      <c r="J634" s="4">
        <v>16.14</v>
      </c>
      <c r="K634" s="2">
        <v>124</v>
      </c>
      <c r="L634" s="2">
        <v>3</v>
      </c>
      <c r="M634" s="3">
        <v>17556</v>
      </c>
      <c r="N634" t="str" cm="1">
        <f t="array" ref="N634">_xlfn.IFS(Table1_36[[#This Row],[Patient Satisfaction Score]]&gt;=83,"High",H634&lt;=75,"Low",TRUE,"Moderate")</f>
        <v>Low</v>
      </c>
      <c r="O634" t="str">
        <f t="shared" si="9"/>
        <v>Adult</v>
      </c>
    </row>
    <row r="635" spans="1:15">
      <c r="A635" t="s">
        <v>703</v>
      </c>
      <c r="B635" t="s">
        <v>47</v>
      </c>
      <c r="C635" t="s">
        <v>48</v>
      </c>
      <c r="D635" t="s">
        <v>16</v>
      </c>
      <c r="E635" s="2">
        <v>47</v>
      </c>
      <c r="F635" t="s">
        <v>34</v>
      </c>
      <c r="G635" t="s">
        <v>31</v>
      </c>
      <c r="H635" s="2">
        <v>79</v>
      </c>
      <c r="I635" s="3">
        <v>7673</v>
      </c>
      <c r="J635" s="4">
        <v>7.82</v>
      </c>
      <c r="K635" s="2">
        <v>77</v>
      </c>
      <c r="L635" s="2">
        <v>4</v>
      </c>
      <c r="M635" s="3">
        <v>38023</v>
      </c>
      <c r="N635" t="str" cm="1">
        <f t="array" ref="N635">_xlfn.IFS(Table1_36[[#This Row],[Patient Satisfaction Score]]&gt;=83,"High",H635&lt;=75,"Low",TRUE,"Moderate")</f>
        <v>Moderate</v>
      </c>
      <c r="O635" t="str">
        <f t="shared" si="9"/>
        <v>Adult</v>
      </c>
    </row>
    <row r="636" spans="1:15">
      <c r="A636" t="s">
        <v>704</v>
      </c>
      <c r="B636" t="s">
        <v>25</v>
      </c>
      <c r="C636" t="s">
        <v>26</v>
      </c>
      <c r="D636" t="s">
        <v>16</v>
      </c>
      <c r="E636" s="2">
        <v>44</v>
      </c>
      <c r="F636" t="s">
        <v>22</v>
      </c>
      <c r="G636" t="s">
        <v>49</v>
      </c>
      <c r="H636" s="2">
        <v>86</v>
      </c>
      <c r="I636" s="3">
        <v>3110</v>
      </c>
      <c r="J636" s="4">
        <v>0.69</v>
      </c>
      <c r="K636" s="2">
        <v>42</v>
      </c>
      <c r="L636" s="2">
        <v>5</v>
      </c>
      <c r="M636" s="3">
        <v>16609</v>
      </c>
      <c r="N636" t="str" cm="1">
        <f t="array" ref="N636">_xlfn.IFS(Table1_36[[#This Row],[Patient Satisfaction Score]]&gt;=83,"High",H636&lt;=75,"Low",TRUE,"Moderate")</f>
        <v>High</v>
      </c>
      <c r="O636" t="str">
        <f t="shared" si="9"/>
        <v>Adult</v>
      </c>
    </row>
    <row r="637" spans="1:15">
      <c r="A637" t="s">
        <v>705</v>
      </c>
      <c r="B637" t="s">
        <v>129</v>
      </c>
      <c r="C637" t="s">
        <v>21</v>
      </c>
      <c r="D637" t="s">
        <v>27</v>
      </c>
      <c r="E637" s="2">
        <v>35</v>
      </c>
      <c r="F637" t="s">
        <v>17</v>
      </c>
      <c r="G637" t="s">
        <v>49</v>
      </c>
      <c r="H637" s="2">
        <v>84</v>
      </c>
      <c r="I637" s="3">
        <v>7711</v>
      </c>
      <c r="J637" s="4">
        <v>19.39</v>
      </c>
      <c r="K637" s="2">
        <v>54</v>
      </c>
      <c r="L637" s="2">
        <v>5</v>
      </c>
      <c r="M637" s="3">
        <v>43974</v>
      </c>
      <c r="N637" t="str" cm="1">
        <f t="array" ref="N637">_xlfn.IFS(Table1_36[[#This Row],[Patient Satisfaction Score]]&gt;=83,"High",H637&lt;=75,"Low",TRUE,"Moderate")</f>
        <v>High</v>
      </c>
      <c r="O637" t="str">
        <f t="shared" si="9"/>
        <v>Adult</v>
      </c>
    </row>
    <row r="638" spans="1:15">
      <c r="A638" t="s">
        <v>706</v>
      </c>
      <c r="B638" t="s">
        <v>60</v>
      </c>
      <c r="C638" t="s">
        <v>52</v>
      </c>
      <c r="D638" t="s">
        <v>16</v>
      </c>
      <c r="E638" s="2">
        <v>54</v>
      </c>
      <c r="F638" t="s">
        <v>34</v>
      </c>
      <c r="G638" t="s">
        <v>49</v>
      </c>
      <c r="H638" s="2">
        <v>68</v>
      </c>
      <c r="I638" s="3">
        <v>5342</v>
      </c>
      <c r="J638" s="4">
        <v>16.010000000000002</v>
      </c>
      <c r="K638" s="2">
        <v>67</v>
      </c>
      <c r="L638" s="2">
        <v>3</v>
      </c>
      <c r="M638" s="3">
        <v>24186</v>
      </c>
      <c r="N638" t="str" cm="1">
        <f t="array" ref="N638">_xlfn.IFS(Table1_36[[#This Row],[Patient Satisfaction Score]]&gt;=83,"High",H638&lt;=75,"Low",TRUE,"Moderate")</f>
        <v>Low</v>
      </c>
      <c r="O638" t="str">
        <f t="shared" si="9"/>
        <v>Adult</v>
      </c>
    </row>
    <row r="639" spans="1:15">
      <c r="A639" t="s">
        <v>707</v>
      </c>
      <c r="B639" t="s">
        <v>80</v>
      </c>
      <c r="C639" t="s">
        <v>15</v>
      </c>
      <c r="D639" t="s">
        <v>16</v>
      </c>
      <c r="E639" s="2">
        <v>48</v>
      </c>
      <c r="F639" t="s">
        <v>22</v>
      </c>
      <c r="G639" t="s">
        <v>18</v>
      </c>
      <c r="H639" s="2">
        <v>60</v>
      </c>
      <c r="I639" s="3">
        <v>7453</v>
      </c>
      <c r="J639" s="4">
        <v>25.11</v>
      </c>
      <c r="K639" s="2">
        <v>104</v>
      </c>
      <c r="L639" s="2">
        <v>3</v>
      </c>
      <c r="M639" s="3">
        <v>23373</v>
      </c>
      <c r="N639" t="str" cm="1">
        <f t="array" ref="N639">_xlfn.IFS(Table1_36[[#This Row],[Patient Satisfaction Score]]&gt;=83,"High",H639&lt;=75,"Low",TRUE,"Moderate")</f>
        <v>Low</v>
      </c>
      <c r="O639" t="str">
        <f t="shared" si="9"/>
        <v>Adult</v>
      </c>
    </row>
    <row r="640" spans="1:15">
      <c r="A640" t="s">
        <v>708</v>
      </c>
      <c r="B640" t="s">
        <v>97</v>
      </c>
      <c r="C640" t="s">
        <v>30</v>
      </c>
      <c r="D640" t="s">
        <v>27</v>
      </c>
      <c r="E640" s="2">
        <v>4</v>
      </c>
      <c r="F640" t="s">
        <v>34</v>
      </c>
      <c r="G640" t="s">
        <v>23</v>
      </c>
      <c r="H640" s="2">
        <v>78</v>
      </c>
      <c r="I640" s="3">
        <v>3325</v>
      </c>
      <c r="J640" s="4">
        <v>11.31</v>
      </c>
      <c r="K640" s="2">
        <v>110</v>
      </c>
      <c r="L640" s="2">
        <v>4</v>
      </c>
      <c r="M640" s="3">
        <v>9548</v>
      </c>
      <c r="N640" t="str" cm="1">
        <f t="array" ref="N640">_xlfn.IFS(Table1_36[[#This Row],[Patient Satisfaction Score]]&gt;=83,"High",H640&lt;=75,"Low",TRUE,"Moderate")</f>
        <v>Moderate</v>
      </c>
      <c r="O640" t="str">
        <f t="shared" si="9"/>
        <v>Pediatric</v>
      </c>
    </row>
    <row r="641" spans="1:15">
      <c r="A641" t="s">
        <v>709</v>
      </c>
      <c r="B641" t="s">
        <v>44</v>
      </c>
      <c r="C641" t="s">
        <v>45</v>
      </c>
      <c r="D641" t="s">
        <v>16</v>
      </c>
      <c r="E641" s="2">
        <v>57</v>
      </c>
      <c r="F641" t="s">
        <v>34</v>
      </c>
      <c r="G641" t="s">
        <v>31</v>
      </c>
      <c r="H641" s="2">
        <v>78</v>
      </c>
      <c r="I641" s="3">
        <v>8261</v>
      </c>
      <c r="J641" s="4">
        <v>18.14</v>
      </c>
      <c r="K641" s="2">
        <v>106</v>
      </c>
      <c r="L641" s="2">
        <v>4</v>
      </c>
      <c r="M641" s="3">
        <v>37345</v>
      </c>
      <c r="N641" t="str" cm="1">
        <f t="array" ref="N641">_xlfn.IFS(Table1_36[[#This Row],[Patient Satisfaction Score]]&gt;=83,"High",H641&lt;=75,"Low",TRUE,"Moderate")</f>
        <v>Moderate</v>
      </c>
      <c r="O641" t="str">
        <f t="shared" si="9"/>
        <v>Adult</v>
      </c>
    </row>
    <row r="642" spans="1:15">
      <c r="A642" t="s">
        <v>710</v>
      </c>
      <c r="B642" t="s">
        <v>20</v>
      </c>
      <c r="C642" t="s">
        <v>21</v>
      </c>
      <c r="D642" t="s">
        <v>27</v>
      </c>
      <c r="E642" s="2">
        <v>33</v>
      </c>
      <c r="F642" t="s">
        <v>17</v>
      </c>
      <c r="G642" t="s">
        <v>31</v>
      </c>
      <c r="H642" s="2">
        <v>68</v>
      </c>
      <c r="I642" s="3">
        <v>5816</v>
      </c>
      <c r="J642" s="4">
        <v>15.13</v>
      </c>
      <c r="K642" s="2">
        <v>131</v>
      </c>
      <c r="L642" s="2">
        <v>3</v>
      </c>
      <c r="M642" s="3">
        <v>23395</v>
      </c>
      <c r="N642" t="str" cm="1">
        <f t="array" ref="N642">_xlfn.IFS(Table1_36[[#This Row],[Patient Satisfaction Score]]&gt;=83,"High",H642&lt;=75,"Low",TRUE,"Moderate")</f>
        <v>Low</v>
      </c>
      <c r="O642" t="str">
        <f t="shared" ref="O642:O705" si="10">IF(E642&lt;19,"Pediatric","Adult")</f>
        <v>Adult</v>
      </c>
    </row>
    <row r="643" spans="1:15">
      <c r="A643" t="s">
        <v>711</v>
      </c>
      <c r="B643" t="s">
        <v>97</v>
      </c>
      <c r="C643" t="s">
        <v>30</v>
      </c>
      <c r="D643" t="s">
        <v>16</v>
      </c>
      <c r="E643" s="2">
        <v>52</v>
      </c>
      <c r="F643" t="s">
        <v>34</v>
      </c>
      <c r="G643" t="s">
        <v>49</v>
      </c>
      <c r="H643" s="2">
        <v>76</v>
      </c>
      <c r="I643" s="3">
        <v>3782</v>
      </c>
      <c r="J643" s="4">
        <v>14.91</v>
      </c>
      <c r="K643" s="2">
        <v>73</v>
      </c>
      <c r="L643" s="2">
        <v>4</v>
      </c>
      <c r="M643" s="3">
        <v>10835</v>
      </c>
      <c r="N643" t="str" cm="1">
        <f t="array" ref="N643">_xlfn.IFS(Table1_36[[#This Row],[Patient Satisfaction Score]]&gt;=83,"High",H643&lt;=75,"Low",TRUE,"Moderate")</f>
        <v>Moderate</v>
      </c>
      <c r="O643" t="str">
        <f t="shared" si="10"/>
        <v>Adult</v>
      </c>
    </row>
    <row r="644" spans="1:15">
      <c r="A644" t="s">
        <v>712</v>
      </c>
      <c r="B644" t="s">
        <v>135</v>
      </c>
      <c r="C644" t="s">
        <v>48</v>
      </c>
      <c r="D644" t="s">
        <v>27</v>
      </c>
      <c r="E644" s="2">
        <v>1</v>
      </c>
      <c r="F644" t="s">
        <v>22</v>
      </c>
      <c r="G644" t="s">
        <v>40</v>
      </c>
      <c r="H644" s="2">
        <v>77</v>
      </c>
      <c r="I644" s="3">
        <v>6354</v>
      </c>
      <c r="J644" s="4">
        <v>8.89</v>
      </c>
      <c r="K644" s="2">
        <v>115</v>
      </c>
      <c r="L644" s="2">
        <v>4</v>
      </c>
      <c r="M644" s="3">
        <v>29807</v>
      </c>
      <c r="N644" t="str" cm="1">
        <f t="array" ref="N644">_xlfn.IFS(Table1_36[[#This Row],[Patient Satisfaction Score]]&gt;=83,"High",H644&lt;=75,"Low",TRUE,"Moderate")</f>
        <v>Moderate</v>
      </c>
      <c r="O644" t="str">
        <f t="shared" si="10"/>
        <v>Pediatric</v>
      </c>
    </row>
    <row r="645" spans="1:15">
      <c r="A645" t="s">
        <v>713</v>
      </c>
      <c r="B645" t="s">
        <v>14</v>
      </c>
      <c r="C645" t="s">
        <v>15</v>
      </c>
      <c r="D645" t="s">
        <v>27</v>
      </c>
      <c r="E645" s="2">
        <v>36</v>
      </c>
      <c r="F645" t="s">
        <v>34</v>
      </c>
      <c r="G645" t="s">
        <v>40</v>
      </c>
      <c r="H645" s="2">
        <v>84</v>
      </c>
      <c r="I645" s="3">
        <v>7806</v>
      </c>
      <c r="J645" s="4">
        <v>15.4</v>
      </c>
      <c r="K645" s="2">
        <v>72</v>
      </c>
      <c r="L645" s="2">
        <v>4</v>
      </c>
      <c r="M645" s="3">
        <v>38922</v>
      </c>
      <c r="N645" t="str" cm="1">
        <f t="array" ref="N645">_xlfn.IFS(Table1_36[[#This Row],[Patient Satisfaction Score]]&gt;=83,"High",H645&lt;=75,"Low",TRUE,"Moderate")</f>
        <v>High</v>
      </c>
      <c r="O645" t="str">
        <f t="shared" si="10"/>
        <v>Adult</v>
      </c>
    </row>
    <row r="646" spans="1:15">
      <c r="A646" t="s">
        <v>714</v>
      </c>
      <c r="B646" t="s">
        <v>80</v>
      </c>
      <c r="C646" t="s">
        <v>15</v>
      </c>
      <c r="D646" t="s">
        <v>16</v>
      </c>
      <c r="E646" s="2">
        <v>51</v>
      </c>
      <c r="F646" t="s">
        <v>22</v>
      </c>
      <c r="G646" t="s">
        <v>31</v>
      </c>
      <c r="H646" s="2">
        <v>76</v>
      </c>
      <c r="I646" s="3">
        <v>8175</v>
      </c>
      <c r="J646" s="4">
        <v>10.57</v>
      </c>
      <c r="K646" s="2">
        <v>74</v>
      </c>
      <c r="L646" s="2">
        <v>3</v>
      </c>
      <c r="M646" s="3">
        <v>47066</v>
      </c>
      <c r="N646" t="str" cm="1">
        <f t="array" ref="N646">_xlfn.IFS(Table1_36[[#This Row],[Patient Satisfaction Score]]&gt;=83,"High",H646&lt;=75,"Low",TRUE,"Moderate")</f>
        <v>Moderate</v>
      </c>
      <c r="O646" t="str">
        <f t="shared" si="10"/>
        <v>Adult</v>
      </c>
    </row>
    <row r="647" spans="1:15">
      <c r="A647" t="s">
        <v>715</v>
      </c>
      <c r="B647" t="s">
        <v>88</v>
      </c>
      <c r="C647" t="s">
        <v>15</v>
      </c>
      <c r="D647" t="s">
        <v>27</v>
      </c>
      <c r="E647" s="2">
        <v>60</v>
      </c>
      <c r="F647" t="s">
        <v>34</v>
      </c>
      <c r="G647" t="s">
        <v>23</v>
      </c>
      <c r="H647" s="2">
        <v>74</v>
      </c>
      <c r="I647" s="3">
        <v>8862</v>
      </c>
      <c r="J647" s="4">
        <v>21.28</v>
      </c>
      <c r="K647" s="2">
        <v>95</v>
      </c>
      <c r="L647" s="2">
        <v>3</v>
      </c>
      <c r="M647" s="3">
        <v>52628</v>
      </c>
      <c r="N647" t="str" cm="1">
        <f t="array" ref="N647">_xlfn.IFS(Table1_36[[#This Row],[Patient Satisfaction Score]]&gt;=83,"High",H647&lt;=75,"Low",TRUE,"Moderate")</f>
        <v>Low</v>
      </c>
      <c r="O647" t="str">
        <f t="shared" si="10"/>
        <v>Adult</v>
      </c>
    </row>
    <row r="648" spans="1:15">
      <c r="A648" t="s">
        <v>716</v>
      </c>
      <c r="B648" t="s">
        <v>44</v>
      </c>
      <c r="C648" t="s">
        <v>45</v>
      </c>
      <c r="D648" t="s">
        <v>27</v>
      </c>
      <c r="E648" s="2">
        <v>42</v>
      </c>
      <c r="F648" t="s">
        <v>17</v>
      </c>
      <c r="G648" t="s">
        <v>40</v>
      </c>
      <c r="H648" s="2">
        <v>76</v>
      </c>
      <c r="I648" s="3">
        <v>8792</v>
      </c>
      <c r="J648" s="4">
        <v>15.46</v>
      </c>
      <c r="K648" s="2">
        <v>111</v>
      </c>
      <c r="L648" s="2">
        <v>4</v>
      </c>
      <c r="M648" s="3">
        <v>36114</v>
      </c>
      <c r="N648" t="str" cm="1">
        <f t="array" ref="N648">_xlfn.IFS(Table1_36[[#This Row],[Patient Satisfaction Score]]&gt;=83,"High",H648&lt;=75,"Low",TRUE,"Moderate")</f>
        <v>Moderate</v>
      </c>
      <c r="O648" t="str">
        <f t="shared" si="10"/>
        <v>Adult</v>
      </c>
    </row>
    <row r="649" spans="1:15">
      <c r="A649" t="s">
        <v>717</v>
      </c>
      <c r="B649" t="s">
        <v>78</v>
      </c>
      <c r="C649" t="s">
        <v>15</v>
      </c>
      <c r="D649" t="s">
        <v>16</v>
      </c>
      <c r="E649" s="2">
        <v>42</v>
      </c>
      <c r="F649" t="s">
        <v>17</v>
      </c>
      <c r="G649" t="s">
        <v>18</v>
      </c>
      <c r="H649" s="2">
        <v>71</v>
      </c>
      <c r="I649" s="3">
        <v>8087</v>
      </c>
      <c r="J649" s="4">
        <v>15.78</v>
      </c>
      <c r="K649" s="2">
        <v>72</v>
      </c>
      <c r="L649" s="2">
        <v>4</v>
      </c>
      <c r="M649" s="3">
        <v>35086</v>
      </c>
      <c r="N649" t="str" cm="1">
        <f t="array" ref="N649">_xlfn.IFS(Table1_36[[#This Row],[Patient Satisfaction Score]]&gt;=83,"High",H649&lt;=75,"Low",TRUE,"Moderate")</f>
        <v>Low</v>
      </c>
      <c r="O649" t="str">
        <f t="shared" si="10"/>
        <v>Adult</v>
      </c>
    </row>
    <row r="650" spans="1:15">
      <c r="A650" t="s">
        <v>718</v>
      </c>
      <c r="B650" t="s">
        <v>109</v>
      </c>
      <c r="C650" t="s">
        <v>30</v>
      </c>
      <c r="D650" t="s">
        <v>16</v>
      </c>
      <c r="E650" s="2">
        <v>37</v>
      </c>
      <c r="F650" t="s">
        <v>17</v>
      </c>
      <c r="G650" t="s">
        <v>18</v>
      </c>
      <c r="H650" s="2">
        <v>86</v>
      </c>
      <c r="I650" s="3">
        <v>4458</v>
      </c>
      <c r="J650" s="4">
        <v>13.66</v>
      </c>
      <c r="K650" s="2">
        <v>65</v>
      </c>
      <c r="L650" s="2">
        <v>5</v>
      </c>
      <c r="M650" s="3">
        <v>15328</v>
      </c>
      <c r="N650" t="str" cm="1">
        <f t="array" ref="N650">_xlfn.IFS(Table1_36[[#This Row],[Patient Satisfaction Score]]&gt;=83,"High",H650&lt;=75,"Low",TRUE,"Moderate")</f>
        <v>High</v>
      </c>
      <c r="O650" t="str">
        <f t="shared" si="10"/>
        <v>Adult</v>
      </c>
    </row>
    <row r="651" spans="1:15">
      <c r="A651" t="s">
        <v>719</v>
      </c>
      <c r="B651" t="s">
        <v>187</v>
      </c>
      <c r="C651" t="s">
        <v>30</v>
      </c>
      <c r="D651" t="s">
        <v>27</v>
      </c>
      <c r="E651" s="2">
        <v>29</v>
      </c>
      <c r="F651" t="s">
        <v>17</v>
      </c>
      <c r="G651" t="s">
        <v>18</v>
      </c>
      <c r="H651" s="2">
        <v>78</v>
      </c>
      <c r="I651" s="3">
        <v>3274</v>
      </c>
      <c r="J651" s="4">
        <v>18.440000000000001</v>
      </c>
      <c r="K651" s="2">
        <v>102</v>
      </c>
      <c r="L651" s="2">
        <v>4</v>
      </c>
      <c r="M651" s="3">
        <v>18393</v>
      </c>
      <c r="N651" t="str" cm="1">
        <f t="array" ref="N651">_xlfn.IFS(Table1_36[[#This Row],[Patient Satisfaction Score]]&gt;=83,"High",H651&lt;=75,"Low",TRUE,"Moderate")</f>
        <v>Moderate</v>
      </c>
      <c r="O651" t="str">
        <f t="shared" si="10"/>
        <v>Adult</v>
      </c>
    </row>
    <row r="652" spans="1:15">
      <c r="A652" t="s">
        <v>720</v>
      </c>
      <c r="B652" t="s">
        <v>29</v>
      </c>
      <c r="C652" t="s">
        <v>30</v>
      </c>
      <c r="D652" t="s">
        <v>16</v>
      </c>
      <c r="E652" s="2">
        <v>9</v>
      </c>
      <c r="F652" t="s">
        <v>22</v>
      </c>
      <c r="G652" t="s">
        <v>31</v>
      </c>
      <c r="H652" s="2">
        <v>76</v>
      </c>
      <c r="I652" s="3">
        <v>3658</v>
      </c>
      <c r="J652" s="4">
        <v>15.75</v>
      </c>
      <c r="K652" s="2">
        <v>65</v>
      </c>
      <c r="L652" s="2">
        <v>4</v>
      </c>
      <c r="M652" s="3">
        <v>14538</v>
      </c>
      <c r="N652" t="str" cm="1">
        <f t="array" ref="N652">_xlfn.IFS(Table1_36[[#This Row],[Patient Satisfaction Score]]&gt;=83,"High",H652&lt;=75,"Low",TRUE,"Moderate")</f>
        <v>Moderate</v>
      </c>
      <c r="O652" t="str">
        <f t="shared" si="10"/>
        <v>Pediatric</v>
      </c>
    </row>
    <row r="653" spans="1:15">
      <c r="A653" t="s">
        <v>721</v>
      </c>
      <c r="B653" t="s">
        <v>33</v>
      </c>
      <c r="C653" t="s">
        <v>26</v>
      </c>
      <c r="D653" t="s">
        <v>27</v>
      </c>
      <c r="E653" s="2">
        <v>51</v>
      </c>
      <c r="F653" t="s">
        <v>34</v>
      </c>
      <c r="G653" t="s">
        <v>31</v>
      </c>
      <c r="H653" s="2">
        <v>92</v>
      </c>
      <c r="I653" s="3">
        <v>2393</v>
      </c>
      <c r="J653" s="4">
        <v>9.7200000000000006</v>
      </c>
      <c r="K653" s="2">
        <v>13</v>
      </c>
      <c r="L653" s="2">
        <v>4</v>
      </c>
      <c r="M653" s="3">
        <v>6747</v>
      </c>
      <c r="N653" t="str" cm="1">
        <f t="array" ref="N653">_xlfn.IFS(Table1_36[[#This Row],[Patient Satisfaction Score]]&gt;=83,"High",H653&lt;=75,"Low",TRUE,"Moderate")</f>
        <v>High</v>
      </c>
      <c r="O653" t="str">
        <f t="shared" si="10"/>
        <v>Adult</v>
      </c>
    </row>
    <row r="654" spans="1:15">
      <c r="A654" t="s">
        <v>722</v>
      </c>
      <c r="B654" t="s">
        <v>25</v>
      </c>
      <c r="C654" t="s">
        <v>39</v>
      </c>
      <c r="D654" t="s">
        <v>16</v>
      </c>
      <c r="E654" s="2">
        <v>10</v>
      </c>
      <c r="F654" t="s">
        <v>22</v>
      </c>
      <c r="G654" t="s">
        <v>40</v>
      </c>
      <c r="H654" s="2">
        <v>87</v>
      </c>
      <c r="I654" s="3">
        <v>2703</v>
      </c>
      <c r="J654" s="4">
        <v>6.01</v>
      </c>
      <c r="K654" s="2">
        <v>89</v>
      </c>
      <c r="L654" s="2">
        <v>4</v>
      </c>
      <c r="M654" s="3">
        <v>6923</v>
      </c>
      <c r="N654" t="str" cm="1">
        <f t="array" ref="N654">_xlfn.IFS(Table1_36[[#This Row],[Patient Satisfaction Score]]&gt;=83,"High",H654&lt;=75,"Low",TRUE,"Moderate")</f>
        <v>High</v>
      </c>
      <c r="O654" t="str">
        <f t="shared" si="10"/>
        <v>Pediatric</v>
      </c>
    </row>
    <row r="655" spans="1:15">
      <c r="A655" t="s">
        <v>723</v>
      </c>
      <c r="B655" t="s">
        <v>78</v>
      </c>
      <c r="C655" t="s">
        <v>15</v>
      </c>
      <c r="D655" t="s">
        <v>16</v>
      </c>
      <c r="E655" s="2">
        <v>46</v>
      </c>
      <c r="F655" t="s">
        <v>17</v>
      </c>
      <c r="G655" t="s">
        <v>18</v>
      </c>
      <c r="H655" s="2">
        <v>81</v>
      </c>
      <c r="I655" s="3">
        <v>6246</v>
      </c>
      <c r="J655" s="4">
        <v>19.97</v>
      </c>
      <c r="K655" s="2">
        <v>73</v>
      </c>
      <c r="L655" s="2">
        <v>3</v>
      </c>
      <c r="M655" s="3">
        <v>21609</v>
      </c>
      <c r="N655" t="str" cm="1">
        <f t="array" ref="N655">_xlfn.IFS(Table1_36[[#This Row],[Patient Satisfaction Score]]&gt;=83,"High",H655&lt;=75,"Low",TRUE,"Moderate")</f>
        <v>Moderate</v>
      </c>
      <c r="O655" t="str">
        <f t="shared" si="10"/>
        <v>Adult</v>
      </c>
    </row>
    <row r="656" spans="1:15">
      <c r="A656" t="s">
        <v>724</v>
      </c>
      <c r="B656" t="s">
        <v>95</v>
      </c>
      <c r="C656" t="s">
        <v>52</v>
      </c>
      <c r="D656" t="s">
        <v>72</v>
      </c>
      <c r="E656" s="2">
        <v>68</v>
      </c>
      <c r="F656" t="s">
        <v>34</v>
      </c>
      <c r="G656" t="s">
        <v>23</v>
      </c>
      <c r="H656" s="2">
        <v>68</v>
      </c>
      <c r="I656" s="3">
        <v>9348</v>
      </c>
      <c r="J656" s="4">
        <v>18.649999999999999</v>
      </c>
      <c r="K656" s="2">
        <v>116</v>
      </c>
      <c r="L656" s="2">
        <v>3</v>
      </c>
      <c r="M656" s="3">
        <v>27496</v>
      </c>
      <c r="N656" t="str" cm="1">
        <f t="array" ref="N656">_xlfn.IFS(Table1_36[[#This Row],[Patient Satisfaction Score]]&gt;=83,"High",H656&lt;=75,"Low",TRUE,"Moderate")</f>
        <v>Low</v>
      </c>
      <c r="O656" t="str">
        <f t="shared" si="10"/>
        <v>Adult</v>
      </c>
    </row>
    <row r="657" spans="1:15">
      <c r="A657" t="s">
        <v>725</v>
      </c>
      <c r="B657" t="s">
        <v>56</v>
      </c>
      <c r="C657" t="s">
        <v>45</v>
      </c>
      <c r="D657" t="s">
        <v>16</v>
      </c>
      <c r="E657" s="2">
        <v>52</v>
      </c>
      <c r="F657" t="s">
        <v>34</v>
      </c>
      <c r="G657" t="s">
        <v>40</v>
      </c>
      <c r="H657" s="2">
        <v>85</v>
      </c>
      <c r="I657" s="3">
        <v>6936</v>
      </c>
      <c r="J657" s="4">
        <v>18.86</v>
      </c>
      <c r="K657" s="2">
        <v>78</v>
      </c>
      <c r="L657" s="2">
        <v>5</v>
      </c>
      <c r="M657" s="3">
        <v>36310</v>
      </c>
      <c r="N657" t="str" cm="1">
        <f t="array" ref="N657">_xlfn.IFS(Table1_36[[#This Row],[Patient Satisfaction Score]]&gt;=83,"High",H657&lt;=75,"Low",TRUE,"Moderate")</f>
        <v>High</v>
      </c>
      <c r="O657" t="str">
        <f t="shared" si="10"/>
        <v>Adult</v>
      </c>
    </row>
    <row r="658" spans="1:15">
      <c r="A658" t="s">
        <v>726</v>
      </c>
      <c r="B658" t="s">
        <v>78</v>
      </c>
      <c r="C658" t="s">
        <v>15</v>
      </c>
      <c r="D658" t="s">
        <v>27</v>
      </c>
      <c r="E658" s="2">
        <v>61</v>
      </c>
      <c r="F658" t="s">
        <v>34</v>
      </c>
      <c r="G658" t="s">
        <v>18</v>
      </c>
      <c r="H658" s="2">
        <v>67</v>
      </c>
      <c r="I658" s="3">
        <v>6354</v>
      </c>
      <c r="J658" s="4">
        <v>19.03</v>
      </c>
      <c r="K658" s="2">
        <v>95</v>
      </c>
      <c r="L658" s="2">
        <v>4</v>
      </c>
      <c r="M658" s="3">
        <v>37189</v>
      </c>
      <c r="N658" t="str" cm="1">
        <f t="array" ref="N658">_xlfn.IFS(Table1_36[[#This Row],[Patient Satisfaction Score]]&gt;=83,"High",H658&lt;=75,"Low",TRUE,"Moderate")</f>
        <v>Low</v>
      </c>
      <c r="O658" t="str">
        <f t="shared" si="10"/>
        <v>Adult</v>
      </c>
    </row>
    <row r="659" spans="1:15">
      <c r="A659" t="s">
        <v>727</v>
      </c>
      <c r="B659" t="s">
        <v>47</v>
      </c>
      <c r="C659" t="s">
        <v>48</v>
      </c>
      <c r="D659" t="s">
        <v>16</v>
      </c>
      <c r="E659" s="2">
        <v>46</v>
      </c>
      <c r="F659" t="s">
        <v>22</v>
      </c>
      <c r="G659" t="s">
        <v>49</v>
      </c>
      <c r="H659" s="2">
        <v>80</v>
      </c>
      <c r="I659" s="3">
        <v>6624</v>
      </c>
      <c r="J659" s="4">
        <v>8.73</v>
      </c>
      <c r="K659" s="2">
        <v>65</v>
      </c>
      <c r="L659" s="2">
        <v>4</v>
      </c>
      <c r="M659" s="3">
        <v>28021</v>
      </c>
      <c r="N659" t="str" cm="1">
        <f t="array" ref="N659">_xlfn.IFS(Table1_36[[#This Row],[Patient Satisfaction Score]]&gt;=83,"High",H659&lt;=75,"Low",TRUE,"Moderate")</f>
        <v>Moderate</v>
      </c>
      <c r="O659" t="str">
        <f t="shared" si="10"/>
        <v>Adult</v>
      </c>
    </row>
    <row r="660" spans="1:15">
      <c r="A660" t="s">
        <v>728</v>
      </c>
      <c r="B660" t="s">
        <v>185</v>
      </c>
      <c r="C660" t="s">
        <v>52</v>
      </c>
      <c r="D660" t="s">
        <v>27</v>
      </c>
      <c r="E660" s="2">
        <v>53</v>
      </c>
      <c r="F660" t="s">
        <v>34</v>
      </c>
      <c r="G660" t="s">
        <v>18</v>
      </c>
      <c r="H660" s="2">
        <v>81</v>
      </c>
      <c r="I660" s="3">
        <v>9409</v>
      </c>
      <c r="J660" s="4">
        <v>14.01</v>
      </c>
      <c r="K660" s="2">
        <v>68</v>
      </c>
      <c r="L660" s="2">
        <v>4</v>
      </c>
      <c r="M660" s="3">
        <v>31191</v>
      </c>
      <c r="N660" t="str" cm="1">
        <f t="array" ref="N660">_xlfn.IFS(Table1_36[[#This Row],[Patient Satisfaction Score]]&gt;=83,"High",H660&lt;=75,"Low",TRUE,"Moderate")</f>
        <v>Moderate</v>
      </c>
      <c r="O660" t="str">
        <f t="shared" si="10"/>
        <v>Adult</v>
      </c>
    </row>
    <row r="661" spans="1:15">
      <c r="A661" t="s">
        <v>729</v>
      </c>
      <c r="B661" t="s">
        <v>60</v>
      </c>
      <c r="C661" t="s">
        <v>52</v>
      </c>
      <c r="D661" t="s">
        <v>27</v>
      </c>
      <c r="E661" s="2">
        <v>54</v>
      </c>
      <c r="F661" t="s">
        <v>34</v>
      </c>
      <c r="G661" t="s">
        <v>23</v>
      </c>
      <c r="H661" s="2">
        <v>77</v>
      </c>
      <c r="I661" s="3">
        <v>10346</v>
      </c>
      <c r="J661" s="4">
        <v>16.16</v>
      </c>
      <c r="K661" s="2">
        <v>62</v>
      </c>
      <c r="L661" s="2">
        <v>3</v>
      </c>
      <c r="M661" s="3">
        <v>40547</v>
      </c>
      <c r="N661" t="str" cm="1">
        <f t="array" ref="N661">_xlfn.IFS(Table1_36[[#This Row],[Patient Satisfaction Score]]&gt;=83,"High",H661&lt;=75,"Low",TRUE,"Moderate")</f>
        <v>Moderate</v>
      </c>
      <c r="O661" t="str">
        <f t="shared" si="10"/>
        <v>Adult</v>
      </c>
    </row>
    <row r="662" spans="1:15">
      <c r="A662" t="s">
        <v>730</v>
      </c>
      <c r="B662" t="s">
        <v>95</v>
      </c>
      <c r="C662" t="s">
        <v>52</v>
      </c>
      <c r="D662" t="s">
        <v>27</v>
      </c>
      <c r="E662" s="2">
        <v>25</v>
      </c>
      <c r="F662" t="s">
        <v>22</v>
      </c>
      <c r="G662" t="s">
        <v>23</v>
      </c>
      <c r="H662" s="2">
        <v>80</v>
      </c>
      <c r="I662" s="3">
        <v>5466</v>
      </c>
      <c r="J662" s="4">
        <v>15.65</v>
      </c>
      <c r="K662" s="2">
        <v>52</v>
      </c>
      <c r="L662" s="2">
        <v>4</v>
      </c>
      <c r="M662" s="3">
        <v>30802</v>
      </c>
      <c r="N662" t="str" cm="1">
        <f t="array" ref="N662">_xlfn.IFS(Table1_36[[#This Row],[Patient Satisfaction Score]]&gt;=83,"High",H662&lt;=75,"Low",TRUE,"Moderate")</f>
        <v>Moderate</v>
      </c>
      <c r="O662" t="str">
        <f t="shared" si="10"/>
        <v>Adult</v>
      </c>
    </row>
    <row r="663" spans="1:15">
      <c r="A663" t="s">
        <v>731</v>
      </c>
      <c r="B663" t="s">
        <v>38</v>
      </c>
      <c r="C663" t="s">
        <v>39</v>
      </c>
      <c r="D663" t="s">
        <v>16</v>
      </c>
      <c r="E663" s="2">
        <v>7</v>
      </c>
      <c r="F663" t="s">
        <v>34</v>
      </c>
      <c r="G663" t="s">
        <v>31</v>
      </c>
      <c r="H663" s="2">
        <v>85</v>
      </c>
      <c r="I663" s="3">
        <v>2970</v>
      </c>
      <c r="J663" s="4">
        <v>9.9600000000000009</v>
      </c>
      <c r="K663" s="2">
        <v>45</v>
      </c>
      <c r="L663" s="2">
        <v>4</v>
      </c>
      <c r="M663" s="3">
        <v>10559</v>
      </c>
      <c r="N663" t="str" cm="1">
        <f t="array" ref="N663">_xlfn.IFS(Table1_36[[#This Row],[Patient Satisfaction Score]]&gt;=83,"High",H663&lt;=75,"Low",TRUE,"Moderate")</f>
        <v>High</v>
      </c>
      <c r="O663" t="str">
        <f t="shared" si="10"/>
        <v>Pediatric</v>
      </c>
    </row>
    <row r="664" spans="1:15">
      <c r="A664" t="s">
        <v>732</v>
      </c>
      <c r="B664" t="s">
        <v>58</v>
      </c>
      <c r="C664" t="s">
        <v>48</v>
      </c>
      <c r="D664" t="s">
        <v>27</v>
      </c>
      <c r="E664" s="2">
        <v>33</v>
      </c>
      <c r="F664" t="s">
        <v>17</v>
      </c>
      <c r="G664" t="s">
        <v>70</v>
      </c>
      <c r="H664" s="2">
        <v>82</v>
      </c>
      <c r="I664" s="3">
        <v>5786</v>
      </c>
      <c r="J664" s="4">
        <v>8.35</v>
      </c>
      <c r="K664" s="2">
        <v>56</v>
      </c>
      <c r="L664" s="2">
        <v>4</v>
      </c>
      <c r="M664" s="3">
        <v>17104</v>
      </c>
      <c r="N664" t="str" cm="1">
        <f t="array" ref="N664">_xlfn.IFS(Table1_36[[#This Row],[Patient Satisfaction Score]]&gt;=83,"High",H664&lt;=75,"Low",TRUE,"Moderate")</f>
        <v>Moderate</v>
      </c>
      <c r="O664" t="str">
        <f t="shared" si="10"/>
        <v>Adult</v>
      </c>
    </row>
    <row r="665" spans="1:15">
      <c r="A665" t="s">
        <v>733</v>
      </c>
      <c r="B665" t="s">
        <v>74</v>
      </c>
      <c r="C665" t="s">
        <v>45</v>
      </c>
      <c r="D665" t="s">
        <v>72</v>
      </c>
      <c r="E665" s="2">
        <v>22</v>
      </c>
      <c r="F665" t="s">
        <v>17</v>
      </c>
      <c r="G665" t="s">
        <v>31</v>
      </c>
      <c r="H665" s="2">
        <v>86</v>
      </c>
      <c r="I665" s="3">
        <v>11423</v>
      </c>
      <c r="J665" s="4">
        <v>11.96</v>
      </c>
      <c r="K665" s="2">
        <v>105</v>
      </c>
      <c r="L665" s="2">
        <v>4</v>
      </c>
      <c r="M665" s="3">
        <v>55851</v>
      </c>
      <c r="N665" t="str" cm="1">
        <f t="array" ref="N665">_xlfn.IFS(Table1_36[[#This Row],[Patient Satisfaction Score]]&gt;=83,"High",H665&lt;=75,"Low",TRUE,"Moderate")</f>
        <v>High</v>
      </c>
      <c r="O665" t="str">
        <f t="shared" si="10"/>
        <v>Adult</v>
      </c>
    </row>
    <row r="666" spans="1:15">
      <c r="A666" t="s">
        <v>734</v>
      </c>
      <c r="B666" t="s">
        <v>58</v>
      </c>
      <c r="C666" t="s">
        <v>48</v>
      </c>
      <c r="D666" t="s">
        <v>27</v>
      </c>
      <c r="E666" s="2">
        <v>17</v>
      </c>
      <c r="F666" t="s">
        <v>17</v>
      </c>
      <c r="G666" t="s">
        <v>49</v>
      </c>
      <c r="H666" s="2">
        <v>80</v>
      </c>
      <c r="I666" s="3">
        <v>5936</v>
      </c>
      <c r="J666" s="4">
        <v>9.8000000000000007</v>
      </c>
      <c r="K666" s="2">
        <v>90</v>
      </c>
      <c r="L666" s="2">
        <v>4</v>
      </c>
      <c r="M666" s="3">
        <v>32133</v>
      </c>
      <c r="N666" t="str" cm="1">
        <f t="array" ref="N666">_xlfn.IFS(Table1_36[[#This Row],[Patient Satisfaction Score]]&gt;=83,"High",H666&lt;=75,"Low",TRUE,"Moderate")</f>
        <v>Moderate</v>
      </c>
      <c r="O666" t="str">
        <f t="shared" si="10"/>
        <v>Pediatric</v>
      </c>
    </row>
    <row r="667" spans="1:15">
      <c r="A667" t="s">
        <v>735</v>
      </c>
      <c r="B667" t="s">
        <v>25</v>
      </c>
      <c r="C667" t="s">
        <v>26</v>
      </c>
      <c r="D667" t="s">
        <v>27</v>
      </c>
      <c r="E667" s="2">
        <v>66</v>
      </c>
      <c r="F667" t="s">
        <v>22</v>
      </c>
      <c r="G667" t="s">
        <v>23</v>
      </c>
      <c r="H667" s="2">
        <v>82</v>
      </c>
      <c r="I667" s="3">
        <v>1954</v>
      </c>
      <c r="J667" s="4">
        <v>8.18</v>
      </c>
      <c r="K667" s="2">
        <v>68</v>
      </c>
      <c r="L667" s="2">
        <v>4</v>
      </c>
      <c r="M667" s="3">
        <v>10224</v>
      </c>
      <c r="N667" t="str" cm="1">
        <f t="array" ref="N667">_xlfn.IFS(Table1_36[[#This Row],[Patient Satisfaction Score]]&gt;=83,"High",H667&lt;=75,"Low",TRUE,"Moderate")</f>
        <v>Moderate</v>
      </c>
      <c r="O667" t="str">
        <f t="shared" si="10"/>
        <v>Adult</v>
      </c>
    </row>
    <row r="668" spans="1:15">
      <c r="A668" t="s">
        <v>736</v>
      </c>
      <c r="B668" t="s">
        <v>78</v>
      </c>
      <c r="C668" t="s">
        <v>15</v>
      </c>
      <c r="D668" t="s">
        <v>27</v>
      </c>
      <c r="E668" s="2">
        <v>40</v>
      </c>
      <c r="F668" t="s">
        <v>34</v>
      </c>
      <c r="G668" t="s">
        <v>23</v>
      </c>
      <c r="H668" s="2">
        <v>62</v>
      </c>
      <c r="I668" s="3">
        <v>5543</v>
      </c>
      <c r="J668" s="4">
        <v>23.78</v>
      </c>
      <c r="K668" s="2">
        <v>100</v>
      </c>
      <c r="L668" s="2">
        <v>3</v>
      </c>
      <c r="M668" s="3">
        <v>28643</v>
      </c>
      <c r="N668" t="str" cm="1">
        <f t="array" ref="N668">_xlfn.IFS(Table1_36[[#This Row],[Patient Satisfaction Score]]&gt;=83,"High",H668&lt;=75,"Low",TRUE,"Moderate")</f>
        <v>Low</v>
      </c>
      <c r="O668" t="str">
        <f t="shared" si="10"/>
        <v>Adult</v>
      </c>
    </row>
    <row r="669" spans="1:15">
      <c r="A669" t="s">
        <v>737</v>
      </c>
      <c r="B669" t="s">
        <v>187</v>
      </c>
      <c r="C669" t="s">
        <v>30</v>
      </c>
      <c r="D669" t="s">
        <v>16</v>
      </c>
      <c r="E669" s="2">
        <v>47</v>
      </c>
      <c r="F669" t="s">
        <v>17</v>
      </c>
      <c r="G669" t="s">
        <v>18</v>
      </c>
      <c r="H669" s="2">
        <v>70</v>
      </c>
      <c r="I669" s="3">
        <v>2879</v>
      </c>
      <c r="J669" s="4">
        <v>21.41</v>
      </c>
      <c r="K669" s="2">
        <v>107</v>
      </c>
      <c r="L669" s="2">
        <v>3</v>
      </c>
      <c r="M669" s="3">
        <v>16389</v>
      </c>
      <c r="N669" t="str" cm="1">
        <f t="array" ref="N669">_xlfn.IFS(Table1_36[[#This Row],[Patient Satisfaction Score]]&gt;=83,"High",H669&lt;=75,"Low",TRUE,"Moderate")</f>
        <v>Low</v>
      </c>
      <c r="O669" t="str">
        <f t="shared" si="10"/>
        <v>Adult</v>
      </c>
    </row>
    <row r="670" spans="1:15">
      <c r="A670" t="s">
        <v>738</v>
      </c>
      <c r="B670" t="s">
        <v>150</v>
      </c>
      <c r="C670" t="s">
        <v>48</v>
      </c>
      <c r="D670" t="s">
        <v>16</v>
      </c>
      <c r="E670" s="2">
        <v>72</v>
      </c>
      <c r="F670" t="s">
        <v>34</v>
      </c>
      <c r="G670" t="s">
        <v>31</v>
      </c>
      <c r="H670" s="2">
        <v>79</v>
      </c>
      <c r="I670" s="3">
        <v>7047</v>
      </c>
      <c r="J670" s="4">
        <v>8.14</v>
      </c>
      <c r="K670" s="2">
        <v>91</v>
      </c>
      <c r="L670" s="2">
        <v>4</v>
      </c>
      <c r="M670" s="3">
        <v>33076</v>
      </c>
      <c r="N670" t="str" cm="1">
        <f t="array" ref="N670">_xlfn.IFS(Table1_36[[#This Row],[Patient Satisfaction Score]]&gt;=83,"High",H670&lt;=75,"Low",TRUE,"Moderate")</f>
        <v>Moderate</v>
      </c>
      <c r="O670" t="str">
        <f t="shared" si="10"/>
        <v>Adult</v>
      </c>
    </row>
    <row r="671" spans="1:15">
      <c r="A671" t="s">
        <v>739</v>
      </c>
      <c r="B671" t="s">
        <v>25</v>
      </c>
      <c r="C671" t="s">
        <v>39</v>
      </c>
      <c r="D671" t="s">
        <v>27</v>
      </c>
      <c r="E671" s="2">
        <v>9</v>
      </c>
      <c r="F671" t="s">
        <v>17</v>
      </c>
      <c r="G671" t="s">
        <v>23</v>
      </c>
      <c r="H671" s="2">
        <v>95</v>
      </c>
      <c r="I671" s="3">
        <v>3419</v>
      </c>
      <c r="J671" s="4">
        <v>3.13</v>
      </c>
      <c r="K671" s="2">
        <v>53</v>
      </c>
      <c r="L671" s="2">
        <v>4</v>
      </c>
      <c r="M671" s="3">
        <v>9833</v>
      </c>
      <c r="N671" t="str" cm="1">
        <f t="array" ref="N671">_xlfn.IFS(Table1_36[[#This Row],[Patient Satisfaction Score]]&gt;=83,"High",H671&lt;=75,"Low",TRUE,"Moderate")</f>
        <v>High</v>
      </c>
      <c r="O671" t="str">
        <f t="shared" si="10"/>
        <v>Pediatric</v>
      </c>
    </row>
    <row r="672" spans="1:15">
      <c r="A672" t="s">
        <v>740</v>
      </c>
      <c r="B672" t="s">
        <v>60</v>
      </c>
      <c r="C672" t="s">
        <v>52</v>
      </c>
      <c r="D672" t="s">
        <v>16</v>
      </c>
      <c r="E672" s="2">
        <v>60</v>
      </c>
      <c r="F672" t="s">
        <v>22</v>
      </c>
      <c r="G672" t="s">
        <v>23</v>
      </c>
      <c r="H672" s="2">
        <v>89</v>
      </c>
      <c r="I672" s="3">
        <v>9363</v>
      </c>
      <c r="J672" s="4">
        <v>9.08</v>
      </c>
      <c r="K672" s="2">
        <v>68</v>
      </c>
      <c r="L672" s="2">
        <v>4</v>
      </c>
      <c r="M672" s="3">
        <v>27855</v>
      </c>
      <c r="N672" t="str" cm="1">
        <f t="array" ref="N672">_xlfn.IFS(Table1_36[[#This Row],[Patient Satisfaction Score]]&gt;=83,"High",H672&lt;=75,"Low",TRUE,"Moderate")</f>
        <v>High</v>
      </c>
      <c r="O672" t="str">
        <f t="shared" si="10"/>
        <v>Adult</v>
      </c>
    </row>
    <row r="673" spans="1:15">
      <c r="A673" t="s">
        <v>741</v>
      </c>
      <c r="B673" t="s">
        <v>20</v>
      </c>
      <c r="C673" t="s">
        <v>21</v>
      </c>
      <c r="D673" t="s">
        <v>27</v>
      </c>
      <c r="E673" s="2">
        <v>34</v>
      </c>
      <c r="F673" t="s">
        <v>34</v>
      </c>
      <c r="G673" t="s">
        <v>40</v>
      </c>
      <c r="H673" s="2">
        <v>77</v>
      </c>
      <c r="I673" s="3">
        <v>6129</v>
      </c>
      <c r="J673" s="4">
        <v>13</v>
      </c>
      <c r="K673" s="2">
        <v>73</v>
      </c>
      <c r="L673" s="2">
        <v>4</v>
      </c>
      <c r="M673" s="3">
        <v>17218</v>
      </c>
      <c r="N673" t="str" cm="1">
        <f t="array" ref="N673">_xlfn.IFS(Table1_36[[#This Row],[Patient Satisfaction Score]]&gt;=83,"High",H673&lt;=75,"Low",TRUE,"Moderate")</f>
        <v>Moderate</v>
      </c>
      <c r="O673" t="str">
        <f t="shared" si="10"/>
        <v>Adult</v>
      </c>
    </row>
    <row r="674" spans="1:15">
      <c r="A674" t="s">
        <v>742</v>
      </c>
      <c r="B674" t="s">
        <v>25</v>
      </c>
      <c r="C674" t="s">
        <v>26</v>
      </c>
      <c r="D674" t="s">
        <v>16</v>
      </c>
      <c r="E674" s="2">
        <v>21</v>
      </c>
      <c r="F674" t="s">
        <v>17</v>
      </c>
      <c r="G674" t="s">
        <v>70</v>
      </c>
      <c r="H674" s="2">
        <v>82</v>
      </c>
      <c r="I674" s="3">
        <v>2216</v>
      </c>
      <c r="J674" s="4">
        <v>8.33</v>
      </c>
      <c r="K674" s="2">
        <v>81</v>
      </c>
      <c r="L674" s="2">
        <v>4</v>
      </c>
      <c r="M674" s="3">
        <v>12743</v>
      </c>
      <c r="N674" t="str" cm="1">
        <f t="array" ref="N674">_xlfn.IFS(Table1_36[[#This Row],[Patient Satisfaction Score]]&gt;=83,"High",H674&lt;=75,"Low",TRUE,"Moderate")</f>
        <v>Moderate</v>
      </c>
      <c r="O674" t="str">
        <f t="shared" si="10"/>
        <v>Adult</v>
      </c>
    </row>
    <row r="675" spans="1:15">
      <c r="A675" t="s">
        <v>743</v>
      </c>
      <c r="B675" t="s">
        <v>122</v>
      </c>
      <c r="C675" t="s">
        <v>48</v>
      </c>
      <c r="D675" t="s">
        <v>27</v>
      </c>
      <c r="E675" s="2">
        <v>69</v>
      </c>
      <c r="F675" t="s">
        <v>17</v>
      </c>
      <c r="G675" t="s">
        <v>23</v>
      </c>
      <c r="H675" s="2">
        <v>77</v>
      </c>
      <c r="I675" s="3">
        <v>8131</v>
      </c>
      <c r="J675" s="4">
        <v>10.16</v>
      </c>
      <c r="K675" s="2">
        <v>74</v>
      </c>
      <c r="L675" s="2">
        <v>4</v>
      </c>
      <c r="M675" s="3">
        <v>30607</v>
      </c>
      <c r="N675" t="str" cm="1">
        <f t="array" ref="N675">_xlfn.IFS(Table1_36[[#This Row],[Patient Satisfaction Score]]&gt;=83,"High",H675&lt;=75,"Low",TRUE,"Moderate")</f>
        <v>Moderate</v>
      </c>
      <c r="O675" t="str">
        <f t="shared" si="10"/>
        <v>Adult</v>
      </c>
    </row>
    <row r="676" spans="1:15">
      <c r="A676" t="s">
        <v>744</v>
      </c>
      <c r="B676" t="s">
        <v>129</v>
      </c>
      <c r="C676" t="s">
        <v>21</v>
      </c>
      <c r="D676" t="s">
        <v>16</v>
      </c>
      <c r="E676" s="2">
        <v>32</v>
      </c>
      <c r="F676" t="s">
        <v>22</v>
      </c>
      <c r="G676" t="s">
        <v>49</v>
      </c>
      <c r="H676" s="2">
        <v>80</v>
      </c>
      <c r="I676" s="3">
        <v>7209</v>
      </c>
      <c r="J676" s="4">
        <v>6.31</v>
      </c>
      <c r="K676" s="2">
        <v>93</v>
      </c>
      <c r="L676" s="2">
        <v>4</v>
      </c>
      <c r="M676" s="3">
        <v>38612</v>
      </c>
      <c r="N676" t="str" cm="1">
        <f t="array" ref="N676">_xlfn.IFS(Table1_36[[#This Row],[Patient Satisfaction Score]]&gt;=83,"High",H676&lt;=75,"Low",TRUE,"Moderate")</f>
        <v>Moderate</v>
      </c>
      <c r="O676" t="str">
        <f t="shared" si="10"/>
        <v>Adult</v>
      </c>
    </row>
    <row r="677" spans="1:15">
      <c r="A677" t="s">
        <v>745</v>
      </c>
      <c r="B677" t="s">
        <v>97</v>
      </c>
      <c r="C677" t="s">
        <v>30</v>
      </c>
      <c r="D677" t="s">
        <v>16</v>
      </c>
      <c r="E677" s="2">
        <v>72</v>
      </c>
      <c r="F677" t="s">
        <v>34</v>
      </c>
      <c r="G677" t="s">
        <v>18</v>
      </c>
      <c r="H677" s="2">
        <v>81</v>
      </c>
      <c r="I677" s="3">
        <v>4148</v>
      </c>
      <c r="J677" s="4">
        <v>18.91</v>
      </c>
      <c r="K677" s="2">
        <v>103</v>
      </c>
      <c r="L677" s="2">
        <v>3</v>
      </c>
      <c r="M677" s="3">
        <v>19516</v>
      </c>
      <c r="N677" t="str" cm="1">
        <f t="array" ref="N677">_xlfn.IFS(Table1_36[[#This Row],[Patient Satisfaction Score]]&gt;=83,"High",H677&lt;=75,"Low",TRUE,"Moderate")</f>
        <v>Moderate</v>
      </c>
      <c r="O677" t="str">
        <f t="shared" si="10"/>
        <v>Adult</v>
      </c>
    </row>
    <row r="678" spans="1:15">
      <c r="A678" t="s">
        <v>746</v>
      </c>
      <c r="B678" t="s">
        <v>54</v>
      </c>
      <c r="C678" t="s">
        <v>15</v>
      </c>
      <c r="D678" t="s">
        <v>72</v>
      </c>
      <c r="E678" s="2">
        <v>23</v>
      </c>
      <c r="F678" t="s">
        <v>34</v>
      </c>
      <c r="G678" t="s">
        <v>49</v>
      </c>
      <c r="H678" s="2">
        <v>80</v>
      </c>
      <c r="I678" s="3">
        <v>6516</v>
      </c>
      <c r="J678" s="4">
        <v>17.96</v>
      </c>
      <c r="K678" s="2">
        <v>79</v>
      </c>
      <c r="L678" s="2">
        <v>4</v>
      </c>
      <c r="M678" s="3">
        <v>23588</v>
      </c>
      <c r="N678" t="str" cm="1">
        <f t="array" ref="N678">_xlfn.IFS(Table1_36[[#This Row],[Patient Satisfaction Score]]&gt;=83,"High",H678&lt;=75,"Low",TRUE,"Moderate")</f>
        <v>Moderate</v>
      </c>
      <c r="O678" t="str">
        <f t="shared" si="10"/>
        <v>Adult</v>
      </c>
    </row>
    <row r="679" spans="1:15">
      <c r="A679" t="s">
        <v>747</v>
      </c>
      <c r="B679" t="s">
        <v>64</v>
      </c>
      <c r="C679" t="s">
        <v>30</v>
      </c>
      <c r="D679" t="s">
        <v>27</v>
      </c>
      <c r="E679" s="2">
        <v>19</v>
      </c>
      <c r="F679" t="s">
        <v>17</v>
      </c>
      <c r="G679" t="s">
        <v>23</v>
      </c>
      <c r="H679" s="2">
        <v>67</v>
      </c>
      <c r="I679" s="3">
        <v>3314</v>
      </c>
      <c r="J679" s="4">
        <v>22.15</v>
      </c>
      <c r="K679" s="2">
        <v>110</v>
      </c>
      <c r="L679" s="2">
        <v>4</v>
      </c>
      <c r="M679" s="3">
        <v>8384</v>
      </c>
      <c r="N679" t="str" cm="1">
        <f t="array" ref="N679">_xlfn.IFS(Table1_36[[#This Row],[Patient Satisfaction Score]]&gt;=83,"High",H679&lt;=75,"Low",TRUE,"Moderate")</f>
        <v>Low</v>
      </c>
      <c r="O679" t="str">
        <f t="shared" si="10"/>
        <v>Adult</v>
      </c>
    </row>
    <row r="680" spans="1:15">
      <c r="A680" t="s">
        <v>748</v>
      </c>
      <c r="B680" t="s">
        <v>103</v>
      </c>
      <c r="C680" t="s">
        <v>26</v>
      </c>
      <c r="D680" t="s">
        <v>16</v>
      </c>
      <c r="E680" s="2">
        <v>46</v>
      </c>
      <c r="F680" t="s">
        <v>22</v>
      </c>
      <c r="G680" t="s">
        <v>18</v>
      </c>
      <c r="H680" s="2">
        <v>90</v>
      </c>
      <c r="I680" s="3">
        <v>3073</v>
      </c>
      <c r="J680" s="4">
        <v>0</v>
      </c>
      <c r="K680" s="2">
        <v>38</v>
      </c>
      <c r="L680" s="2">
        <v>4</v>
      </c>
      <c r="M680" s="3">
        <v>15405</v>
      </c>
      <c r="N680" t="str" cm="1">
        <f t="array" ref="N680">_xlfn.IFS(Table1_36[[#This Row],[Patient Satisfaction Score]]&gt;=83,"High",H680&lt;=75,"Low",TRUE,"Moderate")</f>
        <v>High</v>
      </c>
      <c r="O680" t="str">
        <f t="shared" si="10"/>
        <v>Adult</v>
      </c>
    </row>
    <row r="681" spans="1:15">
      <c r="A681" t="s">
        <v>749</v>
      </c>
      <c r="B681" t="s">
        <v>88</v>
      </c>
      <c r="C681" t="s">
        <v>15</v>
      </c>
      <c r="D681" t="s">
        <v>27</v>
      </c>
      <c r="E681" s="2">
        <v>78</v>
      </c>
      <c r="F681" t="s">
        <v>17</v>
      </c>
      <c r="G681" t="s">
        <v>23</v>
      </c>
      <c r="H681" s="2">
        <v>72</v>
      </c>
      <c r="I681" s="3">
        <v>7940</v>
      </c>
      <c r="J681" s="4">
        <v>13.71</v>
      </c>
      <c r="K681" s="2">
        <v>76</v>
      </c>
      <c r="L681" s="2">
        <v>4</v>
      </c>
      <c r="M681" s="3">
        <v>26428</v>
      </c>
      <c r="N681" t="str" cm="1">
        <f t="array" ref="N681">_xlfn.IFS(Table1_36[[#This Row],[Patient Satisfaction Score]]&gt;=83,"High",H681&lt;=75,"Low",TRUE,"Moderate")</f>
        <v>Low</v>
      </c>
      <c r="O681" t="str">
        <f t="shared" si="10"/>
        <v>Adult</v>
      </c>
    </row>
    <row r="682" spans="1:15">
      <c r="A682" t="s">
        <v>750</v>
      </c>
      <c r="B682" t="s">
        <v>109</v>
      </c>
      <c r="C682" t="s">
        <v>30</v>
      </c>
      <c r="D682" t="s">
        <v>16</v>
      </c>
      <c r="E682" s="2">
        <v>66</v>
      </c>
      <c r="F682" t="s">
        <v>17</v>
      </c>
      <c r="G682" t="s">
        <v>18</v>
      </c>
      <c r="H682" s="2">
        <v>74</v>
      </c>
      <c r="I682" s="3">
        <v>2418</v>
      </c>
      <c r="J682" s="4">
        <v>15.84</v>
      </c>
      <c r="K682" s="2">
        <v>118</v>
      </c>
      <c r="L682" s="2">
        <v>4</v>
      </c>
      <c r="M682" s="3">
        <v>9837</v>
      </c>
      <c r="N682" t="str" cm="1">
        <f t="array" ref="N682">_xlfn.IFS(Table1_36[[#This Row],[Patient Satisfaction Score]]&gt;=83,"High",H682&lt;=75,"Low",TRUE,"Moderate")</f>
        <v>Low</v>
      </c>
      <c r="O682" t="str">
        <f t="shared" si="10"/>
        <v>Adult</v>
      </c>
    </row>
    <row r="683" spans="1:15">
      <c r="A683" t="s">
        <v>751</v>
      </c>
      <c r="B683" t="s">
        <v>185</v>
      </c>
      <c r="C683" t="s">
        <v>52</v>
      </c>
      <c r="D683" t="s">
        <v>27</v>
      </c>
      <c r="E683" s="2">
        <v>16</v>
      </c>
      <c r="F683" t="s">
        <v>22</v>
      </c>
      <c r="G683" t="s">
        <v>31</v>
      </c>
      <c r="H683" s="2">
        <v>76</v>
      </c>
      <c r="I683" s="3">
        <v>5656</v>
      </c>
      <c r="J683" s="4">
        <v>19.260000000000002</v>
      </c>
      <c r="K683" s="2">
        <v>78</v>
      </c>
      <c r="L683" s="2">
        <v>4</v>
      </c>
      <c r="M683" s="3">
        <v>23758</v>
      </c>
      <c r="N683" t="str" cm="1">
        <f t="array" ref="N683">_xlfn.IFS(Table1_36[[#This Row],[Patient Satisfaction Score]]&gt;=83,"High",H683&lt;=75,"Low",TRUE,"Moderate")</f>
        <v>Moderate</v>
      </c>
      <c r="O683" t="str">
        <f t="shared" si="10"/>
        <v>Pediatric</v>
      </c>
    </row>
    <row r="684" spans="1:15">
      <c r="A684" t="s">
        <v>752</v>
      </c>
      <c r="B684" t="s">
        <v>78</v>
      </c>
      <c r="C684" t="s">
        <v>15</v>
      </c>
      <c r="D684" t="s">
        <v>16</v>
      </c>
      <c r="E684" s="2">
        <v>61</v>
      </c>
      <c r="F684" t="s">
        <v>17</v>
      </c>
      <c r="G684" t="s">
        <v>23</v>
      </c>
      <c r="H684" s="2">
        <v>77</v>
      </c>
      <c r="I684" s="3">
        <v>6684</v>
      </c>
      <c r="J684" s="4">
        <v>21.56</v>
      </c>
      <c r="K684" s="2">
        <v>87</v>
      </c>
      <c r="L684" s="2">
        <v>4</v>
      </c>
      <c r="M684" s="3">
        <v>28228</v>
      </c>
      <c r="N684" t="str" cm="1">
        <f t="array" ref="N684">_xlfn.IFS(Table1_36[[#This Row],[Patient Satisfaction Score]]&gt;=83,"High",H684&lt;=75,"Low",TRUE,"Moderate")</f>
        <v>Moderate</v>
      </c>
      <c r="O684" t="str">
        <f t="shared" si="10"/>
        <v>Adult</v>
      </c>
    </row>
    <row r="685" spans="1:15">
      <c r="A685" t="s">
        <v>753</v>
      </c>
      <c r="B685" t="s">
        <v>54</v>
      </c>
      <c r="C685" t="s">
        <v>15</v>
      </c>
      <c r="D685" t="s">
        <v>16</v>
      </c>
      <c r="E685" s="2">
        <v>41</v>
      </c>
      <c r="F685" t="s">
        <v>34</v>
      </c>
      <c r="G685" t="s">
        <v>18</v>
      </c>
      <c r="H685" s="2">
        <v>82</v>
      </c>
      <c r="I685" s="3">
        <v>7394</v>
      </c>
      <c r="J685" s="4">
        <v>15.31</v>
      </c>
      <c r="K685" s="2">
        <v>57</v>
      </c>
      <c r="L685" s="2">
        <v>4</v>
      </c>
      <c r="M685" s="3">
        <v>32279</v>
      </c>
      <c r="N685" t="str" cm="1">
        <f t="array" ref="N685">_xlfn.IFS(Table1_36[[#This Row],[Patient Satisfaction Score]]&gt;=83,"High",H685&lt;=75,"Low",TRUE,"Moderate")</f>
        <v>Moderate</v>
      </c>
      <c r="O685" t="str">
        <f t="shared" si="10"/>
        <v>Adult</v>
      </c>
    </row>
    <row r="686" spans="1:15">
      <c r="A686" t="s">
        <v>754</v>
      </c>
      <c r="B686" t="s">
        <v>80</v>
      </c>
      <c r="C686" t="s">
        <v>15</v>
      </c>
      <c r="D686" t="s">
        <v>27</v>
      </c>
      <c r="E686" s="2">
        <v>59</v>
      </c>
      <c r="F686" t="s">
        <v>34</v>
      </c>
      <c r="G686" t="s">
        <v>23</v>
      </c>
      <c r="H686" s="2">
        <v>74</v>
      </c>
      <c r="I686" s="3">
        <v>6558</v>
      </c>
      <c r="J686" s="4">
        <v>12.24</v>
      </c>
      <c r="K686" s="2">
        <v>128</v>
      </c>
      <c r="L686" s="2">
        <v>3</v>
      </c>
      <c r="M686" s="3">
        <v>26652</v>
      </c>
      <c r="N686" t="str" cm="1">
        <f t="array" ref="N686">_xlfn.IFS(Table1_36[[#This Row],[Patient Satisfaction Score]]&gt;=83,"High",H686&lt;=75,"Low",TRUE,"Moderate")</f>
        <v>Low</v>
      </c>
      <c r="O686" t="str">
        <f t="shared" si="10"/>
        <v>Adult</v>
      </c>
    </row>
    <row r="687" spans="1:15">
      <c r="A687" t="s">
        <v>755</v>
      </c>
      <c r="B687" t="s">
        <v>84</v>
      </c>
      <c r="C687" t="s">
        <v>21</v>
      </c>
      <c r="D687" t="s">
        <v>27</v>
      </c>
      <c r="E687" s="2">
        <v>31</v>
      </c>
      <c r="F687" t="s">
        <v>22</v>
      </c>
      <c r="G687" t="s">
        <v>70</v>
      </c>
      <c r="H687" s="2">
        <v>78</v>
      </c>
      <c r="I687" s="3">
        <v>6079</v>
      </c>
      <c r="J687" s="4">
        <v>10.37</v>
      </c>
      <c r="K687" s="2">
        <v>103</v>
      </c>
      <c r="L687" s="2">
        <v>4</v>
      </c>
      <c r="M687" s="3">
        <v>24110</v>
      </c>
      <c r="N687" t="str" cm="1">
        <f t="array" ref="N687">_xlfn.IFS(Table1_36[[#This Row],[Patient Satisfaction Score]]&gt;=83,"High",H687&lt;=75,"Low",TRUE,"Moderate")</f>
        <v>Moderate</v>
      </c>
      <c r="O687" t="str">
        <f t="shared" si="10"/>
        <v>Adult</v>
      </c>
    </row>
    <row r="688" spans="1:15">
      <c r="A688" t="s">
        <v>756</v>
      </c>
      <c r="B688" t="s">
        <v>74</v>
      </c>
      <c r="C688" t="s">
        <v>45</v>
      </c>
      <c r="D688" t="s">
        <v>27</v>
      </c>
      <c r="E688" s="2">
        <v>27</v>
      </c>
      <c r="F688" t="s">
        <v>34</v>
      </c>
      <c r="G688" t="s">
        <v>18</v>
      </c>
      <c r="H688" s="2">
        <v>80</v>
      </c>
      <c r="I688" s="3">
        <v>10174</v>
      </c>
      <c r="J688" s="4">
        <v>10.47</v>
      </c>
      <c r="K688" s="2">
        <v>95</v>
      </c>
      <c r="L688" s="2">
        <v>4</v>
      </c>
      <c r="M688" s="3">
        <v>34175</v>
      </c>
      <c r="N688" t="str" cm="1">
        <f t="array" ref="N688">_xlfn.IFS(Table1_36[[#This Row],[Patient Satisfaction Score]]&gt;=83,"High",H688&lt;=75,"Low",TRUE,"Moderate")</f>
        <v>Moderate</v>
      </c>
      <c r="O688" t="str">
        <f t="shared" si="10"/>
        <v>Adult</v>
      </c>
    </row>
    <row r="689" spans="1:15">
      <c r="A689" t="s">
        <v>757</v>
      </c>
      <c r="B689" t="s">
        <v>66</v>
      </c>
      <c r="C689" t="s">
        <v>39</v>
      </c>
      <c r="D689" t="s">
        <v>16</v>
      </c>
      <c r="E689" s="2">
        <v>12</v>
      </c>
      <c r="F689" t="s">
        <v>34</v>
      </c>
      <c r="G689" t="s">
        <v>40</v>
      </c>
      <c r="H689" s="2">
        <v>73</v>
      </c>
      <c r="I689" s="3">
        <v>3619</v>
      </c>
      <c r="J689" s="4">
        <v>14.26</v>
      </c>
      <c r="K689" s="2">
        <v>74</v>
      </c>
      <c r="L689" s="2">
        <v>3</v>
      </c>
      <c r="M689" s="3">
        <v>21562</v>
      </c>
      <c r="N689" t="str" cm="1">
        <f t="array" ref="N689">_xlfn.IFS(Table1_36[[#This Row],[Patient Satisfaction Score]]&gt;=83,"High",H689&lt;=75,"Low",TRUE,"Moderate")</f>
        <v>Low</v>
      </c>
      <c r="O689" t="str">
        <f t="shared" si="10"/>
        <v>Pediatric</v>
      </c>
    </row>
    <row r="690" spans="1:15">
      <c r="A690" t="s">
        <v>758</v>
      </c>
      <c r="B690" t="s">
        <v>68</v>
      </c>
      <c r="C690" t="s">
        <v>45</v>
      </c>
      <c r="D690" t="s">
        <v>27</v>
      </c>
      <c r="E690" s="2">
        <v>74</v>
      </c>
      <c r="F690" t="s">
        <v>22</v>
      </c>
      <c r="G690" t="s">
        <v>49</v>
      </c>
      <c r="H690" s="2">
        <v>71</v>
      </c>
      <c r="I690" s="3">
        <v>7133</v>
      </c>
      <c r="J690" s="4">
        <v>19.66</v>
      </c>
      <c r="K690" s="2">
        <v>81</v>
      </c>
      <c r="L690" s="2">
        <v>3</v>
      </c>
      <c r="M690" s="3">
        <v>28096</v>
      </c>
      <c r="N690" t="str" cm="1">
        <f t="array" ref="N690">_xlfn.IFS(Table1_36[[#This Row],[Patient Satisfaction Score]]&gt;=83,"High",H690&lt;=75,"Low",TRUE,"Moderate")</f>
        <v>Low</v>
      </c>
      <c r="O690" t="str">
        <f t="shared" si="10"/>
        <v>Adult</v>
      </c>
    </row>
    <row r="691" spans="1:15">
      <c r="A691" t="s">
        <v>759</v>
      </c>
      <c r="B691" t="s">
        <v>62</v>
      </c>
      <c r="C691" t="s">
        <v>52</v>
      </c>
      <c r="D691" t="s">
        <v>16</v>
      </c>
      <c r="E691" s="2">
        <v>19</v>
      </c>
      <c r="F691" t="s">
        <v>22</v>
      </c>
      <c r="G691" t="s">
        <v>70</v>
      </c>
      <c r="H691" s="2">
        <v>83</v>
      </c>
      <c r="I691" s="3">
        <v>7529</v>
      </c>
      <c r="J691" s="4">
        <v>15.08</v>
      </c>
      <c r="K691" s="2">
        <v>55</v>
      </c>
      <c r="L691" s="2">
        <v>4</v>
      </c>
      <c r="M691" s="3">
        <v>35062</v>
      </c>
      <c r="N691" t="str" cm="1">
        <f t="array" ref="N691">_xlfn.IFS(Table1_36[[#This Row],[Patient Satisfaction Score]]&gt;=83,"High",H691&lt;=75,"Low",TRUE,"Moderate")</f>
        <v>High</v>
      </c>
      <c r="O691" t="str">
        <f t="shared" si="10"/>
        <v>Adult</v>
      </c>
    </row>
    <row r="692" spans="1:15">
      <c r="A692" t="s">
        <v>760</v>
      </c>
      <c r="B692" t="s">
        <v>109</v>
      </c>
      <c r="C692" t="s">
        <v>30</v>
      </c>
      <c r="D692" t="s">
        <v>27</v>
      </c>
      <c r="E692" s="2">
        <v>47</v>
      </c>
      <c r="F692" t="s">
        <v>17</v>
      </c>
      <c r="G692" t="s">
        <v>70</v>
      </c>
      <c r="H692" s="2">
        <v>80</v>
      </c>
      <c r="I692" s="3">
        <v>2804</v>
      </c>
      <c r="J692" s="4">
        <v>12.22</v>
      </c>
      <c r="K692" s="2">
        <v>100</v>
      </c>
      <c r="L692" s="2">
        <v>4</v>
      </c>
      <c r="M692" s="3">
        <v>10939</v>
      </c>
      <c r="N692" t="str" cm="1">
        <f t="array" ref="N692">_xlfn.IFS(Table1_36[[#This Row],[Patient Satisfaction Score]]&gt;=83,"High",H692&lt;=75,"Low",TRUE,"Moderate")</f>
        <v>Moderate</v>
      </c>
      <c r="O692" t="str">
        <f t="shared" si="10"/>
        <v>Adult</v>
      </c>
    </row>
    <row r="693" spans="1:15">
      <c r="A693" t="s">
        <v>761</v>
      </c>
      <c r="B693" t="s">
        <v>95</v>
      </c>
      <c r="C693" t="s">
        <v>52</v>
      </c>
      <c r="D693" t="s">
        <v>27</v>
      </c>
      <c r="E693" s="2">
        <v>42</v>
      </c>
      <c r="F693" t="s">
        <v>22</v>
      </c>
      <c r="G693" t="s">
        <v>23</v>
      </c>
      <c r="H693" s="2">
        <v>76</v>
      </c>
      <c r="I693" s="3">
        <v>7852</v>
      </c>
      <c r="J693" s="4">
        <v>20.23</v>
      </c>
      <c r="K693" s="2">
        <v>91</v>
      </c>
      <c r="L693" s="2">
        <v>4</v>
      </c>
      <c r="M693" s="3">
        <v>25151</v>
      </c>
      <c r="N693" t="str" cm="1">
        <f t="array" ref="N693">_xlfn.IFS(Table1_36[[#This Row],[Patient Satisfaction Score]]&gt;=83,"High",H693&lt;=75,"Low",TRUE,"Moderate")</f>
        <v>Moderate</v>
      </c>
      <c r="O693" t="str">
        <f t="shared" si="10"/>
        <v>Adult</v>
      </c>
    </row>
    <row r="694" spans="1:15">
      <c r="A694" t="s">
        <v>762</v>
      </c>
      <c r="B694" t="s">
        <v>25</v>
      </c>
      <c r="C694" t="s">
        <v>26</v>
      </c>
      <c r="D694" t="s">
        <v>27</v>
      </c>
      <c r="E694" s="2">
        <v>53</v>
      </c>
      <c r="F694" t="s">
        <v>34</v>
      </c>
      <c r="G694" t="s">
        <v>40</v>
      </c>
      <c r="H694" s="2">
        <v>98</v>
      </c>
      <c r="I694" s="3">
        <v>2540</v>
      </c>
      <c r="J694" s="4">
        <v>4.8499999999999996</v>
      </c>
      <c r="K694" s="2">
        <v>52</v>
      </c>
      <c r="L694" s="2">
        <v>5</v>
      </c>
      <c r="M694" s="3">
        <v>12085</v>
      </c>
      <c r="N694" t="str" cm="1">
        <f t="array" ref="N694">_xlfn.IFS(Table1_36[[#This Row],[Patient Satisfaction Score]]&gt;=83,"High",H694&lt;=75,"Low",TRUE,"Moderate")</f>
        <v>High</v>
      </c>
      <c r="O694" t="str">
        <f t="shared" si="10"/>
        <v>Adult</v>
      </c>
    </row>
    <row r="695" spans="1:15">
      <c r="A695" t="s">
        <v>763</v>
      </c>
      <c r="B695" t="s">
        <v>54</v>
      </c>
      <c r="C695" t="s">
        <v>39</v>
      </c>
      <c r="D695" t="s">
        <v>27</v>
      </c>
      <c r="E695" s="2">
        <v>8</v>
      </c>
      <c r="F695" t="s">
        <v>17</v>
      </c>
      <c r="G695" t="s">
        <v>40</v>
      </c>
      <c r="H695" s="2">
        <v>73</v>
      </c>
      <c r="I695" s="3">
        <v>3119</v>
      </c>
      <c r="J695" s="4">
        <v>10.07</v>
      </c>
      <c r="K695" s="2">
        <v>54</v>
      </c>
      <c r="L695" s="2">
        <v>4</v>
      </c>
      <c r="M695" s="3">
        <v>13244</v>
      </c>
      <c r="N695" t="str" cm="1">
        <f t="array" ref="N695">_xlfn.IFS(Table1_36[[#This Row],[Patient Satisfaction Score]]&gt;=83,"High",H695&lt;=75,"Low",TRUE,"Moderate")</f>
        <v>Low</v>
      </c>
      <c r="O695" t="str">
        <f t="shared" si="10"/>
        <v>Pediatric</v>
      </c>
    </row>
    <row r="696" spans="1:15">
      <c r="A696" t="s">
        <v>764</v>
      </c>
      <c r="B696" t="s">
        <v>51</v>
      </c>
      <c r="C696" t="s">
        <v>52</v>
      </c>
      <c r="D696" t="s">
        <v>16</v>
      </c>
      <c r="E696" s="2">
        <v>49</v>
      </c>
      <c r="F696" t="s">
        <v>34</v>
      </c>
      <c r="G696" t="s">
        <v>23</v>
      </c>
      <c r="H696" s="2">
        <v>73</v>
      </c>
      <c r="I696" s="3">
        <v>10548</v>
      </c>
      <c r="J696" s="4">
        <v>14.08</v>
      </c>
      <c r="K696" s="2">
        <v>70</v>
      </c>
      <c r="L696" s="2">
        <v>4</v>
      </c>
      <c r="M696" s="3">
        <v>50302</v>
      </c>
      <c r="N696" t="str" cm="1">
        <f t="array" ref="N696">_xlfn.IFS(Table1_36[[#This Row],[Patient Satisfaction Score]]&gt;=83,"High",H696&lt;=75,"Low",TRUE,"Moderate")</f>
        <v>Low</v>
      </c>
      <c r="O696" t="str">
        <f t="shared" si="10"/>
        <v>Adult</v>
      </c>
    </row>
    <row r="697" spans="1:15">
      <c r="A697" t="s">
        <v>765</v>
      </c>
      <c r="B697" t="s">
        <v>44</v>
      </c>
      <c r="C697" t="s">
        <v>45</v>
      </c>
      <c r="D697" t="s">
        <v>27</v>
      </c>
      <c r="E697" s="2">
        <v>47</v>
      </c>
      <c r="F697" t="s">
        <v>22</v>
      </c>
      <c r="G697" t="s">
        <v>18</v>
      </c>
      <c r="H697" s="2">
        <v>74</v>
      </c>
      <c r="I697" s="3">
        <v>7048</v>
      </c>
      <c r="J697" s="4">
        <v>18.43</v>
      </c>
      <c r="K697" s="2">
        <v>92</v>
      </c>
      <c r="L697" s="2">
        <v>4</v>
      </c>
      <c r="M697" s="3">
        <v>19418</v>
      </c>
      <c r="N697" t="str" cm="1">
        <f t="array" ref="N697">_xlfn.IFS(Table1_36[[#This Row],[Patient Satisfaction Score]]&gt;=83,"High",H697&lt;=75,"Low",TRUE,"Moderate")</f>
        <v>Low</v>
      </c>
      <c r="O697" t="str">
        <f t="shared" si="10"/>
        <v>Adult</v>
      </c>
    </row>
    <row r="698" spans="1:15">
      <c r="A698" t="s">
        <v>766</v>
      </c>
      <c r="B698" t="s">
        <v>20</v>
      </c>
      <c r="C698" t="s">
        <v>21</v>
      </c>
      <c r="D698" t="s">
        <v>27</v>
      </c>
      <c r="E698" s="2">
        <v>17</v>
      </c>
      <c r="F698" t="s">
        <v>17</v>
      </c>
      <c r="G698" t="s">
        <v>40</v>
      </c>
      <c r="H698" s="2">
        <v>74</v>
      </c>
      <c r="I698" s="3">
        <v>7174</v>
      </c>
      <c r="J698" s="4">
        <v>16.98</v>
      </c>
      <c r="K698" s="2">
        <v>104</v>
      </c>
      <c r="L698" s="2">
        <v>4</v>
      </c>
      <c r="M698" s="3">
        <v>29358</v>
      </c>
      <c r="N698" t="str" cm="1">
        <f t="array" ref="N698">_xlfn.IFS(Table1_36[[#This Row],[Patient Satisfaction Score]]&gt;=83,"High",H698&lt;=75,"Low",TRUE,"Moderate")</f>
        <v>Low</v>
      </c>
      <c r="O698" t="str">
        <f t="shared" si="10"/>
        <v>Pediatric</v>
      </c>
    </row>
    <row r="699" spans="1:15">
      <c r="A699" t="s">
        <v>767</v>
      </c>
      <c r="B699" t="s">
        <v>97</v>
      </c>
      <c r="C699" t="s">
        <v>30</v>
      </c>
      <c r="D699" t="s">
        <v>16</v>
      </c>
      <c r="E699" s="2">
        <v>33</v>
      </c>
      <c r="F699" t="s">
        <v>34</v>
      </c>
      <c r="G699" t="s">
        <v>40</v>
      </c>
      <c r="H699" s="2">
        <v>66</v>
      </c>
      <c r="I699" s="3">
        <v>4899</v>
      </c>
      <c r="J699" s="4">
        <v>26.11</v>
      </c>
      <c r="K699" s="2">
        <v>117</v>
      </c>
      <c r="L699" s="2">
        <v>3</v>
      </c>
      <c r="M699" s="3">
        <v>26878</v>
      </c>
      <c r="N699" t="str" cm="1">
        <f t="array" ref="N699">_xlfn.IFS(Table1_36[[#This Row],[Patient Satisfaction Score]]&gt;=83,"High",H699&lt;=75,"Low",TRUE,"Moderate")</f>
        <v>Low</v>
      </c>
      <c r="O699" t="str">
        <f t="shared" si="10"/>
        <v>Adult</v>
      </c>
    </row>
    <row r="700" spans="1:15">
      <c r="A700" t="s">
        <v>768</v>
      </c>
      <c r="B700" t="s">
        <v>143</v>
      </c>
      <c r="C700" t="s">
        <v>21</v>
      </c>
      <c r="D700" t="s">
        <v>27</v>
      </c>
      <c r="E700" s="2">
        <v>40</v>
      </c>
      <c r="F700" t="s">
        <v>34</v>
      </c>
      <c r="G700" t="s">
        <v>31</v>
      </c>
      <c r="H700" s="2">
        <v>69</v>
      </c>
      <c r="I700" s="3">
        <v>5804</v>
      </c>
      <c r="J700" s="4">
        <v>16.18</v>
      </c>
      <c r="K700" s="2">
        <v>81</v>
      </c>
      <c r="L700" s="2">
        <v>4</v>
      </c>
      <c r="M700" s="3">
        <v>30535</v>
      </c>
      <c r="N700" t="str" cm="1">
        <f t="array" ref="N700">_xlfn.IFS(Table1_36[[#This Row],[Patient Satisfaction Score]]&gt;=83,"High",H700&lt;=75,"Low",TRUE,"Moderate")</f>
        <v>Low</v>
      </c>
      <c r="O700" t="str">
        <f t="shared" si="10"/>
        <v>Adult</v>
      </c>
    </row>
    <row r="701" spans="1:15">
      <c r="A701" t="s">
        <v>769</v>
      </c>
      <c r="B701" t="s">
        <v>42</v>
      </c>
      <c r="C701" t="s">
        <v>39</v>
      </c>
      <c r="D701" t="s">
        <v>27</v>
      </c>
      <c r="E701" s="2">
        <v>4</v>
      </c>
      <c r="F701" t="s">
        <v>22</v>
      </c>
      <c r="G701" t="s">
        <v>40</v>
      </c>
      <c r="H701" s="2">
        <v>90</v>
      </c>
      <c r="I701" s="3">
        <v>3468</v>
      </c>
      <c r="J701" s="4">
        <v>4.13</v>
      </c>
      <c r="K701" s="2">
        <v>34</v>
      </c>
      <c r="L701" s="2">
        <v>5</v>
      </c>
      <c r="M701" s="3">
        <v>10212</v>
      </c>
      <c r="N701" t="str" cm="1">
        <f t="array" ref="N701">_xlfn.IFS(Table1_36[[#This Row],[Patient Satisfaction Score]]&gt;=83,"High",H701&lt;=75,"Low",TRUE,"Moderate")</f>
        <v>High</v>
      </c>
      <c r="O701" t="str">
        <f t="shared" si="10"/>
        <v>Pediatric</v>
      </c>
    </row>
    <row r="702" spans="1:15">
      <c r="A702" t="s">
        <v>770</v>
      </c>
      <c r="B702" t="s">
        <v>84</v>
      </c>
      <c r="C702" t="s">
        <v>21</v>
      </c>
      <c r="D702" t="s">
        <v>16</v>
      </c>
      <c r="E702" s="2">
        <v>21</v>
      </c>
      <c r="F702" t="s">
        <v>34</v>
      </c>
      <c r="G702" t="s">
        <v>49</v>
      </c>
      <c r="H702" s="2">
        <v>75</v>
      </c>
      <c r="I702" s="3">
        <v>7838</v>
      </c>
      <c r="J702" s="4">
        <v>18.190000000000001</v>
      </c>
      <c r="K702" s="2">
        <v>84</v>
      </c>
      <c r="L702" s="2">
        <v>3</v>
      </c>
      <c r="M702" s="3">
        <v>41942</v>
      </c>
      <c r="N702" t="str" cm="1">
        <f t="array" ref="N702">_xlfn.IFS(Table1_36[[#This Row],[Patient Satisfaction Score]]&gt;=83,"High",H702&lt;=75,"Low",TRUE,"Moderate")</f>
        <v>Low</v>
      </c>
      <c r="O702" t="str">
        <f t="shared" si="10"/>
        <v>Adult</v>
      </c>
    </row>
    <row r="703" spans="1:15">
      <c r="A703" t="s">
        <v>771</v>
      </c>
      <c r="B703" t="s">
        <v>135</v>
      </c>
      <c r="C703" t="s">
        <v>48</v>
      </c>
      <c r="D703" t="s">
        <v>16</v>
      </c>
      <c r="E703" s="2">
        <v>45</v>
      </c>
      <c r="F703" t="s">
        <v>17</v>
      </c>
      <c r="G703" t="s">
        <v>23</v>
      </c>
      <c r="H703" s="2">
        <v>82</v>
      </c>
      <c r="I703" s="3">
        <v>6060</v>
      </c>
      <c r="J703" s="4">
        <v>14.54</v>
      </c>
      <c r="K703" s="2">
        <v>89</v>
      </c>
      <c r="L703" s="2">
        <v>4</v>
      </c>
      <c r="M703" s="3">
        <v>25606</v>
      </c>
      <c r="N703" t="str" cm="1">
        <f t="array" ref="N703">_xlfn.IFS(Table1_36[[#This Row],[Patient Satisfaction Score]]&gt;=83,"High",H703&lt;=75,"Low",TRUE,"Moderate")</f>
        <v>Moderate</v>
      </c>
      <c r="O703" t="str">
        <f t="shared" si="10"/>
        <v>Adult</v>
      </c>
    </row>
    <row r="704" spans="1:15">
      <c r="A704" t="s">
        <v>772</v>
      </c>
      <c r="B704" t="s">
        <v>95</v>
      </c>
      <c r="C704" t="s">
        <v>52</v>
      </c>
      <c r="D704" t="s">
        <v>27</v>
      </c>
      <c r="E704" s="2">
        <v>23</v>
      </c>
      <c r="F704" t="s">
        <v>22</v>
      </c>
      <c r="G704" t="s">
        <v>70</v>
      </c>
      <c r="H704" s="2">
        <v>77</v>
      </c>
      <c r="I704" s="3">
        <v>8446</v>
      </c>
      <c r="J704" s="4">
        <v>15.17</v>
      </c>
      <c r="K704" s="2">
        <v>16</v>
      </c>
      <c r="L704" s="2">
        <v>3</v>
      </c>
      <c r="M704" s="3">
        <v>35656</v>
      </c>
      <c r="N704" t="str" cm="1">
        <f t="array" ref="N704">_xlfn.IFS(Table1_36[[#This Row],[Patient Satisfaction Score]]&gt;=83,"High",H704&lt;=75,"Low",TRUE,"Moderate")</f>
        <v>Moderate</v>
      </c>
      <c r="O704" t="str">
        <f t="shared" si="10"/>
        <v>Adult</v>
      </c>
    </row>
    <row r="705" spans="1:15">
      <c r="A705" t="s">
        <v>773</v>
      </c>
      <c r="B705" t="s">
        <v>64</v>
      </c>
      <c r="C705" t="s">
        <v>30</v>
      </c>
      <c r="D705" t="s">
        <v>16</v>
      </c>
      <c r="E705" s="2">
        <v>14</v>
      </c>
      <c r="F705" t="s">
        <v>17</v>
      </c>
      <c r="G705" t="s">
        <v>18</v>
      </c>
      <c r="H705" s="2">
        <v>65</v>
      </c>
      <c r="I705" s="3">
        <v>3453</v>
      </c>
      <c r="J705" s="4">
        <v>23.82</v>
      </c>
      <c r="K705" s="2">
        <v>118</v>
      </c>
      <c r="L705" s="2">
        <v>3</v>
      </c>
      <c r="M705" s="3">
        <v>11519</v>
      </c>
      <c r="N705" t="str" cm="1">
        <f t="array" ref="N705">_xlfn.IFS(Table1_36[[#This Row],[Patient Satisfaction Score]]&gt;=83,"High",H705&lt;=75,"Low",TRUE,"Moderate")</f>
        <v>Low</v>
      </c>
      <c r="O705" t="str">
        <f t="shared" si="10"/>
        <v>Pediatric</v>
      </c>
    </row>
    <row r="706" spans="1:15">
      <c r="A706" t="s">
        <v>774</v>
      </c>
      <c r="B706" t="s">
        <v>66</v>
      </c>
      <c r="C706" t="s">
        <v>39</v>
      </c>
      <c r="D706" t="s">
        <v>16</v>
      </c>
      <c r="E706" s="2">
        <v>18</v>
      </c>
      <c r="F706" t="s">
        <v>34</v>
      </c>
      <c r="G706" t="s">
        <v>23</v>
      </c>
      <c r="H706" s="2">
        <v>88</v>
      </c>
      <c r="I706" s="3">
        <v>2909</v>
      </c>
      <c r="J706" s="4">
        <v>2.94</v>
      </c>
      <c r="K706" s="2">
        <v>65</v>
      </c>
      <c r="L706" s="2">
        <v>4</v>
      </c>
      <c r="M706" s="3">
        <v>12889</v>
      </c>
      <c r="N706" t="str" cm="1">
        <f t="array" ref="N706">_xlfn.IFS(Table1_36[[#This Row],[Patient Satisfaction Score]]&gt;=83,"High",H706&lt;=75,"Low",TRUE,"Moderate")</f>
        <v>High</v>
      </c>
      <c r="O706" t="str">
        <f t="shared" ref="O706:O769" si="11">IF(E706&lt;19,"Pediatric","Adult")</f>
        <v>Pediatric</v>
      </c>
    </row>
    <row r="707" spans="1:15">
      <c r="A707" t="s">
        <v>775</v>
      </c>
      <c r="B707" t="s">
        <v>97</v>
      </c>
      <c r="C707" t="s">
        <v>30</v>
      </c>
      <c r="D707" t="s">
        <v>16</v>
      </c>
      <c r="E707" s="2">
        <v>29</v>
      </c>
      <c r="F707" t="s">
        <v>17</v>
      </c>
      <c r="G707" t="s">
        <v>23</v>
      </c>
      <c r="H707" s="2">
        <v>72</v>
      </c>
      <c r="I707" s="3">
        <v>3430</v>
      </c>
      <c r="J707" s="4">
        <v>19.510000000000002</v>
      </c>
      <c r="K707" s="2">
        <v>69</v>
      </c>
      <c r="L707" s="2">
        <v>3</v>
      </c>
      <c r="M707" s="3">
        <v>14070</v>
      </c>
      <c r="N707" t="str" cm="1">
        <f t="array" ref="N707">_xlfn.IFS(Table1_36[[#This Row],[Patient Satisfaction Score]]&gt;=83,"High",H707&lt;=75,"Low",TRUE,"Moderate")</f>
        <v>Low</v>
      </c>
      <c r="O707" t="str">
        <f t="shared" si="11"/>
        <v>Adult</v>
      </c>
    </row>
    <row r="708" spans="1:15">
      <c r="A708" t="s">
        <v>776</v>
      </c>
      <c r="B708" t="s">
        <v>38</v>
      </c>
      <c r="C708" t="s">
        <v>39</v>
      </c>
      <c r="D708" t="s">
        <v>27</v>
      </c>
      <c r="E708" s="2">
        <v>18</v>
      </c>
      <c r="F708" t="s">
        <v>22</v>
      </c>
      <c r="G708" t="s">
        <v>70</v>
      </c>
      <c r="H708" s="2">
        <v>86</v>
      </c>
      <c r="I708" s="3">
        <v>3856</v>
      </c>
      <c r="J708" s="4">
        <v>6.32</v>
      </c>
      <c r="K708" s="2">
        <v>73</v>
      </c>
      <c r="L708" s="2">
        <v>4</v>
      </c>
      <c r="M708" s="3">
        <v>12406</v>
      </c>
      <c r="N708" t="str" cm="1">
        <f t="array" ref="N708">_xlfn.IFS(Table1_36[[#This Row],[Patient Satisfaction Score]]&gt;=83,"High",H708&lt;=75,"Low",TRUE,"Moderate")</f>
        <v>High</v>
      </c>
      <c r="O708" t="str">
        <f t="shared" si="11"/>
        <v>Pediatric</v>
      </c>
    </row>
    <row r="709" spans="1:15">
      <c r="A709" t="s">
        <v>777</v>
      </c>
      <c r="B709" t="s">
        <v>80</v>
      </c>
      <c r="C709" t="s">
        <v>15</v>
      </c>
      <c r="D709" t="s">
        <v>27</v>
      </c>
      <c r="E709" s="2">
        <v>37</v>
      </c>
      <c r="F709" t="s">
        <v>17</v>
      </c>
      <c r="G709" t="s">
        <v>18</v>
      </c>
      <c r="H709" s="2">
        <v>69</v>
      </c>
      <c r="I709" s="3">
        <v>6521</v>
      </c>
      <c r="J709" s="4">
        <v>19.47</v>
      </c>
      <c r="K709" s="2">
        <v>93</v>
      </c>
      <c r="L709" s="2">
        <v>4</v>
      </c>
      <c r="M709" s="3">
        <v>36978</v>
      </c>
      <c r="N709" t="str" cm="1">
        <f t="array" ref="N709">_xlfn.IFS(Table1_36[[#This Row],[Patient Satisfaction Score]]&gt;=83,"High",H709&lt;=75,"Low",TRUE,"Moderate")</f>
        <v>Low</v>
      </c>
      <c r="O709" t="str">
        <f t="shared" si="11"/>
        <v>Adult</v>
      </c>
    </row>
    <row r="710" spans="1:15">
      <c r="A710" t="s">
        <v>778</v>
      </c>
      <c r="B710" t="s">
        <v>103</v>
      </c>
      <c r="C710" t="s">
        <v>26</v>
      </c>
      <c r="D710" t="s">
        <v>16</v>
      </c>
      <c r="E710" s="2">
        <v>41</v>
      </c>
      <c r="F710" t="s">
        <v>17</v>
      </c>
      <c r="G710" t="s">
        <v>31</v>
      </c>
      <c r="H710" s="2">
        <v>87</v>
      </c>
      <c r="I710" s="3">
        <v>2077</v>
      </c>
      <c r="J710" s="4">
        <v>4.9400000000000004</v>
      </c>
      <c r="K710" s="2">
        <v>41</v>
      </c>
      <c r="L710" s="2">
        <v>4</v>
      </c>
      <c r="M710" s="3">
        <v>11904</v>
      </c>
      <c r="N710" t="str" cm="1">
        <f t="array" ref="N710">_xlfn.IFS(Table1_36[[#This Row],[Patient Satisfaction Score]]&gt;=83,"High",H710&lt;=75,"Low",TRUE,"Moderate")</f>
        <v>High</v>
      </c>
      <c r="O710" t="str">
        <f t="shared" si="11"/>
        <v>Adult</v>
      </c>
    </row>
    <row r="711" spans="1:15">
      <c r="A711" t="s">
        <v>779</v>
      </c>
      <c r="B711" t="s">
        <v>66</v>
      </c>
      <c r="C711" t="s">
        <v>39</v>
      </c>
      <c r="D711" t="s">
        <v>16</v>
      </c>
      <c r="E711" s="2">
        <v>7</v>
      </c>
      <c r="F711" t="s">
        <v>17</v>
      </c>
      <c r="G711" t="s">
        <v>70</v>
      </c>
      <c r="H711" s="2">
        <v>78</v>
      </c>
      <c r="I711" s="3">
        <v>3603</v>
      </c>
      <c r="J711" s="4">
        <v>13.13</v>
      </c>
      <c r="K711" s="2">
        <v>66</v>
      </c>
      <c r="L711" s="2">
        <v>4</v>
      </c>
      <c r="M711" s="3">
        <v>10440</v>
      </c>
      <c r="N711" t="str" cm="1">
        <f t="array" ref="N711">_xlfn.IFS(Table1_36[[#This Row],[Patient Satisfaction Score]]&gt;=83,"High",H711&lt;=75,"Low",TRUE,"Moderate")</f>
        <v>Moderate</v>
      </c>
      <c r="O711" t="str">
        <f t="shared" si="11"/>
        <v>Pediatric</v>
      </c>
    </row>
    <row r="712" spans="1:15">
      <c r="A712" t="s">
        <v>780</v>
      </c>
      <c r="B712" t="s">
        <v>150</v>
      </c>
      <c r="C712" t="s">
        <v>48</v>
      </c>
      <c r="D712" t="s">
        <v>27</v>
      </c>
      <c r="E712" s="2">
        <v>56</v>
      </c>
      <c r="F712" t="s">
        <v>22</v>
      </c>
      <c r="G712" t="s">
        <v>23</v>
      </c>
      <c r="H712" s="2">
        <v>76</v>
      </c>
      <c r="I712" s="3">
        <v>3706</v>
      </c>
      <c r="J712" s="4">
        <v>12.37</v>
      </c>
      <c r="K712" s="2">
        <v>87</v>
      </c>
      <c r="L712" s="2">
        <v>3</v>
      </c>
      <c r="M712" s="3">
        <v>14141</v>
      </c>
      <c r="N712" t="str" cm="1">
        <f t="array" ref="N712">_xlfn.IFS(Table1_36[[#This Row],[Patient Satisfaction Score]]&gt;=83,"High",H712&lt;=75,"Low",TRUE,"Moderate")</f>
        <v>Moderate</v>
      </c>
      <c r="O712" t="str">
        <f t="shared" si="11"/>
        <v>Adult</v>
      </c>
    </row>
    <row r="713" spans="1:15">
      <c r="A713" t="s">
        <v>781</v>
      </c>
      <c r="B713" t="s">
        <v>137</v>
      </c>
      <c r="C713" t="s">
        <v>26</v>
      </c>
      <c r="D713" t="s">
        <v>27</v>
      </c>
      <c r="E713" s="2">
        <v>49</v>
      </c>
      <c r="F713" t="s">
        <v>22</v>
      </c>
      <c r="G713" t="s">
        <v>40</v>
      </c>
      <c r="H713" s="2">
        <v>86</v>
      </c>
      <c r="I713" s="3">
        <v>2400</v>
      </c>
      <c r="J713" s="4">
        <v>1.47</v>
      </c>
      <c r="K713" s="2">
        <v>77</v>
      </c>
      <c r="L713" s="2">
        <v>5</v>
      </c>
      <c r="M713" s="3">
        <v>12735</v>
      </c>
      <c r="N713" t="str" cm="1">
        <f t="array" ref="N713">_xlfn.IFS(Table1_36[[#This Row],[Patient Satisfaction Score]]&gt;=83,"High",H713&lt;=75,"Low",TRUE,"Moderate")</f>
        <v>High</v>
      </c>
      <c r="O713" t="str">
        <f t="shared" si="11"/>
        <v>Adult</v>
      </c>
    </row>
    <row r="714" spans="1:15">
      <c r="A714" t="s">
        <v>782</v>
      </c>
      <c r="B714" t="s">
        <v>95</v>
      </c>
      <c r="C714" t="s">
        <v>52</v>
      </c>
      <c r="D714" t="s">
        <v>27</v>
      </c>
      <c r="E714" s="2">
        <v>1</v>
      </c>
      <c r="F714" t="s">
        <v>34</v>
      </c>
      <c r="G714" t="s">
        <v>18</v>
      </c>
      <c r="H714" s="2">
        <v>65</v>
      </c>
      <c r="I714" s="3">
        <v>7101</v>
      </c>
      <c r="J714" s="4">
        <v>15.92</v>
      </c>
      <c r="K714" s="2">
        <v>69</v>
      </c>
      <c r="L714" s="2">
        <v>4</v>
      </c>
      <c r="M714" s="3">
        <v>33288</v>
      </c>
      <c r="N714" t="str" cm="1">
        <f t="array" ref="N714">_xlfn.IFS(Table1_36[[#This Row],[Patient Satisfaction Score]]&gt;=83,"High",H714&lt;=75,"Low",TRUE,"Moderate")</f>
        <v>Low</v>
      </c>
      <c r="O714" t="str">
        <f t="shared" si="11"/>
        <v>Pediatric</v>
      </c>
    </row>
    <row r="715" spans="1:15">
      <c r="A715" t="s">
        <v>783</v>
      </c>
      <c r="B715" t="s">
        <v>38</v>
      </c>
      <c r="C715" t="s">
        <v>39</v>
      </c>
      <c r="D715" t="s">
        <v>27</v>
      </c>
      <c r="E715" s="2">
        <v>18</v>
      </c>
      <c r="F715" t="s">
        <v>34</v>
      </c>
      <c r="G715" t="s">
        <v>18</v>
      </c>
      <c r="H715" s="2">
        <v>79</v>
      </c>
      <c r="I715" s="3">
        <v>2618</v>
      </c>
      <c r="J715" s="4">
        <v>8.23</v>
      </c>
      <c r="K715" s="2">
        <v>72</v>
      </c>
      <c r="L715" s="2">
        <v>4</v>
      </c>
      <c r="M715" s="3">
        <v>14205</v>
      </c>
      <c r="N715" t="str" cm="1">
        <f t="array" ref="N715">_xlfn.IFS(Table1_36[[#This Row],[Patient Satisfaction Score]]&gt;=83,"High",H715&lt;=75,"Low",TRUE,"Moderate")</f>
        <v>Moderate</v>
      </c>
      <c r="O715" t="str">
        <f t="shared" si="11"/>
        <v>Pediatric</v>
      </c>
    </row>
    <row r="716" spans="1:15">
      <c r="A716" t="s">
        <v>784</v>
      </c>
      <c r="B716" t="s">
        <v>80</v>
      </c>
      <c r="C716" t="s">
        <v>15</v>
      </c>
      <c r="D716" t="s">
        <v>27</v>
      </c>
      <c r="E716" s="2">
        <v>35</v>
      </c>
      <c r="F716" t="s">
        <v>34</v>
      </c>
      <c r="G716" t="s">
        <v>18</v>
      </c>
      <c r="H716" s="2">
        <v>81</v>
      </c>
      <c r="I716" s="3">
        <v>6038</v>
      </c>
      <c r="J716" s="4">
        <v>10.6</v>
      </c>
      <c r="K716" s="2">
        <v>68</v>
      </c>
      <c r="L716" s="2">
        <v>3</v>
      </c>
      <c r="M716" s="3">
        <v>23704</v>
      </c>
      <c r="N716" t="str" cm="1">
        <f t="array" ref="N716">_xlfn.IFS(Table1_36[[#This Row],[Patient Satisfaction Score]]&gt;=83,"High",H716&lt;=75,"Low",TRUE,"Moderate")</f>
        <v>Moderate</v>
      </c>
      <c r="O716" t="str">
        <f t="shared" si="11"/>
        <v>Adult</v>
      </c>
    </row>
    <row r="717" spans="1:15">
      <c r="A717" t="s">
        <v>785</v>
      </c>
      <c r="B717" t="s">
        <v>51</v>
      </c>
      <c r="C717" t="s">
        <v>52</v>
      </c>
      <c r="D717" t="s">
        <v>27</v>
      </c>
      <c r="E717" s="2">
        <v>34</v>
      </c>
      <c r="F717" t="s">
        <v>17</v>
      </c>
      <c r="G717" t="s">
        <v>31</v>
      </c>
      <c r="H717" s="2">
        <v>88</v>
      </c>
      <c r="I717" s="3">
        <v>8071</v>
      </c>
      <c r="J717" s="4">
        <v>19.03</v>
      </c>
      <c r="K717" s="2">
        <v>83</v>
      </c>
      <c r="L717" s="2">
        <v>5</v>
      </c>
      <c r="M717" s="3">
        <v>25002</v>
      </c>
      <c r="N717" t="str" cm="1">
        <f t="array" ref="N717">_xlfn.IFS(Table1_36[[#This Row],[Patient Satisfaction Score]]&gt;=83,"High",H717&lt;=75,"Low",TRUE,"Moderate")</f>
        <v>High</v>
      </c>
      <c r="O717" t="str">
        <f t="shared" si="11"/>
        <v>Adult</v>
      </c>
    </row>
    <row r="718" spans="1:15">
      <c r="A718" t="s">
        <v>786</v>
      </c>
      <c r="B718" t="s">
        <v>109</v>
      </c>
      <c r="C718" t="s">
        <v>30</v>
      </c>
      <c r="D718" t="s">
        <v>27</v>
      </c>
      <c r="E718" s="2">
        <v>32</v>
      </c>
      <c r="F718" t="s">
        <v>22</v>
      </c>
      <c r="G718" t="s">
        <v>70</v>
      </c>
      <c r="H718" s="2">
        <v>71</v>
      </c>
      <c r="I718" s="3">
        <v>2561</v>
      </c>
      <c r="J718" s="4">
        <v>19.73</v>
      </c>
      <c r="K718" s="2">
        <v>89</v>
      </c>
      <c r="L718" s="2">
        <v>4</v>
      </c>
      <c r="M718" s="3">
        <v>7618</v>
      </c>
      <c r="N718" t="str" cm="1">
        <f t="array" ref="N718">_xlfn.IFS(Table1_36[[#This Row],[Patient Satisfaction Score]]&gt;=83,"High",H718&lt;=75,"Low",TRUE,"Moderate")</f>
        <v>Low</v>
      </c>
      <c r="O718" t="str">
        <f t="shared" si="11"/>
        <v>Adult</v>
      </c>
    </row>
    <row r="719" spans="1:15">
      <c r="A719" t="s">
        <v>787</v>
      </c>
      <c r="B719" t="s">
        <v>36</v>
      </c>
      <c r="C719" t="s">
        <v>21</v>
      </c>
      <c r="D719" t="s">
        <v>16</v>
      </c>
      <c r="E719" s="2">
        <v>53</v>
      </c>
      <c r="F719" t="s">
        <v>34</v>
      </c>
      <c r="G719" t="s">
        <v>40</v>
      </c>
      <c r="H719" s="2">
        <v>78</v>
      </c>
      <c r="I719" s="3">
        <v>8067</v>
      </c>
      <c r="J719" s="4">
        <v>17.440000000000001</v>
      </c>
      <c r="K719" s="2">
        <v>74</v>
      </c>
      <c r="L719" s="2">
        <v>4</v>
      </c>
      <c r="M719" s="3">
        <v>24567</v>
      </c>
      <c r="N719" t="str" cm="1">
        <f t="array" ref="N719">_xlfn.IFS(Table1_36[[#This Row],[Patient Satisfaction Score]]&gt;=83,"High",H719&lt;=75,"Low",TRUE,"Moderate")</f>
        <v>Moderate</v>
      </c>
      <c r="O719" t="str">
        <f t="shared" si="11"/>
        <v>Adult</v>
      </c>
    </row>
    <row r="720" spans="1:15">
      <c r="A720" t="s">
        <v>788</v>
      </c>
      <c r="B720" t="s">
        <v>25</v>
      </c>
      <c r="C720" t="s">
        <v>26</v>
      </c>
      <c r="D720" t="s">
        <v>16</v>
      </c>
      <c r="E720" s="2">
        <v>57</v>
      </c>
      <c r="F720" t="s">
        <v>22</v>
      </c>
      <c r="G720" t="s">
        <v>31</v>
      </c>
      <c r="H720" s="2">
        <v>86</v>
      </c>
      <c r="I720" s="3">
        <v>2114</v>
      </c>
      <c r="J720" s="4">
        <v>11.44</v>
      </c>
      <c r="K720" s="2">
        <v>35</v>
      </c>
      <c r="L720" s="2">
        <v>5</v>
      </c>
      <c r="M720" s="3">
        <v>5954</v>
      </c>
      <c r="N720" t="str" cm="1">
        <f t="array" ref="N720">_xlfn.IFS(Table1_36[[#This Row],[Patient Satisfaction Score]]&gt;=83,"High",H720&lt;=75,"Low",TRUE,"Moderate")</f>
        <v>High</v>
      </c>
      <c r="O720" t="str">
        <f t="shared" si="11"/>
        <v>Adult</v>
      </c>
    </row>
    <row r="721" spans="1:15">
      <c r="A721" t="s">
        <v>789</v>
      </c>
      <c r="B721" t="s">
        <v>60</v>
      </c>
      <c r="C721" t="s">
        <v>52</v>
      </c>
      <c r="D721" t="s">
        <v>27</v>
      </c>
      <c r="E721" s="2">
        <v>24</v>
      </c>
      <c r="F721" t="s">
        <v>17</v>
      </c>
      <c r="G721" t="s">
        <v>40</v>
      </c>
      <c r="H721" s="2">
        <v>82</v>
      </c>
      <c r="I721" s="3">
        <v>7991</v>
      </c>
      <c r="J721" s="4">
        <v>11.37</v>
      </c>
      <c r="K721" s="2">
        <v>46</v>
      </c>
      <c r="L721" s="2">
        <v>4</v>
      </c>
      <c r="M721" s="3">
        <v>29786</v>
      </c>
      <c r="N721" t="str" cm="1">
        <f t="array" ref="N721">_xlfn.IFS(Table1_36[[#This Row],[Patient Satisfaction Score]]&gt;=83,"High",H721&lt;=75,"Low",TRUE,"Moderate")</f>
        <v>Moderate</v>
      </c>
      <c r="O721" t="str">
        <f t="shared" si="11"/>
        <v>Adult</v>
      </c>
    </row>
    <row r="722" spans="1:15">
      <c r="A722" t="s">
        <v>790</v>
      </c>
      <c r="B722" t="s">
        <v>64</v>
      </c>
      <c r="C722" t="s">
        <v>30</v>
      </c>
      <c r="D722" t="s">
        <v>27</v>
      </c>
      <c r="E722" s="2">
        <v>58</v>
      </c>
      <c r="F722" t="s">
        <v>17</v>
      </c>
      <c r="G722" t="s">
        <v>23</v>
      </c>
      <c r="H722" s="2">
        <v>68</v>
      </c>
      <c r="I722" s="3">
        <v>3225</v>
      </c>
      <c r="J722" s="4">
        <v>13.93</v>
      </c>
      <c r="K722" s="2">
        <v>122</v>
      </c>
      <c r="L722" s="2">
        <v>3</v>
      </c>
      <c r="M722" s="3">
        <v>17075</v>
      </c>
      <c r="N722" t="str" cm="1">
        <f t="array" ref="N722">_xlfn.IFS(Table1_36[[#This Row],[Patient Satisfaction Score]]&gt;=83,"High",H722&lt;=75,"Low",TRUE,"Moderate")</f>
        <v>Low</v>
      </c>
      <c r="O722" t="str">
        <f t="shared" si="11"/>
        <v>Adult</v>
      </c>
    </row>
    <row r="723" spans="1:15">
      <c r="A723" t="s">
        <v>791</v>
      </c>
      <c r="B723" t="s">
        <v>66</v>
      </c>
      <c r="C723" t="s">
        <v>39</v>
      </c>
      <c r="D723" t="s">
        <v>16</v>
      </c>
      <c r="E723" s="2">
        <v>13</v>
      </c>
      <c r="F723" t="s">
        <v>17</v>
      </c>
      <c r="G723" t="s">
        <v>31</v>
      </c>
      <c r="H723" s="2">
        <v>78</v>
      </c>
      <c r="I723" s="3">
        <v>2512</v>
      </c>
      <c r="J723" s="4">
        <v>6.9</v>
      </c>
      <c r="K723" s="2">
        <v>72</v>
      </c>
      <c r="L723" s="2">
        <v>4</v>
      </c>
      <c r="M723" s="3">
        <v>14948</v>
      </c>
      <c r="N723" t="str" cm="1">
        <f t="array" ref="N723">_xlfn.IFS(Table1_36[[#This Row],[Patient Satisfaction Score]]&gt;=83,"High",H723&lt;=75,"Low",TRUE,"Moderate")</f>
        <v>Moderate</v>
      </c>
      <c r="O723" t="str">
        <f t="shared" si="11"/>
        <v>Pediatric</v>
      </c>
    </row>
    <row r="724" spans="1:15">
      <c r="A724" t="s">
        <v>792</v>
      </c>
      <c r="B724" t="s">
        <v>78</v>
      </c>
      <c r="C724" t="s">
        <v>15</v>
      </c>
      <c r="D724" t="s">
        <v>16</v>
      </c>
      <c r="E724" s="2">
        <v>34</v>
      </c>
      <c r="F724" t="s">
        <v>17</v>
      </c>
      <c r="G724" t="s">
        <v>40</v>
      </c>
      <c r="H724" s="2">
        <v>66</v>
      </c>
      <c r="I724" s="3">
        <v>8157</v>
      </c>
      <c r="J724" s="4">
        <v>16.63</v>
      </c>
      <c r="K724" s="2">
        <v>111</v>
      </c>
      <c r="L724" s="2">
        <v>3</v>
      </c>
      <c r="M724" s="3">
        <v>31204</v>
      </c>
      <c r="N724" t="str" cm="1">
        <f t="array" ref="N724">_xlfn.IFS(Table1_36[[#This Row],[Patient Satisfaction Score]]&gt;=83,"High",H724&lt;=75,"Low",TRUE,"Moderate")</f>
        <v>Low</v>
      </c>
      <c r="O724" t="str">
        <f t="shared" si="11"/>
        <v>Adult</v>
      </c>
    </row>
    <row r="725" spans="1:15">
      <c r="A725" t="s">
        <v>793</v>
      </c>
      <c r="B725" t="s">
        <v>74</v>
      </c>
      <c r="C725" t="s">
        <v>45</v>
      </c>
      <c r="D725" t="s">
        <v>27</v>
      </c>
      <c r="E725" s="2">
        <v>53</v>
      </c>
      <c r="F725" t="s">
        <v>22</v>
      </c>
      <c r="G725" t="s">
        <v>18</v>
      </c>
      <c r="H725" s="2">
        <v>72</v>
      </c>
      <c r="I725" s="3">
        <v>10602</v>
      </c>
      <c r="J725" s="4">
        <v>18.46</v>
      </c>
      <c r="K725" s="2">
        <v>115</v>
      </c>
      <c r="L725" s="2">
        <v>3</v>
      </c>
      <c r="M725" s="3">
        <v>53983</v>
      </c>
      <c r="N725" t="str" cm="1">
        <f t="array" ref="N725">_xlfn.IFS(Table1_36[[#This Row],[Patient Satisfaction Score]]&gt;=83,"High",H725&lt;=75,"Low",TRUE,"Moderate")</f>
        <v>Low</v>
      </c>
      <c r="O725" t="str">
        <f t="shared" si="11"/>
        <v>Adult</v>
      </c>
    </row>
    <row r="726" spans="1:15">
      <c r="A726" t="s">
        <v>794</v>
      </c>
      <c r="B726" t="s">
        <v>33</v>
      </c>
      <c r="C726" t="s">
        <v>26</v>
      </c>
      <c r="D726" t="s">
        <v>27</v>
      </c>
      <c r="E726" s="2">
        <v>56</v>
      </c>
      <c r="F726" t="s">
        <v>34</v>
      </c>
      <c r="G726" t="s">
        <v>18</v>
      </c>
      <c r="H726" s="2">
        <v>82</v>
      </c>
      <c r="I726" s="3">
        <v>2723</v>
      </c>
      <c r="J726" s="4">
        <v>3</v>
      </c>
      <c r="K726" s="2">
        <v>73</v>
      </c>
      <c r="L726" s="2">
        <v>4</v>
      </c>
      <c r="M726" s="3">
        <v>11227</v>
      </c>
      <c r="N726" t="str" cm="1">
        <f t="array" ref="N726">_xlfn.IFS(Table1_36[[#This Row],[Patient Satisfaction Score]]&gt;=83,"High",H726&lt;=75,"Low",TRUE,"Moderate")</f>
        <v>Moderate</v>
      </c>
      <c r="O726" t="str">
        <f t="shared" si="11"/>
        <v>Adult</v>
      </c>
    </row>
    <row r="727" spans="1:15">
      <c r="A727" t="s">
        <v>795</v>
      </c>
      <c r="B727" t="s">
        <v>185</v>
      </c>
      <c r="C727" t="s">
        <v>52</v>
      </c>
      <c r="D727" t="s">
        <v>16</v>
      </c>
      <c r="E727" s="2">
        <v>34</v>
      </c>
      <c r="F727" t="s">
        <v>22</v>
      </c>
      <c r="G727" t="s">
        <v>31</v>
      </c>
      <c r="H727" s="2">
        <v>92</v>
      </c>
      <c r="I727" s="3">
        <v>7918</v>
      </c>
      <c r="J727" s="4">
        <v>13.01</v>
      </c>
      <c r="K727" s="2">
        <v>59</v>
      </c>
      <c r="L727" s="2">
        <v>5</v>
      </c>
      <c r="M727" s="3">
        <v>38182</v>
      </c>
      <c r="N727" t="str" cm="1">
        <f t="array" ref="N727">_xlfn.IFS(Table1_36[[#This Row],[Patient Satisfaction Score]]&gt;=83,"High",H727&lt;=75,"Low",TRUE,"Moderate")</f>
        <v>High</v>
      </c>
      <c r="O727" t="str">
        <f t="shared" si="11"/>
        <v>Adult</v>
      </c>
    </row>
    <row r="728" spans="1:15">
      <c r="A728" t="s">
        <v>796</v>
      </c>
      <c r="B728" t="s">
        <v>150</v>
      </c>
      <c r="C728" t="s">
        <v>48</v>
      </c>
      <c r="D728" t="s">
        <v>27</v>
      </c>
      <c r="E728" s="2">
        <v>35</v>
      </c>
      <c r="F728" t="s">
        <v>17</v>
      </c>
      <c r="G728" t="s">
        <v>23</v>
      </c>
      <c r="H728" s="2">
        <v>81</v>
      </c>
      <c r="I728" s="3">
        <v>6003</v>
      </c>
      <c r="J728" s="4">
        <v>16.920000000000002</v>
      </c>
      <c r="K728" s="2">
        <v>85</v>
      </c>
      <c r="L728" s="2">
        <v>3</v>
      </c>
      <c r="M728" s="3">
        <v>22361</v>
      </c>
      <c r="N728" t="str" cm="1">
        <f t="array" ref="N728">_xlfn.IFS(Table1_36[[#This Row],[Patient Satisfaction Score]]&gt;=83,"High",H728&lt;=75,"Low",TRUE,"Moderate")</f>
        <v>Moderate</v>
      </c>
      <c r="O728" t="str">
        <f t="shared" si="11"/>
        <v>Adult</v>
      </c>
    </row>
    <row r="729" spans="1:15">
      <c r="A729" t="s">
        <v>797</v>
      </c>
      <c r="B729" t="s">
        <v>137</v>
      </c>
      <c r="C729" t="s">
        <v>26</v>
      </c>
      <c r="D729" t="s">
        <v>16</v>
      </c>
      <c r="E729" s="2">
        <v>89</v>
      </c>
      <c r="F729" t="s">
        <v>34</v>
      </c>
      <c r="G729" t="s">
        <v>18</v>
      </c>
      <c r="H729" s="2">
        <v>88</v>
      </c>
      <c r="I729" s="3">
        <v>1870</v>
      </c>
      <c r="J729" s="4">
        <v>8.15</v>
      </c>
      <c r="K729" s="2">
        <v>68</v>
      </c>
      <c r="L729" s="2">
        <v>4</v>
      </c>
      <c r="M729" s="3">
        <v>5950</v>
      </c>
      <c r="N729" t="str" cm="1">
        <f t="array" ref="N729">_xlfn.IFS(Table1_36[[#This Row],[Patient Satisfaction Score]]&gt;=83,"High",H729&lt;=75,"Low",TRUE,"Moderate")</f>
        <v>High</v>
      </c>
      <c r="O729" t="str">
        <f t="shared" si="11"/>
        <v>Adult</v>
      </c>
    </row>
    <row r="730" spans="1:15">
      <c r="A730" t="s">
        <v>798</v>
      </c>
      <c r="B730" t="s">
        <v>64</v>
      </c>
      <c r="C730" t="s">
        <v>30</v>
      </c>
      <c r="D730" t="s">
        <v>27</v>
      </c>
      <c r="E730" s="2">
        <v>49</v>
      </c>
      <c r="F730" t="s">
        <v>17</v>
      </c>
      <c r="G730" t="s">
        <v>40</v>
      </c>
      <c r="H730" s="2">
        <v>69</v>
      </c>
      <c r="I730" s="3">
        <v>4052</v>
      </c>
      <c r="J730" s="4">
        <v>21.88</v>
      </c>
      <c r="K730" s="2">
        <v>135</v>
      </c>
      <c r="L730" s="2">
        <v>3</v>
      </c>
      <c r="M730" s="3">
        <v>22436</v>
      </c>
      <c r="N730" t="str" cm="1">
        <f t="array" ref="N730">_xlfn.IFS(Table1_36[[#This Row],[Patient Satisfaction Score]]&gt;=83,"High",H730&lt;=75,"Low",TRUE,"Moderate")</f>
        <v>Low</v>
      </c>
      <c r="O730" t="str">
        <f t="shared" si="11"/>
        <v>Adult</v>
      </c>
    </row>
    <row r="731" spans="1:15">
      <c r="A731" t="s">
        <v>799</v>
      </c>
      <c r="B731" t="s">
        <v>68</v>
      </c>
      <c r="C731" t="s">
        <v>45</v>
      </c>
      <c r="D731" t="s">
        <v>27</v>
      </c>
      <c r="E731" s="2">
        <v>54</v>
      </c>
      <c r="F731" t="s">
        <v>17</v>
      </c>
      <c r="G731" t="s">
        <v>18</v>
      </c>
      <c r="H731" s="2">
        <v>78</v>
      </c>
      <c r="I731" s="3">
        <v>6958</v>
      </c>
      <c r="J731" s="4">
        <v>16.39</v>
      </c>
      <c r="K731" s="2">
        <v>93</v>
      </c>
      <c r="L731" s="2">
        <v>4</v>
      </c>
      <c r="M731" s="3">
        <v>25181</v>
      </c>
      <c r="N731" t="str" cm="1">
        <f t="array" ref="N731">_xlfn.IFS(Table1_36[[#This Row],[Patient Satisfaction Score]]&gt;=83,"High",H731&lt;=75,"Low",TRUE,"Moderate")</f>
        <v>Moderate</v>
      </c>
      <c r="O731" t="str">
        <f t="shared" si="11"/>
        <v>Adult</v>
      </c>
    </row>
    <row r="732" spans="1:15">
      <c r="A732" t="s">
        <v>800</v>
      </c>
      <c r="B732" t="s">
        <v>58</v>
      </c>
      <c r="C732" t="s">
        <v>48</v>
      </c>
      <c r="D732" t="s">
        <v>27</v>
      </c>
      <c r="E732" s="2">
        <v>31</v>
      </c>
      <c r="F732" t="s">
        <v>17</v>
      </c>
      <c r="G732" t="s">
        <v>40</v>
      </c>
      <c r="H732" s="2">
        <v>77</v>
      </c>
      <c r="I732" s="3">
        <v>4872</v>
      </c>
      <c r="J732" s="4">
        <v>16.48</v>
      </c>
      <c r="K732" s="2">
        <v>70</v>
      </c>
      <c r="L732" s="2">
        <v>4</v>
      </c>
      <c r="M732" s="3">
        <v>20454</v>
      </c>
      <c r="N732" t="str" cm="1">
        <f t="array" ref="N732">_xlfn.IFS(Table1_36[[#This Row],[Patient Satisfaction Score]]&gt;=83,"High",H732&lt;=75,"Low",TRUE,"Moderate")</f>
        <v>Moderate</v>
      </c>
      <c r="O732" t="str">
        <f t="shared" si="11"/>
        <v>Adult</v>
      </c>
    </row>
    <row r="733" spans="1:15">
      <c r="A733" t="s">
        <v>801</v>
      </c>
      <c r="B733" t="s">
        <v>103</v>
      </c>
      <c r="C733" t="s">
        <v>26</v>
      </c>
      <c r="D733" t="s">
        <v>16</v>
      </c>
      <c r="E733" s="2">
        <v>33</v>
      </c>
      <c r="F733" t="s">
        <v>22</v>
      </c>
      <c r="G733" t="s">
        <v>40</v>
      </c>
      <c r="H733" s="2">
        <v>88</v>
      </c>
      <c r="I733" s="3">
        <v>1463</v>
      </c>
      <c r="J733" s="4">
        <v>1.19</v>
      </c>
      <c r="K733" s="2">
        <v>71</v>
      </c>
      <c r="L733" s="2">
        <v>4</v>
      </c>
      <c r="M733" s="3">
        <v>7798</v>
      </c>
      <c r="N733" t="str" cm="1">
        <f t="array" ref="N733">_xlfn.IFS(Table1_36[[#This Row],[Patient Satisfaction Score]]&gt;=83,"High",H733&lt;=75,"Low",TRUE,"Moderate")</f>
        <v>High</v>
      </c>
      <c r="O733" t="str">
        <f t="shared" si="11"/>
        <v>Adult</v>
      </c>
    </row>
    <row r="734" spans="1:15">
      <c r="A734" t="s">
        <v>802</v>
      </c>
      <c r="B734" t="s">
        <v>78</v>
      </c>
      <c r="C734" t="s">
        <v>15</v>
      </c>
      <c r="D734" t="s">
        <v>27</v>
      </c>
      <c r="E734" s="2">
        <v>52</v>
      </c>
      <c r="F734" t="s">
        <v>34</v>
      </c>
      <c r="G734" t="s">
        <v>70</v>
      </c>
      <c r="H734" s="2">
        <v>82</v>
      </c>
      <c r="I734" s="3">
        <v>5322</v>
      </c>
      <c r="J734" s="4">
        <v>19.55</v>
      </c>
      <c r="K734" s="2">
        <v>40</v>
      </c>
      <c r="L734" s="2">
        <v>4</v>
      </c>
      <c r="M734" s="3">
        <v>26782</v>
      </c>
      <c r="N734" t="str" cm="1">
        <f t="array" ref="N734">_xlfn.IFS(Table1_36[[#This Row],[Patient Satisfaction Score]]&gt;=83,"High",H734&lt;=75,"Low",TRUE,"Moderate")</f>
        <v>Moderate</v>
      </c>
      <c r="O734" t="str">
        <f t="shared" si="11"/>
        <v>Adult</v>
      </c>
    </row>
    <row r="735" spans="1:15">
      <c r="A735" t="s">
        <v>803</v>
      </c>
      <c r="B735" t="s">
        <v>66</v>
      </c>
      <c r="C735" t="s">
        <v>39</v>
      </c>
      <c r="D735" t="s">
        <v>27</v>
      </c>
      <c r="E735" s="2">
        <v>14</v>
      </c>
      <c r="F735" t="s">
        <v>34</v>
      </c>
      <c r="G735" t="s">
        <v>70</v>
      </c>
      <c r="H735" s="2">
        <v>97</v>
      </c>
      <c r="I735" s="3">
        <v>3050</v>
      </c>
      <c r="J735" s="4">
        <v>6.66</v>
      </c>
      <c r="K735" s="2">
        <v>79</v>
      </c>
      <c r="L735" s="2">
        <v>5</v>
      </c>
      <c r="M735" s="3">
        <v>11461</v>
      </c>
      <c r="N735" t="str" cm="1">
        <f t="array" ref="N735">_xlfn.IFS(Table1_36[[#This Row],[Patient Satisfaction Score]]&gt;=83,"High",H735&lt;=75,"Low",TRUE,"Moderate")</f>
        <v>High</v>
      </c>
      <c r="O735" t="str">
        <f t="shared" si="11"/>
        <v>Pediatric</v>
      </c>
    </row>
    <row r="736" spans="1:15">
      <c r="A736" t="s">
        <v>804</v>
      </c>
      <c r="B736" t="s">
        <v>56</v>
      </c>
      <c r="C736" t="s">
        <v>45</v>
      </c>
      <c r="D736" t="s">
        <v>27</v>
      </c>
      <c r="E736" s="2">
        <v>42</v>
      </c>
      <c r="F736" t="s">
        <v>34</v>
      </c>
      <c r="G736" t="s">
        <v>49</v>
      </c>
      <c r="H736" s="2">
        <v>77</v>
      </c>
      <c r="I736" s="3">
        <v>7816</v>
      </c>
      <c r="J736" s="4">
        <v>16.8</v>
      </c>
      <c r="K736" s="2">
        <v>106</v>
      </c>
      <c r="L736" s="2">
        <v>5</v>
      </c>
      <c r="M736" s="3">
        <v>26190</v>
      </c>
      <c r="N736" t="str" cm="1">
        <f t="array" ref="N736">_xlfn.IFS(Table1_36[[#This Row],[Patient Satisfaction Score]]&gt;=83,"High",H736&lt;=75,"Low",TRUE,"Moderate")</f>
        <v>Moderate</v>
      </c>
      <c r="O736" t="str">
        <f t="shared" si="11"/>
        <v>Adult</v>
      </c>
    </row>
    <row r="737" spans="1:15">
      <c r="A737" t="s">
        <v>805</v>
      </c>
      <c r="B737" t="s">
        <v>97</v>
      </c>
      <c r="C737" t="s">
        <v>30</v>
      </c>
      <c r="D737" t="s">
        <v>16</v>
      </c>
      <c r="E737" s="2">
        <v>30</v>
      </c>
      <c r="F737" t="s">
        <v>22</v>
      </c>
      <c r="G737" t="s">
        <v>23</v>
      </c>
      <c r="H737" s="2">
        <v>69</v>
      </c>
      <c r="I737" s="3">
        <v>3379</v>
      </c>
      <c r="J737" s="4">
        <v>12.56</v>
      </c>
      <c r="K737" s="2">
        <v>120</v>
      </c>
      <c r="L737" s="2">
        <v>3</v>
      </c>
      <c r="M737" s="3">
        <v>16078</v>
      </c>
      <c r="N737" t="str" cm="1">
        <f t="array" ref="N737">_xlfn.IFS(Table1_36[[#This Row],[Patient Satisfaction Score]]&gt;=83,"High",H737&lt;=75,"Low",TRUE,"Moderate")</f>
        <v>Low</v>
      </c>
      <c r="O737" t="str">
        <f t="shared" si="11"/>
        <v>Adult</v>
      </c>
    </row>
    <row r="738" spans="1:15">
      <c r="A738" t="s">
        <v>806</v>
      </c>
      <c r="B738" t="s">
        <v>80</v>
      </c>
      <c r="C738" t="s">
        <v>15</v>
      </c>
      <c r="D738" t="s">
        <v>16</v>
      </c>
      <c r="E738" s="2">
        <v>65</v>
      </c>
      <c r="F738" t="s">
        <v>34</v>
      </c>
      <c r="G738" t="s">
        <v>49</v>
      </c>
      <c r="H738" s="2">
        <v>84</v>
      </c>
      <c r="I738" s="3">
        <v>5972</v>
      </c>
      <c r="J738" s="4">
        <v>15.43</v>
      </c>
      <c r="K738" s="2">
        <v>94</v>
      </c>
      <c r="L738" s="2">
        <v>4</v>
      </c>
      <c r="M738" s="3">
        <v>15083</v>
      </c>
      <c r="N738" t="str" cm="1">
        <f t="array" ref="N738">_xlfn.IFS(Table1_36[[#This Row],[Patient Satisfaction Score]]&gt;=83,"High",H738&lt;=75,"Low",TRUE,"Moderate")</f>
        <v>High</v>
      </c>
      <c r="O738" t="str">
        <f t="shared" si="11"/>
        <v>Adult</v>
      </c>
    </row>
    <row r="739" spans="1:15">
      <c r="A739" t="s">
        <v>807</v>
      </c>
      <c r="B739" t="s">
        <v>95</v>
      </c>
      <c r="C739" t="s">
        <v>52</v>
      </c>
      <c r="D739" t="s">
        <v>27</v>
      </c>
      <c r="E739" s="2">
        <v>33</v>
      </c>
      <c r="F739" t="s">
        <v>34</v>
      </c>
      <c r="G739" t="s">
        <v>49</v>
      </c>
      <c r="H739" s="2">
        <v>78</v>
      </c>
      <c r="I739" s="3">
        <v>9259</v>
      </c>
      <c r="J739" s="4">
        <v>14.52</v>
      </c>
      <c r="K739" s="2">
        <v>80</v>
      </c>
      <c r="L739" s="2">
        <v>4</v>
      </c>
      <c r="M739" s="3">
        <v>37996</v>
      </c>
      <c r="N739" t="str" cm="1">
        <f t="array" ref="N739">_xlfn.IFS(Table1_36[[#This Row],[Patient Satisfaction Score]]&gt;=83,"High",H739&lt;=75,"Low",TRUE,"Moderate")</f>
        <v>Moderate</v>
      </c>
      <c r="O739" t="str">
        <f t="shared" si="11"/>
        <v>Adult</v>
      </c>
    </row>
    <row r="740" spans="1:15">
      <c r="A740" t="s">
        <v>808</v>
      </c>
      <c r="B740" t="s">
        <v>137</v>
      </c>
      <c r="C740" t="s">
        <v>26</v>
      </c>
      <c r="D740" t="s">
        <v>16</v>
      </c>
      <c r="E740" s="2">
        <v>48</v>
      </c>
      <c r="F740" t="s">
        <v>34</v>
      </c>
      <c r="G740" t="s">
        <v>49</v>
      </c>
      <c r="H740" s="2">
        <v>87</v>
      </c>
      <c r="I740" s="3">
        <v>2471</v>
      </c>
      <c r="J740" s="4">
        <v>2.06</v>
      </c>
      <c r="K740" s="2">
        <v>52</v>
      </c>
      <c r="L740" s="2">
        <v>4</v>
      </c>
      <c r="M740" s="3">
        <v>10116</v>
      </c>
      <c r="N740" t="str" cm="1">
        <f t="array" ref="N740">_xlfn.IFS(Table1_36[[#This Row],[Patient Satisfaction Score]]&gt;=83,"High",H740&lt;=75,"Low",TRUE,"Moderate")</f>
        <v>High</v>
      </c>
      <c r="O740" t="str">
        <f t="shared" si="11"/>
        <v>Adult</v>
      </c>
    </row>
    <row r="741" spans="1:15">
      <c r="A741" t="s">
        <v>809</v>
      </c>
      <c r="B741" t="s">
        <v>185</v>
      </c>
      <c r="C741" t="s">
        <v>52</v>
      </c>
      <c r="D741" t="s">
        <v>27</v>
      </c>
      <c r="E741" s="2">
        <v>8</v>
      </c>
      <c r="F741" t="s">
        <v>34</v>
      </c>
      <c r="G741" t="s">
        <v>31</v>
      </c>
      <c r="H741" s="2">
        <v>80</v>
      </c>
      <c r="I741" s="3">
        <v>8022</v>
      </c>
      <c r="J741" s="4">
        <v>8.9499999999999993</v>
      </c>
      <c r="K741" s="2">
        <v>100</v>
      </c>
      <c r="L741" s="2">
        <v>4</v>
      </c>
      <c r="M741" s="3">
        <v>29555</v>
      </c>
      <c r="N741" t="str" cm="1">
        <f t="array" ref="N741">_xlfn.IFS(Table1_36[[#This Row],[Patient Satisfaction Score]]&gt;=83,"High",H741&lt;=75,"Low",TRUE,"Moderate")</f>
        <v>Moderate</v>
      </c>
      <c r="O741" t="str">
        <f t="shared" si="11"/>
        <v>Pediatric</v>
      </c>
    </row>
    <row r="742" spans="1:15">
      <c r="A742" t="s">
        <v>810</v>
      </c>
      <c r="B742" t="s">
        <v>29</v>
      </c>
      <c r="C742" t="s">
        <v>30</v>
      </c>
      <c r="D742" t="s">
        <v>16</v>
      </c>
      <c r="E742" s="2">
        <v>59</v>
      </c>
      <c r="F742" t="s">
        <v>22</v>
      </c>
      <c r="G742" t="s">
        <v>49</v>
      </c>
      <c r="H742" s="2">
        <v>77</v>
      </c>
      <c r="I742" s="3">
        <v>4001</v>
      </c>
      <c r="J742" s="4">
        <v>27.58</v>
      </c>
      <c r="K742" s="2">
        <v>120</v>
      </c>
      <c r="L742" s="2">
        <v>4</v>
      </c>
      <c r="M742" s="3">
        <v>17805</v>
      </c>
      <c r="N742" t="str" cm="1">
        <f t="array" ref="N742">_xlfn.IFS(Table1_36[[#This Row],[Patient Satisfaction Score]]&gt;=83,"High",H742&lt;=75,"Low",TRUE,"Moderate")</f>
        <v>Moderate</v>
      </c>
      <c r="O742" t="str">
        <f t="shared" si="11"/>
        <v>Adult</v>
      </c>
    </row>
    <row r="743" spans="1:15">
      <c r="A743" t="s">
        <v>811</v>
      </c>
      <c r="B743" t="s">
        <v>20</v>
      </c>
      <c r="C743" t="s">
        <v>21</v>
      </c>
      <c r="D743" t="s">
        <v>16</v>
      </c>
      <c r="E743" s="2">
        <v>27</v>
      </c>
      <c r="F743" t="s">
        <v>34</v>
      </c>
      <c r="G743" t="s">
        <v>18</v>
      </c>
      <c r="H743" s="2">
        <v>81</v>
      </c>
      <c r="I743" s="3">
        <v>5405</v>
      </c>
      <c r="J743" s="4">
        <v>15.53</v>
      </c>
      <c r="K743" s="2">
        <v>109</v>
      </c>
      <c r="L743" s="2">
        <v>4</v>
      </c>
      <c r="M743" s="3">
        <v>26629</v>
      </c>
      <c r="N743" t="str" cm="1">
        <f t="array" ref="N743">_xlfn.IFS(Table1_36[[#This Row],[Patient Satisfaction Score]]&gt;=83,"High",H743&lt;=75,"Low",TRUE,"Moderate")</f>
        <v>Moderate</v>
      </c>
      <c r="O743" t="str">
        <f t="shared" si="11"/>
        <v>Adult</v>
      </c>
    </row>
    <row r="744" spans="1:15">
      <c r="A744" t="s">
        <v>812</v>
      </c>
      <c r="B744" t="s">
        <v>143</v>
      </c>
      <c r="C744" t="s">
        <v>21</v>
      </c>
      <c r="D744" t="s">
        <v>16</v>
      </c>
      <c r="E744" s="2">
        <v>3</v>
      </c>
      <c r="F744" t="s">
        <v>17</v>
      </c>
      <c r="G744" t="s">
        <v>23</v>
      </c>
      <c r="H744" s="2">
        <v>80</v>
      </c>
      <c r="I744" s="3">
        <v>7958</v>
      </c>
      <c r="J744" s="4">
        <v>14.25</v>
      </c>
      <c r="K744" s="2">
        <v>89</v>
      </c>
      <c r="L744" s="2">
        <v>4</v>
      </c>
      <c r="M744" s="3">
        <v>25563</v>
      </c>
      <c r="N744" t="str" cm="1">
        <f t="array" ref="N744">_xlfn.IFS(Table1_36[[#This Row],[Patient Satisfaction Score]]&gt;=83,"High",H744&lt;=75,"Low",TRUE,"Moderate")</f>
        <v>Moderate</v>
      </c>
      <c r="O744" t="str">
        <f t="shared" si="11"/>
        <v>Pediatric</v>
      </c>
    </row>
    <row r="745" spans="1:15">
      <c r="A745" t="s">
        <v>813</v>
      </c>
      <c r="B745" t="s">
        <v>25</v>
      </c>
      <c r="C745" t="s">
        <v>26</v>
      </c>
      <c r="D745" t="s">
        <v>72</v>
      </c>
      <c r="E745" s="2">
        <v>38</v>
      </c>
      <c r="F745" t="s">
        <v>34</v>
      </c>
      <c r="G745" t="s">
        <v>18</v>
      </c>
      <c r="H745" s="2">
        <v>92</v>
      </c>
      <c r="I745" s="3">
        <v>2564</v>
      </c>
      <c r="J745" s="4">
        <v>0</v>
      </c>
      <c r="K745" s="2">
        <v>59</v>
      </c>
      <c r="L745" s="2">
        <v>4</v>
      </c>
      <c r="M745" s="3">
        <v>9964</v>
      </c>
      <c r="N745" t="str" cm="1">
        <f t="array" ref="N745">_xlfn.IFS(Table1_36[[#This Row],[Patient Satisfaction Score]]&gt;=83,"High",H745&lt;=75,"Low",TRUE,"Moderate")</f>
        <v>High</v>
      </c>
      <c r="O745" t="str">
        <f t="shared" si="11"/>
        <v>Adult</v>
      </c>
    </row>
    <row r="746" spans="1:15">
      <c r="A746" t="s">
        <v>814</v>
      </c>
      <c r="B746" t="s">
        <v>84</v>
      </c>
      <c r="C746" t="s">
        <v>21</v>
      </c>
      <c r="D746" t="s">
        <v>27</v>
      </c>
      <c r="E746" s="2">
        <v>38</v>
      </c>
      <c r="F746" t="s">
        <v>22</v>
      </c>
      <c r="G746" t="s">
        <v>23</v>
      </c>
      <c r="H746" s="2">
        <v>80</v>
      </c>
      <c r="I746" s="3">
        <v>7466</v>
      </c>
      <c r="J746" s="4">
        <v>14.18</v>
      </c>
      <c r="K746" s="2">
        <v>63</v>
      </c>
      <c r="L746" s="2">
        <v>5</v>
      </c>
      <c r="M746" s="3">
        <v>44492</v>
      </c>
      <c r="N746" t="str" cm="1">
        <f t="array" ref="N746">_xlfn.IFS(Table1_36[[#This Row],[Patient Satisfaction Score]]&gt;=83,"High",H746&lt;=75,"Low",TRUE,"Moderate")</f>
        <v>Moderate</v>
      </c>
      <c r="O746" t="str">
        <f t="shared" si="11"/>
        <v>Adult</v>
      </c>
    </row>
    <row r="747" spans="1:15">
      <c r="A747" t="s">
        <v>815</v>
      </c>
      <c r="B747" t="s">
        <v>88</v>
      </c>
      <c r="C747" t="s">
        <v>15</v>
      </c>
      <c r="D747" t="s">
        <v>16</v>
      </c>
      <c r="E747" s="2">
        <v>31</v>
      </c>
      <c r="F747" t="s">
        <v>22</v>
      </c>
      <c r="G747" t="s">
        <v>40</v>
      </c>
      <c r="H747" s="2">
        <v>76</v>
      </c>
      <c r="I747" s="3">
        <v>6387</v>
      </c>
      <c r="J747" s="4">
        <v>9.5</v>
      </c>
      <c r="K747" s="2">
        <v>83</v>
      </c>
      <c r="L747" s="2">
        <v>4</v>
      </c>
      <c r="M747" s="3">
        <v>29174</v>
      </c>
      <c r="N747" t="str" cm="1">
        <f t="array" ref="N747">_xlfn.IFS(Table1_36[[#This Row],[Patient Satisfaction Score]]&gt;=83,"High",H747&lt;=75,"Low",TRUE,"Moderate")</f>
        <v>Moderate</v>
      </c>
      <c r="O747" t="str">
        <f t="shared" si="11"/>
        <v>Adult</v>
      </c>
    </row>
    <row r="748" spans="1:15">
      <c r="A748" t="s">
        <v>816</v>
      </c>
      <c r="B748" t="s">
        <v>47</v>
      </c>
      <c r="C748" t="s">
        <v>48</v>
      </c>
      <c r="D748" t="s">
        <v>27</v>
      </c>
      <c r="E748" s="2">
        <v>49</v>
      </c>
      <c r="F748" t="s">
        <v>17</v>
      </c>
      <c r="G748" t="s">
        <v>31</v>
      </c>
      <c r="H748" s="2">
        <v>79</v>
      </c>
      <c r="I748" s="3">
        <v>6049</v>
      </c>
      <c r="J748" s="4">
        <v>16.149999999999999</v>
      </c>
      <c r="K748" s="2">
        <v>77</v>
      </c>
      <c r="L748" s="2">
        <v>5</v>
      </c>
      <c r="M748" s="3">
        <v>26824</v>
      </c>
      <c r="N748" t="str" cm="1">
        <f t="array" ref="N748">_xlfn.IFS(Table1_36[[#This Row],[Patient Satisfaction Score]]&gt;=83,"High",H748&lt;=75,"Low",TRUE,"Moderate")</f>
        <v>Moderate</v>
      </c>
      <c r="O748" t="str">
        <f t="shared" si="11"/>
        <v>Adult</v>
      </c>
    </row>
    <row r="749" spans="1:15">
      <c r="A749" t="s">
        <v>817</v>
      </c>
      <c r="B749" t="s">
        <v>25</v>
      </c>
      <c r="C749" t="s">
        <v>26</v>
      </c>
      <c r="D749" t="s">
        <v>27</v>
      </c>
      <c r="E749" s="2">
        <v>10</v>
      </c>
      <c r="F749" t="s">
        <v>17</v>
      </c>
      <c r="G749" t="s">
        <v>49</v>
      </c>
      <c r="H749" s="2">
        <v>90</v>
      </c>
      <c r="I749" s="3">
        <v>2543</v>
      </c>
      <c r="J749" s="4">
        <v>3.3</v>
      </c>
      <c r="K749" s="2">
        <v>49</v>
      </c>
      <c r="L749" s="2">
        <v>5</v>
      </c>
      <c r="M749" s="3">
        <v>10667</v>
      </c>
      <c r="N749" t="str" cm="1">
        <f t="array" ref="N749">_xlfn.IFS(Table1_36[[#This Row],[Patient Satisfaction Score]]&gt;=83,"High",H749&lt;=75,"Low",TRUE,"Moderate")</f>
        <v>High</v>
      </c>
      <c r="O749" t="str">
        <f t="shared" si="11"/>
        <v>Pediatric</v>
      </c>
    </row>
    <row r="750" spans="1:15">
      <c r="A750" t="s">
        <v>818</v>
      </c>
      <c r="B750" t="s">
        <v>14</v>
      </c>
      <c r="C750" t="s">
        <v>15</v>
      </c>
      <c r="D750" t="s">
        <v>16</v>
      </c>
      <c r="E750" s="2">
        <v>46</v>
      </c>
      <c r="F750" t="s">
        <v>17</v>
      </c>
      <c r="G750" t="s">
        <v>40</v>
      </c>
      <c r="H750" s="2">
        <v>73</v>
      </c>
      <c r="I750" s="3">
        <v>4450</v>
      </c>
      <c r="J750" s="4">
        <v>13.18</v>
      </c>
      <c r="K750" s="2">
        <v>70</v>
      </c>
      <c r="L750" s="2">
        <v>4</v>
      </c>
      <c r="M750" s="3">
        <v>11764</v>
      </c>
      <c r="N750" t="str" cm="1">
        <f t="array" ref="N750">_xlfn.IFS(Table1_36[[#This Row],[Patient Satisfaction Score]]&gt;=83,"High",H750&lt;=75,"Low",TRUE,"Moderate")</f>
        <v>Low</v>
      </c>
      <c r="O750" t="str">
        <f t="shared" si="11"/>
        <v>Adult</v>
      </c>
    </row>
    <row r="751" spans="1:15">
      <c r="A751" t="s">
        <v>819</v>
      </c>
      <c r="B751" t="s">
        <v>54</v>
      </c>
      <c r="C751" t="s">
        <v>39</v>
      </c>
      <c r="D751" t="s">
        <v>27</v>
      </c>
      <c r="E751" s="2">
        <v>12</v>
      </c>
      <c r="F751" t="s">
        <v>22</v>
      </c>
      <c r="G751" t="s">
        <v>70</v>
      </c>
      <c r="H751" s="2">
        <v>89</v>
      </c>
      <c r="I751" s="3">
        <v>3187</v>
      </c>
      <c r="J751" s="4">
        <v>8.52</v>
      </c>
      <c r="K751" s="2">
        <v>43</v>
      </c>
      <c r="L751" s="2">
        <v>4</v>
      </c>
      <c r="M751" s="3">
        <v>8585</v>
      </c>
      <c r="N751" t="str" cm="1">
        <f t="array" ref="N751">_xlfn.IFS(Table1_36[[#This Row],[Patient Satisfaction Score]]&gt;=83,"High",H751&lt;=75,"Low",TRUE,"Moderate")</f>
        <v>High</v>
      </c>
      <c r="O751" t="str">
        <f t="shared" si="11"/>
        <v>Pediatric</v>
      </c>
    </row>
    <row r="752" spans="1:15">
      <c r="A752" t="s">
        <v>820</v>
      </c>
      <c r="B752" t="s">
        <v>74</v>
      </c>
      <c r="C752" t="s">
        <v>45</v>
      </c>
      <c r="D752" t="s">
        <v>27</v>
      </c>
      <c r="E752" s="2">
        <v>29</v>
      </c>
      <c r="F752" t="s">
        <v>34</v>
      </c>
      <c r="G752" t="s">
        <v>18</v>
      </c>
      <c r="H752" s="2">
        <v>75</v>
      </c>
      <c r="I752" s="3">
        <v>10851</v>
      </c>
      <c r="J752" s="4">
        <v>19.010000000000002</v>
      </c>
      <c r="K752" s="2">
        <v>96</v>
      </c>
      <c r="L752" s="2">
        <v>4</v>
      </c>
      <c r="M752" s="3">
        <v>54242</v>
      </c>
      <c r="N752" t="str" cm="1">
        <f t="array" ref="N752">_xlfn.IFS(Table1_36[[#This Row],[Patient Satisfaction Score]]&gt;=83,"High",H752&lt;=75,"Low",TRUE,"Moderate")</f>
        <v>Low</v>
      </c>
      <c r="O752" t="str">
        <f t="shared" si="11"/>
        <v>Adult</v>
      </c>
    </row>
    <row r="753" spans="1:15">
      <c r="A753" t="s">
        <v>821</v>
      </c>
      <c r="B753" t="s">
        <v>25</v>
      </c>
      <c r="C753" t="s">
        <v>26</v>
      </c>
      <c r="D753" t="s">
        <v>27</v>
      </c>
      <c r="E753" s="2">
        <v>45</v>
      </c>
      <c r="F753" t="s">
        <v>34</v>
      </c>
      <c r="G753" t="s">
        <v>31</v>
      </c>
      <c r="H753" s="2">
        <v>88</v>
      </c>
      <c r="I753" s="3">
        <v>2537</v>
      </c>
      <c r="J753" s="4">
        <v>0.9</v>
      </c>
      <c r="K753" s="2">
        <v>61</v>
      </c>
      <c r="L753" s="2">
        <v>4</v>
      </c>
      <c r="M753" s="3">
        <v>10626</v>
      </c>
      <c r="N753" t="str" cm="1">
        <f t="array" ref="N753">_xlfn.IFS(Table1_36[[#This Row],[Patient Satisfaction Score]]&gt;=83,"High",H753&lt;=75,"Low",TRUE,"Moderate")</f>
        <v>High</v>
      </c>
      <c r="O753" t="str">
        <f t="shared" si="11"/>
        <v>Adult</v>
      </c>
    </row>
    <row r="754" spans="1:15">
      <c r="A754" t="s">
        <v>822</v>
      </c>
      <c r="B754" t="s">
        <v>51</v>
      </c>
      <c r="C754" t="s">
        <v>52</v>
      </c>
      <c r="D754" t="s">
        <v>16</v>
      </c>
      <c r="E754" s="2">
        <v>44</v>
      </c>
      <c r="F754" t="s">
        <v>34</v>
      </c>
      <c r="G754" t="s">
        <v>40</v>
      </c>
      <c r="H754" s="2">
        <v>89</v>
      </c>
      <c r="I754" s="3">
        <v>7785</v>
      </c>
      <c r="J754" s="4">
        <v>16.079999999999998</v>
      </c>
      <c r="K754" s="2">
        <v>51</v>
      </c>
      <c r="L754" s="2">
        <v>4</v>
      </c>
      <c r="M754" s="3">
        <v>35914</v>
      </c>
      <c r="N754" t="str" cm="1">
        <f t="array" ref="N754">_xlfn.IFS(Table1_36[[#This Row],[Patient Satisfaction Score]]&gt;=83,"High",H754&lt;=75,"Low",TRUE,"Moderate")</f>
        <v>High</v>
      </c>
      <c r="O754" t="str">
        <f t="shared" si="11"/>
        <v>Adult</v>
      </c>
    </row>
    <row r="755" spans="1:15">
      <c r="A755" t="s">
        <v>823</v>
      </c>
      <c r="B755" t="s">
        <v>64</v>
      </c>
      <c r="C755" t="s">
        <v>30</v>
      </c>
      <c r="D755" t="s">
        <v>16</v>
      </c>
      <c r="E755" s="2">
        <v>30</v>
      </c>
      <c r="F755" t="s">
        <v>34</v>
      </c>
      <c r="G755" t="s">
        <v>40</v>
      </c>
      <c r="H755" s="2">
        <v>75</v>
      </c>
      <c r="I755" s="3">
        <v>3272</v>
      </c>
      <c r="J755" s="4">
        <v>14.25</v>
      </c>
      <c r="K755" s="2">
        <v>76</v>
      </c>
      <c r="L755" s="2">
        <v>4</v>
      </c>
      <c r="M755" s="3">
        <v>9096</v>
      </c>
      <c r="N755" t="str" cm="1">
        <f t="array" ref="N755">_xlfn.IFS(Table1_36[[#This Row],[Patient Satisfaction Score]]&gt;=83,"High",H755&lt;=75,"Low",TRUE,"Moderate")</f>
        <v>Low</v>
      </c>
      <c r="O755" t="str">
        <f t="shared" si="11"/>
        <v>Adult</v>
      </c>
    </row>
    <row r="756" spans="1:15">
      <c r="A756" t="s">
        <v>824</v>
      </c>
      <c r="B756" t="s">
        <v>122</v>
      </c>
      <c r="C756" t="s">
        <v>48</v>
      </c>
      <c r="D756" t="s">
        <v>16</v>
      </c>
      <c r="E756" s="2">
        <v>39</v>
      </c>
      <c r="F756" t="s">
        <v>22</v>
      </c>
      <c r="G756" t="s">
        <v>23</v>
      </c>
      <c r="H756" s="2">
        <v>82</v>
      </c>
      <c r="I756" s="3">
        <v>6179</v>
      </c>
      <c r="J756" s="4">
        <v>12.39</v>
      </c>
      <c r="K756" s="2">
        <v>74</v>
      </c>
      <c r="L756" s="2">
        <v>4</v>
      </c>
      <c r="M756" s="3">
        <v>16579</v>
      </c>
      <c r="N756" t="str" cm="1">
        <f t="array" ref="N756">_xlfn.IFS(Table1_36[[#This Row],[Patient Satisfaction Score]]&gt;=83,"High",H756&lt;=75,"Low",TRUE,"Moderate")</f>
        <v>Moderate</v>
      </c>
      <c r="O756" t="str">
        <f t="shared" si="11"/>
        <v>Adult</v>
      </c>
    </row>
    <row r="757" spans="1:15">
      <c r="A757" t="s">
        <v>825</v>
      </c>
      <c r="B757" t="s">
        <v>60</v>
      </c>
      <c r="C757" t="s">
        <v>52</v>
      </c>
      <c r="D757" t="s">
        <v>27</v>
      </c>
      <c r="E757" s="2">
        <v>55</v>
      </c>
      <c r="F757" t="s">
        <v>22</v>
      </c>
      <c r="G757" t="s">
        <v>70</v>
      </c>
      <c r="H757" s="2">
        <v>77</v>
      </c>
      <c r="I757" s="3">
        <v>8064</v>
      </c>
      <c r="J757" s="4">
        <v>19.73</v>
      </c>
      <c r="K757" s="2">
        <v>88</v>
      </c>
      <c r="L757" s="2">
        <v>4</v>
      </c>
      <c r="M757" s="3">
        <v>40683</v>
      </c>
      <c r="N757" t="str" cm="1">
        <f t="array" ref="N757">_xlfn.IFS(Table1_36[[#This Row],[Patient Satisfaction Score]]&gt;=83,"High",H757&lt;=75,"Low",TRUE,"Moderate")</f>
        <v>Moderate</v>
      </c>
      <c r="O757" t="str">
        <f t="shared" si="11"/>
        <v>Adult</v>
      </c>
    </row>
    <row r="758" spans="1:15">
      <c r="A758" t="s">
        <v>826</v>
      </c>
      <c r="B758" t="s">
        <v>25</v>
      </c>
      <c r="C758" t="s">
        <v>39</v>
      </c>
      <c r="D758" t="s">
        <v>16</v>
      </c>
      <c r="E758" s="2">
        <v>12</v>
      </c>
      <c r="F758" t="s">
        <v>22</v>
      </c>
      <c r="G758" t="s">
        <v>31</v>
      </c>
      <c r="H758" s="2">
        <v>89</v>
      </c>
      <c r="I758" s="3">
        <v>2655</v>
      </c>
      <c r="J758" s="4">
        <v>10.15</v>
      </c>
      <c r="K758" s="2">
        <v>46</v>
      </c>
      <c r="L758" s="2">
        <v>4</v>
      </c>
      <c r="M758" s="3">
        <v>11791</v>
      </c>
      <c r="N758" t="str" cm="1">
        <f t="array" ref="N758">_xlfn.IFS(Table1_36[[#This Row],[Patient Satisfaction Score]]&gt;=83,"High",H758&lt;=75,"Low",TRUE,"Moderate")</f>
        <v>High</v>
      </c>
      <c r="O758" t="str">
        <f t="shared" si="11"/>
        <v>Pediatric</v>
      </c>
    </row>
    <row r="759" spans="1:15">
      <c r="A759" t="s">
        <v>827</v>
      </c>
      <c r="B759" t="s">
        <v>54</v>
      </c>
      <c r="C759" t="s">
        <v>15</v>
      </c>
      <c r="D759" t="s">
        <v>27</v>
      </c>
      <c r="E759" s="2">
        <v>60</v>
      </c>
      <c r="F759" t="s">
        <v>34</v>
      </c>
      <c r="G759" t="s">
        <v>31</v>
      </c>
      <c r="H759" s="2">
        <v>71</v>
      </c>
      <c r="I759" s="3">
        <v>6857</v>
      </c>
      <c r="J759" s="4">
        <v>19.96</v>
      </c>
      <c r="K759" s="2">
        <v>61</v>
      </c>
      <c r="L759" s="2">
        <v>4</v>
      </c>
      <c r="M759" s="3">
        <v>36461</v>
      </c>
      <c r="N759" t="str" cm="1">
        <f t="array" ref="N759">_xlfn.IFS(Table1_36[[#This Row],[Patient Satisfaction Score]]&gt;=83,"High",H759&lt;=75,"Low",TRUE,"Moderate")</f>
        <v>Low</v>
      </c>
      <c r="O759" t="str">
        <f t="shared" si="11"/>
        <v>Adult</v>
      </c>
    </row>
    <row r="760" spans="1:15">
      <c r="A760" t="s">
        <v>828</v>
      </c>
      <c r="B760" t="s">
        <v>44</v>
      </c>
      <c r="C760" t="s">
        <v>45</v>
      </c>
      <c r="D760" t="s">
        <v>16</v>
      </c>
      <c r="E760" s="2">
        <v>27</v>
      </c>
      <c r="F760" t="s">
        <v>17</v>
      </c>
      <c r="G760" t="s">
        <v>49</v>
      </c>
      <c r="H760" s="2">
        <v>68</v>
      </c>
      <c r="I760" s="3">
        <v>9247</v>
      </c>
      <c r="J760" s="4">
        <v>28.67</v>
      </c>
      <c r="K760" s="2">
        <v>94</v>
      </c>
      <c r="L760" s="2">
        <v>3</v>
      </c>
      <c r="M760" s="3">
        <v>33930</v>
      </c>
      <c r="N760" t="str" cm="1">
        <f t="array" ref="N760">_xlfn.IFS(Table1_36[[#This Row],[Patient Satisfaction Score]]&gt;=83,"High",H760&lt;=75,"Low",TRUE,"Moderate")</f>
        <v>Low</v>
      </c>
      <c r="O760" t="str">
        <f t="shared" si="11"/>
        <v>Adult</v>
      </c>
    </row>
    <row r="761" spans="1:15">
      <c r="A761" t="s">
        <v>829</v>
      </c>
      <c r="B761" t="s">
        <v>20</v>
      </c>
      <c r="C761" t="s">
        <v>21</v>
      </c>
      <c r="D761" t="s">
        <v>27</v>
      </c>
      <c r="E761" s="2">
        <v>90</v>
      </c>
      <c r="F761" t="s">
        <v>22</v>
      </c>
      <c r="G761" t="s">
        <v>70</v>
      </c>
      <c r="H761" s="2">
        <v>67</v>
      </c>
      <c r="I761" s="3">
        <v>5354</v>
      </c>
      <c r="J761" s="4">
        <v>20.62</v>
      </c>
      <c r="K761" s="2">
        <v>103</v>
      </c>
      <c r="L761" s="2">
        <v>3</v>
      </c>
      <c r="M761" s="3">
        <v>24196</v>
      </c>
      <c r="N761" t="str" cm="1">
        <f t="array" ref="N761">_xlfn.IFS(Table1_36[[#This Row],[Patient Satisfaction Score]]&gt;=83,"High",H761&lt;=75,"Low",TRUE,"Moderate")</f>
        <v>Low</v>
      </c>
      <c r="O761" t="str">
        <f t="shared" si="11"/>
        <v>Adult</v>
      </c>
    </row>
    <row r="762" spans="1:15">
      <c r="A762" t="s">
        <v>830</v>
      </c>
      <c r="B762" t="s">
        <v>84</v>
      </c>
      <c r="C762" t="s">
        <v>21</v>
      </c>
      <c r="D762" t="s">
        <v>16</v>
      </c>
      <c r="E762" s="2">
        <v>36</v>
      </c>
      <c r="F762" t="s">
        <v>17</v>
      </c>
      <c r="G762" t="s">
        <v>18</v>
      </c>
      <c r="H762" s="2">
        <v>69</v>
      </c>
      <c r="I762" s="3">
        <v>7214</v>
      </c>
      <c r="J762" s="4">
        <v>22.21</v>
      </c>
      <c r="K762" s="2">
        <v>70</v>
      </c>
      <c r="L762" s="2">
        <v>3</v>
      </c>
      <c r="M762" s="3">
        <v>32227</v>
      </c>
      <c r="N762" t="str" cm="1">
        <f t="array" ref="N762">_xlfn.IFS(Table1_36[[#This Row],[Patient Satisfaction Score]]&gt;=83,"High",H762&lt;=75,"Low",TRUE,"Moderate")</f>
        <v>Low</v>
      </c>
      <c r="O762" t="str">
        <f t="shared" si="11"/>
        <v>Adult</v>
      </c>
    </row>
    <row r="763" spans="1:15">
      <c r="A763" t="s">
        <v>831</v>
      </c>
      <c r="B763" t="s">
        <v>60</v>
      </c>
      <c r="C763" t="s">
        <v>52</v>
      </c>
      <c r="D763" t="s">
        <v>16</v>
      </c>
      <c r="E763" s="2">
        <v>54</v>
      </c>
      <c r="F763" t="s">
        <v>17</v>
      </c>
      <c r="G763" t="s">
        <v>23</v>
      </c>
      <c r="H763" s="2">
        <v>85</v>
      </c>
      <c r="I763" s="3">
        <v>6740</v>
      </c>
      <c r="J763" s="4">
        <v>8.42</v>
      </c>
      <c r="K763" s="2">
        <v>84</v>
      </c>
      <c r="L763" s="2">
        <v>4</v>
      </c>
      <c r="M763" s="3">
        <v>39069</v>
      </c>
      <c r="N763" t="str" cm="1">
        <f t="array" ref="N763">_xlfn.IFS(Table1_36[[#This Row],[Patient Satisfaction Score]]&gt;=83,"High",H763&lt;=75,"Low",TRUE,"Moderate")</f>
        <v>High</v>
      </c>
      <c r="O763" t="str">
        <f t="shared" si="11"/>
        <v>Adult</v>
      </c>
    </row>
    <row r="764" spans="1:15">
      <c r="A764" t="s">
        <v>832</v>
      </c>
      <c r="B764" t="s">
        <v>74</v>
      </c>
      <c r="C764" t="s">
        <v>45</v>
      </c>
      <c r="D764" t="s">
        <v>16</v>
      </c>
      <c r="E764" s="2">
        <v>37</v>
      </c>
      <c r="F764" t="s">
        <v>22</v>
      </c>
      <c r="G764" t="s">
        <v>18</v>
      </c>
      <c r="H764" s="2">
        <v>67</v>
      </c>
      <c r="I764" s="3">
        <v>7347</v>
      </c>
      <c r="J764" s="4">
        <v>23.92</v>
      </c>
      <c r="K764" s="2">
        <v>99</v>
      </c>
      <c r="L764" s="2">
        <v>3</v>
      </c>
      <c r="M764" s="3">
        <v>23280</v>
      </c>
      <c r="N764" t="str" cm="1">
        <f t="array" ref="N764">_xlfn.IFS(Table1_36[[#This Row],[Patient Satisfaction Score]]&gt;=83,"High",H764&lt;=75,"Low",TRUE,"Moderate")</f>
        <v>Low</v>
      </c>
      <c r="O764" t="str">
        <f t="shared" si="11"/>
        <v>Adult</v>
      </c>
    </row>
    <row r="765" spans="1:15">
      <c r="A765" t="s">
        <v>833</v>
      </c>
      <c r="B765" t="s">
        <v>150</v>
      </c>
      <c r="C765" t="s">
        <v>48</v>
      </c>
      <c r="D765" t="s">
        <v>16</v>
      </c>
      <c r="E765" s="2">
        <v>40</v>
      </c>
      <c r="F765" t="s">
        <v>22</v>
      </c>
      <c r="G765" t="s">
        <v>70</v>
      </c>
      <c r="H765" s="2">
        <v>81</v>
      </c>
      <c r="I765" s="3">
        <v>4931</v>
      </c>
      <c r="J765" s="4">
        <v>5.91</v>
      </c>
      <c r="K765" s="2">
        <v>103</v>
      </c>
      <c r="L765" s="2">
        <v>4</v>
      </c>
      <c r="M765" s="3">
        <v>17027</v>
      </c>
      <c r="N765" t="str" cm="1">
        <f t="array" ref="N765">_xlfn.IFS(Table1_36[[#This Row],[Patient Satisfaction Score]]&gt;=83,"High",H765&lt;=75,"Low",TRUE,"Moderate")</f>
        <v>Moderate</v>
      </c>
      <c r="O765" t="str">
        <f t="shared" si="11"/>
        <v>Adult</v>
      </c>
    </row>
    <row r="766" spans="1:15">
      <c r="A766" t="s">
        <v>834</v>
      </c>
      <c r="B766" t="s">
        <v>14</v>
      </c>
      <c r="C766" t="s">
        <v>15</v>
      </c>
      <c r="D766" t="s">
        <v>27</v>
      </c>
      <c r="E766" s="2">
        <v>38</v>
      </c>
      <c r="F766" t="s">
        <v>34</v>
      </c>
      <c r="G766" t="s">
        <v>49</v>
      </c>
      <c r="H766" s="2">
        <v>88</v>
      </c>
      <c r="I766" s="3">
        <v>7209</v>
      </c>
      <c r="J766" s="4">
        <v>19.079999999999998</v>
      </c>
      <c r="K766" s="2">
        <v>74</v>
      </c>
      <c r="L766" s="2">
        <v>5</v>
      </c>
      <c r="M766" s="3">
        <v>27257</v>
      </c>
      <c r="N766" t="str" cm="1">
        <f t="array" ref="N766">_xlfn.IFS(Table1_36[[#This Row],[Patient Satisfaction Score]]&gt;=83,"High",H766&lt;=75,"Low",TRUE,"Moderate")</f>
        <v>High</v>
      </c>
      <c r="O766" t="str">
        <f t="shared" si="11"/>
        <v>Adult</v>
      </c>
    </row>
    <row r="767" spans="1:15">
      <c r="A767" t="s">
        <v>835</v>
      </c>
      <c r="B767" t="s">
        <v>68</v>
      </c>
      <c r="C767" t="s">
        <v>45</v>
      </c>
      <c r="D767" t="s">
        <v>72</v>
      </c>
      <c r="E767" s="2">
        <v>47</v>
      </c>
      <c r="F767" t="s">
        <v>34</v>
      </c>
      <c r="G767" t="s">
        <v>49</v>
      </c>
      <c r="H767" s="2">
        <v>75</v>
      </c>
      <c r="I767" s="3">
        <v>10303</v>
      </c>
      <c r="J767" s="4">
        <v>17.239999999999998</v>
      </c>
      <c r="K767" s="2">
        <v>122</v>
      </c>
      <c r="L767" s="2">
        <v>4</v>
      </c>
      <c r="M767" s="3">
        <v>53311</v>
      </c>
      <c r="N767" t="str" cm="1">
        <f t="array" ref="N767">_xlfn.IFS(Table1_36[[#This Row],[Patient Satisfaction Score]]&gt;=83,"High",H767&lt;=75,"Low",TRUE,"Moderate")</f>
        <v>Low</v>
      </c>
      <c r="O767" t="str">
        <f t="shared" si="11"/>
        <v>Adult</v>
      </c>
    </row>
    <row r="768" spans="1:15">
      <c r="A768" t="s">
        <v>836</v>
      </c>
      <c r="B768" t="s">
        <v>25</v>
      </c>
      <c r="C768" t="s">
        <v>39</v>
      </c>
      <c r="D768" t="s">
        <v>27</v>
      </c>
      <c r="E768" s="2">
        <v>7</v>
      </c>
      <c r="F768" t="s">
        <v>34</v>
      </c>
      <c r="G768" t="s">
        <v>31</v>
      </c>
      <c r="H768" s="2">
        <v>96</v>
      </c>
      <c r="I768" s="3">
        <v>2691</v>
      </c>
      <c r="J768" s="4">
        <v>3.2</v>
      </c>
      <c r="K768" s="2">
        <v>49</v>
      </c>
      <c r="L768" s="2">
        <v>5</v>
      </c>
      <c r="M768" s="3">
        <v>7793</v>
      </c>
      <c r="N768" t="str" cm="1">
        <f t="array" ref="N768">_xlfn.IFS(Table1_36[[#This Row],[Patient Satisfaction Score]]&gt;=83,"High",H768&lt;=75,"Low",TRUE,"Moderate")</f>
        <v>High</v>
      </c>
      <c r="O768" t="str">
        <f t="shared" si="11"/>
        <v>Pediatric</v>
      </c>
    </row>
    <row r="769" spans="1:15">
      <c r="A769" t="s">
        <v>837</v>
      </c>
      <c r="B769" t="s">
        <v>80</v>
      </c>
      <c r="C769" t="s">
        <v>15</v>
      </c>
      <c r="D769" t="s">
        <v>27</v>
      </c>
      <c r="E769" s="2">
        <v>36</v>
      </c>
      <c r="F769" t="s">
        <v>17</v>
      </c>
      <c r="G769" t="s">
        <v>18</v>
      </c>
      <c r="H769" s="2">
        <v>85</v>
      </c>
      <c r="I769" s="3">
        <v>8849</v>
      </c>
      <c r="J769" s="4">
        <v>16.68</v>
      </c>
      <c r="K769" s="2">
        <v>34</v>
      </c>
      <c r="L769" s="2">
        <v>4</v>
      </c>
      <c r="M769" s="3">
        <v>43581</v>
      </c>
      <c r="N769" t="str" cm="1">
        <f t="array" ref="N769">_xlfn.IFS(Table1_36[[#This Row],[Patient Satisfaction Score]]&gt;=83,"High",H769&lt;=75,"Low",TRUE,"Moderate")</f>
        <v>High</v>
      </c>
      <c r="O769" t="str">
        <f t="shared" si="11"/>
        <v>Adult</v>
      </c>
    </row>
    <row r="770" spans="1:15">
      <c r="A770" t="s">
        <v>838</v>
      </c>
      <c r="B770" t="s">
        <v>60</v>
      </c>
      <c r="C770" t="s">
        <v>52</v>
      </c>
      <c r="D770" t="s">
        <v>16</v>
      </c>
      <c r="E770" s="2">
        <v>81</v>
      </c>
      <c r="F770" t="s">
        <v>22</v>
      </c>
      <c r="G770" t="s">
        <v>18</v>
      </c>
      <c r="H770" s="2">
        <v>79</v>
      </c>
      <c r="I770" s="3">
        <v>6310</v>
      </c>
      <c r="J770" s="4">
        <v>12.97</v>
      </c>
      <c r="K770" s="2">
        <v>90</v>
      </c>
      <c r="L770" s="2">
        <v>5</v>
      </c>
      <c r="M770" s="3">
        <v>29895</v>
      </c>
      <c r="N770" t="str" cm="1">
        <f t="array" ref="N770">_xlfn.IFS(Table1_36[[#This Row],[Patient Satisfaction Score]]&gt;=83,"High",H770&lt;=75,"Low",TRUE,"Moderate")</f>
        <v>Moderate</v>
      </c>
      <c r="O770" t="str">
        <f t="shared" ref="O770:O833" si="12">IF(E770&lt;19,"Pediatric","Adult")</f>
        <v>Adult</v>
      </c>
    </row>
    <row r="771" spans="1:15">
      <c r="A771" t="s">
        <v>839</v>
      </c>
      <c r="B771" t="s">
        <v>122</v>
      </c>
      <c r="C771" t="s">
        <v>48</v>
      </c>
      <c r="D771" t="s">
        <v>16</v>
      </c>
      <c r="E771" s="2">
        <v>58</v>
      </c>
      <c r="F771" t="s">
        <v>22</v>
      </c>
      <c r="G771" t="s">
        <v>23</v>
      </c>
      <c r="H771" s="2">
        <v>88</v>
      </c>
      <c r="I771" s="3">
        <v>5044</v>
      </c>
      <c r="J771" s="4">
        <v>12.67</v>
      </c>
      <c r="K771" s="2">
        <v>69</v>
      </c>
      <c r="L771" s="2">
        <v>4</v>
      </c>
      <c r="M771" s="3">
        <v>26629</v>
      </c>
      <c r="N771" t="str" cm="1">
        <f t="array" ref="N771">_xlfn.IFS(Table1_36[[#This Row],[Patient Satisfaction Score]]&gt;=83,"High",H771&lt;=75,"Low",TRUE,"Moderate")</f>
        <v>High</v>
      </c>
      <c r="O771" t="str">
        <f t="shared" si="12"/>
        <v>Adult</v>
      </c>
    </row>
    <row r="772" spans="1:15">
      <c r="A772" t="s">
        <v>840</v>
      </c>
      <c r="B772" t="s">
        <v>68</v>
      </c>
      <c r="C772" t="s">
        <v>45</v>
      </c>
      <c r="D772" t="s">
        <v>16</v>
      </c>
      <c r="E772" s="2">
        <v>64</v>
      </c>
      <c r="F772" t="s">
        <v>22</v>
      </c>
      <c r="G772" t="s">
        <v>23</v>
      </c>
      <c r="H772" s="2">
        <v>82</v>
      </c>
      <c r="I772" s="3">
        <v>7920</v>
      </c>
      <c r="J772" s="4">
        <v>10.76</v>
      </c>
      <c r="K772" s="2">
        <v>94</v>
      </c>
      <c r="L772" s="2">
        <v>4</v>
      </c>
      <c r="M772" s="3">
        <v>22260</v>
      </c>
      <c r="N772" t="str" cm="1">
        <f t="array" ref="N772">_xlfn.IFS(Table1_36[[#This Row],[Patient Satisfaction Score]]&gt;=83,"High",H772&lt;=75,"Low",TRUE,"Moderate")</f>
        <v>Moderate</v>
      </c>
      <c r="O772" t="str">
        <f t="shared" si="12"/>
        <v>Adult</v>
      </c>
    </row>
    <row r="773" spans="1:15">
      <c r="A773" t="s">
        <v>841</v>
      </c>
      <c r="B773" t="s">
        <v>62</v>
      </c>
      <c r="C773" t="s">
        <v>52</v>
      </c>
      <c r="D773" t="s">
        <v>16</v>
      </c>
      <c r="E773" s="2">
        <v>36</v>
      </c>
      <c r="F773" t="s">
        <v>34</v>
      </c>
      <c r="G773" t="s">
        <v>31</v>
      </c>
      <c r="H773" s="2">
        <v>70</v>
      </c>
      <c r="I773" s="3">
        <v>7124</v>
      </c>
      <c r="J773" s="4">
        <v>11.3</v>
      </c>
      <c r="K773" s="2">
        <v>96</v>
      </c>
      <c r="L773" s="2">
        <v>3</v>
      </c>
      <c r="M773" s="3">
        <v>25803</v>
      </c>
      <c r="N773" t="str" cm="1">
        <f t="array" ref="N773">_xlfn.IFS(Table1_36[[#This Row],[Patient Satisfaction Score]]&gt;=83,"High",H773&lt;=75,"Low",TRUE,"Moderate")</f>
        <v>Low</v>
      </c>
      <c r="O773" t="str">
        <f t="shared" si="12"/>
        <v>Adult</v>
      </c>
    </row>
    <row r="774" spans="1:15">
      <c r="A774" t="s">
        <v>842</v>
      </c>
      <c r="B774" t="s">
        <v>122</v>
      </c>
      <c r="C774" t="s">
        <v>48</v>
      </c>
      <c r="D774" t="s">
        <v>16</v>
      </c>
      <c r="E774" s="2">
        <v>36</v>
      </c>
      <c r="F774" t="s">
        <v>34</v>
      </c>
      <c r="G774" t="s">
        <v>70</v>
      </c>
      <c r="H774" s="2">
        <v>84</v>
      </c>
      <c r="I774" s="3">
        <v>4047</v>
      </c>
      <c r="J774" s="4">
        <v>20.09</v>
      </c>
      <c r="K774" s="2">
        <v>60</v>
      </c>
      <c r="L774" s="2">
        <v>4</v>
      </c>
      <c r="M774" s="3">
        <v>22773</v>
      </c>
      <c r="N774" t="str" cm="1">
        <f t="array" ref="N774">_xlfn.IFS(Table1_36[[#This Row],[Patient Satisfaction Score]]&gt;=83,"High",H774&lt;=75,"Low",TRUE,"Moderate")</f>
        <v>High</v>
      </c>
      <c r="O774" t="str">
        <f t="shared" si="12"/>
        <v>Adult</v>
      </c>
    </row>
    <row r="775" spans="1:15">
      <c r="A775" t="s">
        <v>843</v>
      </c>
      <c r="B775" t="s">
        <v>135</v>
      </c>
      <c r="C775" t="s">
        <v>48</v>
      </c>
      <c r="D775" t="s">
        <v>27</v>
      </c>
      <c r="E775" s="2">
        <v>29</v>
      </c>
      <c r="F775" t="s">
        <v>22</v>
      </c>
      <c r="G775" t="s">
        <v>49</v>
      </c>
      <c r="H775" s="2">
        <v>74</v>
      </c>
      <c r="I775" s="3">
        <v>5209</v>
      </c>
      <c r="J775" s="4">
        <v>13.85</v>
      </c>
      <c r="K775" s="2">
        <v>98</v>
      </c>
      <c r="L775" s="2">
        <v>3</v>
      </c>
      <c r="M775" s="3">
        <v>27748</v>
      </c>
      <c r="N775" t="str" cm="1">
        <f t="array" ref="N775">_xlfn.IFS(Table1_36[[#This Row],[Patient Satisfaction Score]]&gt;=83,"High",H775&lt;=75,"Low",TRUE,"Moderate")</f>
        <v>Low</v>
      </c>
      <c r="O775" t="str">
        <f t="shared" si="12"/>
        <v>Adult</v>
      </c>
    </row>
    <row r="776" spans="1:15">
      <c r="A776" t="s">
        <v>844</v>
      </c>
      <c r="B776" t="s">
        <v>137</v>
      </c>
      <c r="C776" t="s">
        <v>26</v>
      </c>
      <c r="D776" t="s">
        <v>27</v>
      </c>
      <c r="E776" s="2">
        <v>18</v>
      </c>
      <c r="F776" t="s">
        <v>22</v>
      </c>
      <c r="G776" t="s">
        <v>31</v>
      </c>
      <c r="H776" s="2">
        <v>74</v>
      </c>
      <c r="I776" s="3">
        <v>3145</v>
      </c>
      <c r="J776" s="4">
        <v>15.35</v>
      </c>
      <c r="K776" s="2">
        <v>59</v>
      </c>
      <c r="L776" s="2">
        <v>4</v>
      </c>
      <c r="M776" s="3">
        <v>17377</v>
      </c>
      <c r="N776" t="str" cm="1">
        <f t="array" ref="N776">_xlfn.IFS(Table1_36[[#This Row],[Patient Satisfaction Score]]&gt;=83,"High",H776&lt;=75,"Low",TRUE,"Moderate")</f>
        <v>Low</v>
      </c>
      <c r="O776" t="str">
        <f t="shared" si="12"/>
        <v>Pediatric</v>
      </c>
    </row>
    <row r="777" spans="1:15">
      <c r="A777" t="s">
        <v>845</v>
      </c>
      <c r="B777" t="s">
        <v>42</v>
      </c>
      <c r="C777" t="s">
        <v>39</v>
      </c>
      <c r="D777" t="s">
        <v>16</v>
      </c>
      <c r="E777" s="2">
        <v>9</v>
      </c>
      <c r="F777" t="s">
        <v>22</v>
      </c>
      <c r="G777" t="s">
        <v>40</v>
      </c>
      <c r="H777" s="2">
        <v>94</v>
      </c>
      <c r="I777" s="3">
        <v>3365</v>
      </c>
      <c r="J777" s="4">
        <v>0</v>
      </c>
      <c r="K777" s="2">
        <v>38</v>
      </c>
      <c r="L777" s="2">
        <v>4</v>
      </c>
      <c r="M777" s="3">
        <v>17872</v>
      </c>
      <c r="N777" t="str" cm="1">
        <f t="array" ref="N777">_xlfn.IFS(Table1_36[[#This Row],[Patient Satisfaction Score]]&gt;=83,"High",H777&lt;=75,"Low",TRUE,"Moderate")</f>
        <v>High</v>
      </c>
      <c r="O777" t="str">
        <f t="shared" si="12"/>
        <v>Pediatric</v>
      </c>
    </row>
    <row r="778" spans="1:15">
      <c r="A778" t="s">
        <v>846</v>
      </c>
      <c r="B778" t="s">
        <v>58</v>
      </c>
      <c r="C778" t="s">
        <v>48</v>
      </c>
      <c r="D778" t="s">
        <v>16</v>
      </c>
      <c r="E778" s="2">
        <v>77</v>
      </c>
      <c r="F778" t="s">
        <v>34</v>
      </c>
      <c r="G778" t="s">
        <v>40</v>
      </c>
      <c r="H778" s="2">
        <v>73</v>
      </c>
      <c r="I778" s="3">
        <v>4539</v>
      </c>
      <c r="J778" s="4">
        <v>17.45</v>
      </c>
      <c r="K778" s="2">
        <v>83</v>
      </c>
      <c r="L778" s="2">
        <v>4</v>
      </c>
      <c r="M778" s="3">
        <v>20422</v>
      </c>
      <c r="N778" t="str" cm="1">
        <f t="array" ref="N778">_xlfn.IFS(Table1_36[[#This Row],[Patient Satisfaction Score]]&gt;=83,"High",H778&lt;=75,"Low",TRUE,"Moderate")</f>
        <v>Low</v>
      </c>
      <c r="O778" t="str">
        <f t="shared" si="12"/>
        <v>Adult</v>
      </c>
    </row>
    <row r="779" spans="1:15">
      <c r="A779" t="s">
        <v>847</v>
      </c>
      <c r="B779" t="s">
        <v>25</v>
      </c>
      <c r="C779" t="s">
        <v>39</v>
      </c>
      <c r="D779" t="s">
        <v>27</v>
      </c>
      <c r="E779" s="2">
        <v>13</v>
      </c>
      <c r="F779" t="s">
        <v>22</v>
      </c>
      <c r="G779" t="s">
        <v>31</v>
      </c>
      <c r="H779" s="2">
        <v>94</v>
      </c>
      <c r="I779" s="3">
        <v>2768</v>
      </c>
      <c r="J779" s="4">
        <v>0.53</v>
      </c>
      <c r="K779" s="2">
        <v>87</v>
      </c>
      <c r="L779" s="2">
        <v>5</v>
      </c>
      <c r="M779" s="3">
        <v>15670</v>
      </c>
      <c r="N779" t="str" cm="1">
        <f t="array" ref="N779">_xlfn.IFS(Table1_36[[#This Row],[Patient Satisfaction Score]]&gt;=83,"High",H779&lt;=75,"Low",TRUE,"Moderate")</f>
        <v>High</v>
      </c>
      <c r="O779" t="str">
        <f t="shared" si="12"/>
        <v>Pediatric</v>
      </c>
    </row>
    <row r="780" spans="1:15">
      <c r="A780" t="s">
        <v>848</v>
      </c>
      <c r="B780" t="s">
        <v>135</v>
      </c>
      <c r="C780" t="s">
        <v>48</v>
      </c>
      <c r="D780" t="s">
        <v>27</v>
      </c>
      <c r="E780" s="2">
        <v>40</v>
      </c>
      <c r="F780" t="s">
        <v>17</v>
      </c>
      <c r="G780" t="s">
        <v>23</v>
      </c>
      <c r="H780" s="2">
        <v>78</v>
      </c>
      <c r="I780" s="3">
        <v>7029</v>
      </c>
      <c r="J780" s="4">
        <v>14.21</v>
      </c>
      <c r="K780" s="2">
        <v>68</v>
      </c>
      <c r="L780" s="2">
        <v>4</v>
      </c>
      <c r="M780" s="3">
        <v>19770</v>
      </c>
      <c r="N780" t="str" cm="1">
        <f t="array" ref="N780">_xlfn.IFS(Table1_36[[#This Row],[Patient Satisfaction Score]]&gt;=83,"High",H780&lt;=75,"Low",TRUE,"Moderate")</f>
        <v>Moderate</v>
      </c>
      <c r="O780" t="str">
        <f t="shared" si="12"/>
        <v>Adult</v>
      </c>
    </row>
    <row r="781" spans="1:15">
      <c r="A781" t="s">
        <v>849</v>
      </c>
      <c r="B781" t="s">
        <v>25</v>
      </c>
      <c r="C781" t="s">
        <v>26</v>
      </c>
      <c r="D781" t="s">
        <v>16</v>
      </c>
      <c r="E781" s="2">
        <v>14</v>
      </c>
      <c r="F781" t="s">
        <v>22</v>
      </c>
      <c r="G781" t="s">
        <v>23</v>
      </c>
      <c r="H781" s="2">
        <v>99</v>
      </c>
      <c r="I781" s="3">
        <v>2986</v>
      </c>
      <c r="J781" s="4">
        <v>2.0099999999999998</v>
      </c>
      <c r="K781" s="2">
        <v>38</v>
      </c>
      <c r="L781" s="2">
        <v>4</v>
      </c>
      <c r="M781" s="3">
        <v>8401</v>
      </c>
      <c r="N781" t="str" cm="1">
        <f t="array" ref="N781">_xlfn.IFS(Table1_36[[#This Row],[Patient Satisfaction Score]]&gt;=83,"High",H781&lt;=75,"Low",TRUE,"Moderate")</f>
        <v>High</v>
      </c>
      <c r="O781" t="str">
        <f t="shared" si="12"/>
        <v>Pediatric</v>
      </c>
    </row>
    <row r="782" spans="1:15">
      <c r="A782" t="s">
        <v>850</v>
      </c>
      <c r="B782" t="s">
        <v>56</v>
      </c>
      <c r="C782" t="s">
        <v>45</v>
      </c>
      <c r="D782" t="s">
        <v>27</v>
      </c>
      <c r="E782" s="2">
        <v>31</v>
      </c>
      <c r="F782" t="s">
        <v>34</v>
      </c>
      <c r="G782" t="s">
        <v>70</v>
      </c>
      <c r="H782" s="2">
        <v>75</v>
      </c>
      <c r="I782" s="3">
        <v>6281</v>
      </c>
      <c r="J782" s="4">
        <v>16.12</v>
      </c>
      <c r="K782" s="2">
        <v>89</v>
      </c>
      <c r="L782" s="2">
        <v>4</v>
      </c>
      <c r="M782" s="3">
        <v>19241</v>
      </c>
      <c r="N782" t="str" cm="1">
        <f t="array" ref="N782">_xlfn.IFS(Table1_36[[#This Row],[Patient Satisfaction Score]]&gt;=83,"High",H782&lt;=75,"Low",TRUE,"Moderate")</f>
        <v>Low</v>
      </c>
      <c r="O782" t="str">
        <f t="shared" si="12"/>
        <v>Adult</v>
      </c>
    </row>
    <row r="783" spans="1:15">
      <c r="A783" t="s">
        <v>851</v>
      </c>
      <c r="B783" t="s">
        <v>25</v>
      </c>
      <c r="C783" t="s">
        <v>26</v>
      </c>
      <c r="D783" t="s">
        <v>16</v>
      </c>
      <c r="E783" s="2">
        <v>58</v>
      </c>
      <c r="F783" t="s">
        <v>22</v>
      </c>
      <c r="G783" t="s">
        <v>18</v>
      </c>
      <c r="H783" s="2">
        <v>88</v>
      </c>
      <c r="I783" s="3">
        <v>2587</v>
      </c>
      <c r="J783" s="4">
        <v>1.1399999999999999</v>
      </c>
      <c r="K783" s="2">
        <v>46</v>
      </c>
      <c r="L783" s="2">
        <v>5</v>
      </c>
      <c r="M783" s="3">
        <v>15472</v>
      </c>
      <c r="N783" t="str" cm="1">
        <f t="array" ref="N783">_xlfn.IFS(Table1_36[[#This Row],[Patient Satisfaction Score]]&gt;=83,"High",H783&lt;=75,"Low",TRUE,"Moderate")</f>
        <v>High</v>
      </c>
      <c r="O783" t="str">
        <f t="shared" si="12"/>
        <v>Adult</v>
      </c>
    </row>
    <row r="784" spans="1:15">
      <c r="A784" t="s">
        <v>852</v>
      </c>
      <c r="B784" t="s">
        <v>66</v>
      </c>
      <c r="C784" t="s">
        <v>39</v>
      </c>
      <c r="D784" t="s">
        <v>16</v>
      </c>
      <c r="E784" s="2">
        <v>9</v>
      </c>
      <c r="F784" t="s">
        <v>22</v>
      </c>
      <c r="G784" t="s">
        <v>70</v>
      </c>
      <c r="H784" s="2">
        <v>84</v>
      </c>
      <c r="I784" s="3">
        <v>3285</v>
      </c>
      <c r="J784" s="4">
        <v>1.01</v>
      </c>
      <c r="K784" s="2">
        <v>64</v>
      </c>
      <c r="L784" s="2">
        <v>4</v>
      </c>
      <c r="M784" s="3">
        <v>8228</v>
      </c>
      <c r="N784" t="str" cm="1">
        <f t="array" ref="N784">_xlfn.IFS(Table1_36[[#This Row],[Patient Satisfaction Score]]&gt;=83,"High",H784&lt;=75,"Low",TRUE,"Moderate")</f>
        <v>High</v>
      </c>
      <c r="O784" t="str">
        <f t="shared" si="12"/>
        <v>Pediatric</v>
      </c>
    </row>
    <row r="785" spans="1:15">
      <c r="A785" t="s">
        <v>853</v>
      </c>
      <c r="B785" t="s">
        <v>42</v>
      </c>
      <c r="C785" t="s">
        <v>39</v>
      </c>
      <c r="D785" t="s">
        <v>27</v>
      </c>
      <c r="E785" s="2">
        <v>12</v>
      </c>
      <c r="F785" t="s">
        <v>17</v>
      </c>
      <c r="G785" t="s">
        <v>31</v>
      </c>
      <c r="H785" s="2">
        <v>84</v>
      </c>
      <c r="I785" s="3">
        <v>2396</v>
      </c>
      <c r="J785" s="4">
        <v>4.0999999999999996</v>
      </c>
      <c r="K785" s="2">
        <v>56</v>
      </c>
      <c r="L785" s="2">
        <v>4</v>
      </c>
      <c r="M785" s="3">
        <v>8381</v>
      </c>
      <c r="N785" t="str" cm="1">
        <f t="array" ref="N785">_xlfn.IFS(Table1_36[[#This Row],[Patient Satisfaction Score]]&gt;=83,"High",H785&lt;=75,"Low",TRUE,"Moderate")</f>
        <v>High</v>
      </c>
      <c r="O785" t="str">
        <f t="shared" si="12"/>
        <v>Pediatric</v>
      </c>
    </row>
    <row r="786" spans="1:15">
      <c r="A786" t="s">
        <v>854</v>
      </c>
      <c r="B786" t="s">
        <v>129</v>
      </c>
      <c r="C786" t="s">
        <v>21</v>
      </c>
      <c r="D786" t="s">
        <v>27</v>
      </c>
      <c r="E786" s="2">
        <v>38</v>
      </c>
      <c r="F786" t="s">
        <v>17</v>
      </c>
      <c r="G786" t="s">
        <v>31</v>
      </c>
      <c r="H786" s="2">
        <v>65</v>
      </c>
      <c r="I786" s="3">
        <v>5130</v>
      </c>
      <c r="J786" s="4">
        <v>16.71</v>
      </c>
      <c r="K786" s="2">
        <v>105</v>
      </c>
      <c r="L786" s="2">
        <v>3</v>
      </c>
      <c r="M786" s="3">
        <v>26054</v>
      </c>
      <c r="N786" t="str" cm="1">
        <f t="array" ref="N786">_xlfn.IFS(Table1_36[[#This Row],[Patient Satisfaction Score]]&gt;=83,"High",H786&lt;=75,"Low",TRUE,"Moderate")</f>
        <v>Low</v>
      </c>
      <c r="O786" t="str">
        <f t="shared" si="12"/>
        <v>Adult</v>
      </c>
    </row>
    <row r="787" spans="1:15">
      <c r="A787" t="s">
        <v>855</v>
      </c>
      <c r="B787" t="s">
        <v>47</v>
      </c>
      <c r="C787" t="s">
        <v>48</v>
      </c>
      <c r="D787" t="s">
        <v>16</v>
      </c>
      <c r="E787" s="2">
        <v>50</v>
      </c>
      <c r="F787" t="s">
        <v>17</v>
      </c>
      <c r="G787" t="s">
        <v>31</v>
      </c>
      <c r="H787" s="2">
        <v>84</v>
      </c>
      <c r="I787" s="3">
        <v>5809</v>
      </c>
      <c r="J787" s="4">
        <v>10.050000000000001</v>
      </c>
      <c r="K787" s="2">
        <v>74</v>
      </c>
      <c r="L787" s="2">
        <v>3</v>
      </c>
      <c r="M787" s="3">
        <v>20945</v>
      </c>
      <c r="N787" t="str" cm="1">
        <f t="array" ref="N787">_xlfn.IFS(Table1_36[[#This Row],[Patient Satisfaction Score]]&gt;=83,"High",H787&lt;=75,"Low",TRUE,"Moderate")</f>
        <v>High</v>
      </c>
      <c r="O787" t="str">
        <f t="shared" si="12"/>
        <v>Adult</v>
      </c>
    </row>
    <row r="788" spans="1:15">
      <c r="A788" t="s">
        <v>856</v>
      </c>
      <c r="B788" t="s">
        <v>38</v>
      </c>
      <c r="C788" t="s">
        <v>39</v>
      </c>
      <c r="D788" t="s">
        <v>27</v>
      </c>
      <c r="E788" s="2">
        <v>5</v>
      </c>
      <c r="F788" t="s">
        <v>17</v>
      </c>
      <c r="G788" t="s">
        <v>31</v>
      </c>
      <c r="H788" s="2">
        <v>78</v>
      </c>
      <c r="I788" s="3">
        <v>3100</v>
      </c>
      <c r="J788" s="4">
        <v>12.65</v>
      </c>
      <c r="K788" s="2">
        <v>67</v>
      </c>
      <c r="L788" s="2">
        <v>4</v>
      </c>
      <c r="M788" s="3">
        <v>12073</v>
      </c>
      <c r="N788" t="str" cm="1">
        <f t="array" ref="N788">_xlfn.IFS(Table1_36[[#This Row],[Patient Satisfaction Score]]&gt;=83,"High",H788&lt;=75,"Low",TRUE,"Moderate")</f>
        <v>Moderate</v>
      </c>
      <c r="O788" t="str">
        <f t="shared" si="12"/>
        <v>Pediatric</v>
      </c>
    </row>
    <row r="789" spans="1:15">
      <c r="A789" t="s">
        <v>857</v>
      </c>
      <c r="B789" t="s">
        <v>122</v>
      </c>
      <c r="C789" t="s">
        <v>48</v>
      </c>
      <c r="D789" t="s">
        <v>16</v>
      </c>
      <c r="E789" s="2">
        <v>38</v>
      </c>
      <c r="F789" t="s">
        <v>34</v>
      </c>
      <c r="G789" t="s">
        <v>40</v>
      </c>
      <c r="H789" s="2">
        <v>82</v>
      </c>
      <c r="I789" s="3">
        <v>5245</v>
      </c>
      <c r="J789" s="4">
        <v>10.83</v>
      </c>
      <c r="K789" s="2">
        <v>35</v>
      </c>
      <c r="L789" s="2">
        <v>4</v>
      </c>
      <c r="M789" s="3">
        <v>15141</v>
      </c>
      <c r="N789" t="str" cm="1">
        <f t="array" ref="N789">_xlfn.IFS(Table1_36[[#This Row],[Patient Satisfaction Score]]&gt;=83,"High",H789&lt;=75,"Low",TRUE,"Moderate")</f>
        <v>Moderate</v>
      </c>
      <c r="O789" t="str">
        <f t="shared" si="12"/>
        <v>Adult</v>
      </c>
    </row>
    <row r="790" spans="1:15">
      <c r="A790" t="s">
        <v>858</v>
      </c>
      <c r="B790" t="s">
        <v>47</v>
      </c>
      <c r="C790" t="s">
        <v>48</v>
      </c>
      <c r="D790" t="s">
        <v>27</v>
      </c>
      <c r="E790" s="2">
        <v>41</v>
      </c>
      <c r="F790" t="s">
        <v>17</v>
      </c>
      <c r="G790" t="s">
        <v>70</v>
      </c>
      <c r="H790" s="2">
        <v>82</v>
      </c>
      <c r="I790" s="3">
        <v>7635</v>
      </c>
      <c r="J790" s="4">
        <v>10.79</v>
      </c>
      <c r="K790" s="2">
        <v>45</v>
      </c>
      <c r="L790" s="2">
        <v>5</v>
      </c>
      <c r="M790" s="3">
        <v>28004</v>
      </c>
      <c r="N790" t="str" cm="1">
        <f t="array" ref="N790">_xlfn.IFS(Table1_36[[#This Row],[Patient Satisfaction Score]]&gt;=83,"High",H790&lt;=75,"Low",TRUE,"Moderate")</f>
        <v>Moderate</v>
      </c>
      <c r="O790" t="str">
        <f t="shared" si="12"/>
        <v>Adult</v>
      </c>
    </row>
    <row r="791" spans="1:15">
      <c r="A791" t="s">
        <v>859</v>
      </c>
      <c r="B791" t="s">
        <v>29</v>
      </c>
      <c r="C791" t="s">
        <v>30</v>
      </c>
      <c r="D791" t="s">
        <v>16</v>
      </c>
      <c r="E791" s="2">
        <v>66</v>
      </c>
      <c r="F791" t="s">
        <v>22</v>
      </c>
      <c r="G791" t="s">
        <v>23</v>
      </c>
      <c r="H791" s="2">
        <v>69</v>
      </c>
      <c r="I791" s="3">
        <v>3421</v>
      </c>
      <c r="J791" s="4">
        <v>23.77</v>
      </c>
      <c r="K791" s="2">
        <v>95</v>
      </c>
      <c r="L791" s="2">
        <v>3</v>
      </c>
      <c r="M791" s="3">
        <v>19717</v>
      </c>
      <c r="N791" t="str" cm="1">
        <f t="array" ref="N791">_xlfn.IFS(Table1_36[[#This Row],[Patient Satisfaction Score]]&gt;=83,"High",H791&lt;=75,"Low",TRUE,"Moderate")</f>
        <v>Low</v>
      </c>
      <c r="O791" t="str">
        <f t="shared" si="12"/>
        <v>Adult</v>
      </c>
    </row>
    <row r="792" spans="1:15">
      <c r="A792" t="s">
        <v>860</v>
      </c>
      <c r="B792" t="s">
        <v>68</v>
      </c>
      <c r="C792" t="s">
        <v>45</v>
      </c>
      <c r="D792" t="s">
        <v>16</v>
      </c>
      <c r="E792" s="2">
        <v>53</v>
      </c>
      <c r="F792" t="s">
        <v>22</v>
      </c>
      <c r="G792" t="s">
        <v>70</v>
      </c>
      <c r="H792" s="2">
        <v>80</v>
      </c>
      <c r="I792" s="3">
        <v>13629</v>
      </c>
      <c r="J792" s="4">
        <v>8</v>
      </c>
      <c r="K792" s="2">
        <v>109</v>
      </c>
      <c r="L792" s="2">
        <v>4</v>
      </c>
      <c r="M792" s="3">
        <v>43481</v>
      </c>
      <c r="N792" t="str" cm="1">
        <f t="array" ref="N792">_xlfn.IFS(Table1_36[[#This Row],[Patient Satisfaction Score]]&gt;=83,"High",H792&lt;=75,"Low",TRUE,"Moderate")</f>
        <v>Moderate</v>
      </c>
      <c r="O792" t="str">
        <f t="shared" si="12"/>
        <v>Adult</v>
      </c>
    </row>
    <row r="793" spans="1:15">
      <c r="A793" t="s">
        <v>861</v>
      </c>
      <c r="B793" t="s">
        <v>122</v>
      </c>
      <c r="C793" t="s">
        <v>48</v>
      </c>
      <c r="D793" t="s">
        <v>27</v>
      </c>
      <c r="E793" s="2">
        <v>58</v>
      </c>
      <c r="F793" t="s">
        <v>17</v>
      </c>
      <c r="G793" t="s">
        <v>18</v>
      </c>
      <c r="H793" s="2">
        <v>83</v>
      </c>
      <c r="I793" s="3">
        <v>6823</v>
      </c>
      <c r="J793" s="4">
        <v>11.4</v>
      </c>
      <c r="K793" s="2">
        <v>53</v>
      </c>
      <c r="L793" s="2">
        <v>4</v>
      </c>
      <c r="M793" s="3">
        <v>38992</v>
      </c>
      <c r="N793" t="str" cm="1">
        <f t="array" ref="N793">_xlfn.IFS(Table1_36[[#This Row],[Patient Satisfaction Score]]&gt;=83,"High",H793&lt;=75,"Low",TRUE,"Moderate")</f>
        <v>High</v>
      </c>
      <c r="O793" t="str">
        <f t="shared" si="12"/>
        <v>Adult</v>
      </c>
    </row>
    <row r="794" spans="1:15">
      <c r="A794" t="s">
        <v>862</v>
      </c>
      <c r="B794" t="s">
        <v>62</v>
      </c>
      <c r="C794" t="s">
        <v>52</v>
      </c>
      <c r="D794" t="s">
        <v>27</v>
      </c>
      <c r="E794" s="2">
        <v>72</v>
      </c>
      <c r="F794" t="s">
        <v>22</v>
      </c>
      <c r="G794" t="s">
        <v>70</v>
      </c>
      <c r="H794" s="2">
        <v>83</v>
      </c>
      <c r="I794" s="3">
        <v>5870</v>
      </c>
      <c r="J794" s="4">
        <v>5.29</v>
      </c>
      <c r="K794" s="2">
        <v>49</v>
      </c>
      <c r="L794" s="2">
        <v>4</v>
      </c>
      <c r="M794" s="3">
        <v>19333</v>
      </c>
      <c r="N794" t="str" cm="1">
        <f t="array" ref="N794">_xlfn.IFS(Table1_36[[#This Row],[Patient Satisfaction Score]]&gt;=83,"High",H794&lt;=75,"Low",TRUE,"Moderate")</f>
        <v>High</v>
      </c>
      <c r="O794" t="str">
        <f t="shared" si="12"/>
        <v>Adult</v>
      </c>
    </row>
    <row r="795" spans="1:15">
      <c r="A795" t="s">
        <v>863</v>
      </c>
      <c r="B795" t="s">
        <v>129</v>
      </c>
      <c r="C795" t="s">
        <v>21</v>
      </c>
      <c r="D795" t="s">
        <v>16</v>
      </c>
      <c r="E795" s="2">
        <v>66</v>
      </c>
      <c r="F795" t="s">
        <v>17</v>
      </c>
      <c r="G795" t="s">
        <v>23</v>
      </c>
      <c r="H795" s="2">
        <v>77</v>
      </c>
      <c r="I795" s="3">
        <v>7093</v>
      </c>
      <c r="J795" s="4">
        <v>14</v>
      </c>
      <c r="K795" s="2">
        <v>60</v>
      </c>
      <c r="L795" s="2">
        <v>4</v>
      </c>
      <c r="M795" s="3">
        <v>40299</v>
      </c>
      <c r="N795" t="str" cm="1">
        <f t="array" ref="N795">_xlfn.IFS(Table1_36[[#This Row],[Patient Satisfaction Score]]&gt;=83,"High",H795&lt;=75,"Low",TRUE,"Moderate")</f>
        <v>Moderate</v>
      </c>
      <c r="O795" t="str">
        <f t="shared" si="12"/>
        <v>Adult</v>
      </c>
    </row>
    <row r="796" spans="1:15">
      <c r="A796" t="s">
        <v>864</v>
      </c>
      <c r="B796" t="s">
        <v>56</v>
      </c>
      <c r="C796" t="s">
        <v>45</v>
      </c>
      <c r="D796" t="s">
        <v>16</v>
      </c>
      <c r="E796" s="2">
        <v>7</v>
      </c>
      <c r="F796" t="s">
        <v>17</v>
      </c>
      <c r="G796" t="s">
        <v>40</v>
      </c>
      <c r="H796" s="2">
        <v>77</v>
      </c>
      <c r="I796" s="3">
        <v>6862</v>
      </c>
      <c r="J796" s="4">
        <v>15.41</v>
      </c>
      <c r="K796" s="2">
        <v>101</v>
      </c>
      <c r="L796" s="2">
        <v>4</v>
      </c>
      <c r="M796" s="3">
        <v>29237</v>
      </c>
      <c r="N796" t="str" cm="1">
        <f t="array" ref="N796">_xlfn.IFS(Table1_36[[#This Row],[Patient Satisfaction Score]]&gt;=83,"High",H796&lt;=75,"Low",TRUE,"Moderate")</f>
        <v>Moderate</v>
      </c>
      <c r="O796" t="str">
        <f t="shared" si="12"/>
        <v>Pediatric</v>
      </c>
    </row>
    <row r="797" spans="1:15">
      <c r="A797" t="s">
        <v>865</v>
      </c>
      <c r="B797" t="s">
        <v>109</v>
      </c>
      <c r="C797" t="s">
        <v>30</v>
      </c>
      <c r="D797" t="s">
        <v>27</v>
      </c>
      <c r="E797" s="2">
        <v>49</v>
      </c>
      <c r="F797" t="s">
        <v>17</v>
      </c>
      <c r="G797" t="s">
        <v>18</v>
      </c>
      <c r="H797" s="2">
        <v>68</v>
      </c>
      <c r="I797" s="3">
        <v>4136</v>
      </c>
      <c r="J797" s="4">
        <v>16.37</v>
      </c>
      <c r="K797" s="2">
        <v>95</v>
      </c>
      <c r="L797" s="2">
        <v>3</v>
      </c>
      <c r="M797" s="3">
        <v>13106</v>
      </c>
      <c r="N797" t="str" cm="1">
        <f t="array" ref="N797">_xlfn.IFS(Table1_36[[#This Row],[Patient Satisfaction Score]]&gt;=83,"High",H797&lt;=75,"Low",TRUE,"Moderate")</f>
        <v>Low</v>
      </c>
      <c r="O797" t="str">
        <f t="shared" si="12"/>
        <v>Adult</v>
      </c>
    </row>
    <row r="798" spans="1:15">
      <c r="A798" t="s">
        <v>866</v>
      </c>
      <c r="B798" t="s">
        <v>36</v>
      </c>
      <c r="C798" t="s">
        <v>21</v>
      </c>
      <c r="D798" t="s">
        <v>16</v>
      </c>
      <c r="E798" s="2">
        <v>29</v>
      </c>
      <c r="F798" t="s">
        <v>17</v>
      </c>
      <c r="G798" t="s">
        <v>18</v>
      </c>
      <c r="H798" s="2">
        <v>71</v>
      </c>
      <c r="I798" s="3">
        <v>5577</v>
      </c>
      <c r="J798" s="4">
        <v>17.579999999999998</v>
      </c>
      <c r="K798" s="2">
        <v>107</v>
      </c>
      <c r="L798" s="2">
        <v>3</v>
      </c>
      <c r="M798" s="3">
        <v>32353</v>
      </c>
      <c r="N798" t="str" cm="1">
        <f t="array" ref="N798">_xlfn.IFS(Table1_36[[#This Row],[Patient Satisfaction Score]]&gt;=83,"High",H798&lt;=75,"Low",TRUE,"Moderate")</f>
        <v>Low</v>
      </c>
      <c r="O798" t="str">
        <f t="shared" si="12"/>
        <v>Adult</v>
      </c>
    </row>
    <row r="799" spans="1:15">
      <c r="A799" t="s">
        <v>867</v>
      </c>
      <c r="B799" t="s">
        <v>103</v>
      </c>
      <c r="C799" t="s">
        <v>26</v>
      </c>
      <c r="D799" t="s">
        <v>27</v>
      </c>
      <c r="E799" s="2">
        <v>25</v>
      </c>
      <c r="F799" t="s">
        <v>34</v>
      </c>
      <c r="G799" t="s">
        <v>70</v>
      </c>
      <c r="H799" s="2">
        <v>85</v>
      </c>
      <c r="I799" s="3">
        <v>964</v>
      </c>
      <c r="J799" s="4">
        <v>8.11</v>
      </c>
      <c r="K799" s="2">
        <v>37</v>
      </c>
      <c r="L799" s="2">
        <v>3</v>
      </c>
      <c r="M799" s="3">
        <v>5433</v>
      </c>
      <c r="N799" t="str" cm="1">
        <f t="array" ref="N799">_xlfn.IFS(Table1_36[[#This Row],[Patient Satisfaction Score]]&gt;=83,"High",H799&lt;=75,"Low",TRUE,"Moderate")</f>
        <v>High</v>
      </c>
      <c r="O799" t="str">
        <f t="shared" si="12"/>
        <v>Adult</v>
      </c>
    </row>
    <row r="800" spans="1:15">
      <c r="A800" t="s">
        <v>868</v>
      </c>
      <c r="B800" t="s">
        <v>109</v>
      </c>
      <c r="C800" t="s">
        <v>30</v>
      </c>
      <c r="D800" t="s">
        <v>16</v>
      </c>
      <c r="E800" s="2">
        <v>29</v>
      </c>
      <c r="F800" t="s">
        <v>22</v>
      </c>
      <c r="G800" t="s">
        <v>40</v>
      </c>
      <c r="H800" s="2">
        <v>79</v>
      </c>
      <c r="I800" s="3">
        <v>3019</v>
      </c>
      <c r="J800" s="4">
        <v>15.53</v>
      </c>
      <c r="K800" s="2">
        <v>74</v>
      </c>
      <c r="L800" s="2">
        <v>4</v>
      </c>
      <c r="M800" s="3">
        <v>10321</v>
      </c>
      <c r="N800" t="str" cm="1">
        <f t="array" ref="N800">_xlfn.IFS(Table1_36[[#This Row],[Patient Satisfaction Score]]&gt;=83,"High",H800&lt;=75,"Low",TRUE,"Moderate")</f>
        <v>Moderate</v>
      </c>
      <c r="O800" t="str">
        <f t="shared" si="12"/>
        <v>Adult</v>
      </c>
    </row>
    <row r="801" spans="1:15">
      <c r="A801" t="s">
        <v>869</v>
      </c>
      <c r="B801" t="s">
        <v>64</v>
      </c>
      <c r="C801" t="s">
        <v>30</v>
      </c>
      <c r="D801" t="s">
        <v>16</v>
      </c>
      <c r="E801" s="2">
        <v>53</v>
      </c>
      <c r="F801" t="s">
        <v>22</v>
      </c>
      <c r="G801" t="s">
        <v>18</v>
      </c>
      <c r="H801" s="2">
        <v>69</v>
      </c>
      <c r="I801" s="3">
        <v>1676</v>
      </c>
      <c r="J801" s="4">
        <v>15.9</v>
      </c>
      <c r="K801" s="2">
        <v>117</v>
      </c>
      <c r="L801" s="2">
        <v>3</v>
      </c>
      <c r="M801" s="3">
        <v>5203</v>
      </c>
      <c r="N801" t="str" cm="1">
        <f t="array" ref="N801">_xlfn.IFS(Table1_36[[#This Row],[Patient Satisfaction Score]]&gt;=83,"High",H801&lt;=75,"Low",TRUE,"Moderate")</f>
        <v>Low</v>
      </c>
      <c r="O801" t="str">
        <f t="shared" si="12"/>
        <v>Adult</v>
      </c>
    </row>
    <row r="802" spans="1:15">
      <c r="A802" t="s">
        <v>870</v>
      </c>
      <c r="B802" t="s">
        <v>109</v>
      </c>
      <c r="C802" t="s">
        <v>30</v>
      </c>
      <c r="D802" t="s">
        <v>16</v>
      </c>
      <c r="E802" s="2">
        <v>60</v>
      </c>
      <c r="F802" t="s">
        <v>17</v>
      </c>
      <c r="G802" t="s">
        <v>18</v>
      </c>
      <c r="H802" s="2">
        <v>71</v>
      </c>
      <c r="I802" s="3">
        <v>2555</v>
      </c>
      <c r="J802" s="4">
        <v>25.07</v>
      </c>
      <c r="K802" s="2">
        <v>105</v>
      </c>
      <c r="L802" s="2">
        <v>3</v>
      </c>
      <c r="M802" s="3">
        <v>11892</v>
      </c>
      <c r="N802" t="str" cm="1">
        <f t="array" ref="N802">_xlfn.IFS(Table1_36[[#This Row],[Patient Satisfaction Score]]&gt;=83,"High",H802&lt;=75,"Low",TRUE,"Moderate")</f>
        <v>Low</v>
      </c>
      <c r="O802" t="str">
        <f t="shared" si="12"/>
        <v>Adult</v>
      </c>
    </row>
    <row r="803" spans="1:15">
      <c r="A803" t="s">
        <v>871</v>
      </c>
      <c r="B803" t="s">
        <v>25</v>
      </c>
      <c r="C803" t="s">
        <v>39</v>
      </c>
      <c r="D803" t="s">
        <v>27</v>
      </c>
      <c r="E803" s="2">
        <v>16</v>
      </c>
      <c r="F803" t="s">
        <v>34</v>
      </c>
      <c r="G803" t="s">
        <v>49</v>
      </c>
      <c r="H803" s="2">
        <v>76</v>
      </c>
      <c r="I803" s="3">
        <v>3802</v>
      </c>
      <c r="J803" s="4">
        <v>12.03</v>
      </c>
      <c r="K803" s="2">
        <v>50</v>
      </c>
      <c r="L803" s="2">
        <v>4</v>
      </c>
      <c r="M803" s="3">
        <v>10749</v>
      </c>
      <c r="N803" t="str" cm="1">
        <f t="array" ref="N803">_xlfn.IFS(Table1_36[[#This Row],[Patient Satisfaction Score]]&gt;=83,"High",H803&lt;=75,"Low",TRUE,"Moderate")</f>
        <v>Moderate</v>
      </c>
      <c r="O803" t="str">
        <f t="shared" si="12"/>
        <v>Pediatric</v>
      </c>
    </row>
    <row r="804" spans="1:15">
      <c r="A804" t="s">
        <v>872</v>
      </c>
      <c r="B804" t="s">
        <v>135</v>
      </c>
      <c r="C804" t="s">
        <v>48</v>
      </c>
      <c r="D804" t="s">
        <v>27</v>
      </c>
      <c r="E804" s="2">
        <v>24</v>
      </c>
      <c r="F804" t="s">
        <v>17</v>
      </c>
      <c r="G804" t="s">
        <v>40</v>
      </c>
      <c r="H804" s="2">
        <v>84</v>
      </c>
      <c r="I804" s="3">
        <v>5956</v>
      </c>
      <c r="J804" s="4">
        <v>14.64</v>
      </c>
      <c r="K804" s="2">
        <v>70</v>
      </c>
      <c r="L804" s="2">
        <v>4</v>
      </c>
      <c r="M804" s="3">
        <v>25270</v>
      </c>
      <c r="N804" t="str" cm="1">
        <f t="array" ref="N804">_xlfn.IFS(Table1_36[[#This Row],[Patient Satisfaction Score]]&gt;=83,"High",H804&lt;=75,"Low",TRUE,"Moderate")</f>
        <v>High</v>
      </c>
      <c r="O804" t="str">
        <f t="shared" si="12"/>
        <v>Adult</v>
      </c>
    </row>
    <row r="805" spans="1:15">
      <c r="A805" t="s">
        <v>873</v>
      </c>
      <c r="B805" t="s">
        <v>122</v>
      </c>
      <c r="C805" t="s">
        <v>48</v>
      </c>
      <c r="D805" t="s">
        <v>16</v>
      </c>
      <c r="E805" s="2">
        <v>64</v>
      </c>
      <c r="F805" t="s">
        <v>22</v>
      </c>
      <c r="G805" t="s">
        <v>49</v>
      </c>
      <c r="H805" s="2">
        <v>80</v>
      </c>
      <c r="I805" s="3">
        <v>6467</v>
      </c>
      <c r="J805" s="4">
        <v>15.3</v>
      </c>
      <c r="K805" s="2">
        <v>63</v>
      </c>
      <c r="L805" s="2">
        <v>4</v>
      </c>
      <c r="M805" s="3">
        <v>33444</v>
      </c>
      <c r="N805" t="str" cm="1">
        <f t="array" ref="N805">_xlfn.IFS(Table1_36[[#This Row],[Patient Satisfaction Score]]&gt;=83,"High",H805&lt;=75,"Low",TRUE,"Moderate")</f>
        <v>Moderate</v>
      </c>
      <c r="O805" t="str">
        <f t="shared" si="12"/>
        <v>Adult</v>
      </c>
    </row>
    <row r="806" spans="1:15">
      <c r="A806" t="s">
        <v>874</v>
      </c>
      <c r="B806" t="s">
        <v>54</v>
      </c>
      <c r="C806" t="s">
        <v>39</v>
      </c>
      <c r="D806" t="s">
        <v>16</v>
      </c>
      <c r="E806" s="2">
        <v>6</v>
      </c>
      <c r="F806" t="s">
        <v>17</v>
      </c>
      <c r="G806" t="s">
        <v>40</v>
      </c>
      <c r="H806" s="2">
        <v>81</v>
      </c>
      <c r="I806" s="3">
        <v>2898</v>
      </c>
      <c r="J806" s="4">
        <v>14.55</v>
      </c>
      <c r="K806" s="2">
        <v>49</v>
      </c>
      <c r="L806" s="2">
        <v>4</v>
      </c>
      <c r="M806" s="3">
        <v>15556</v>
      </c>
      <c r="N806" t="str" cm="1">
        <f t="array" ref="N806">_xlfn.IFS(Table1_36[[#This Row],[Patient Satisfaction Score]]&gt;=83,"High",H806&lt;=75,"Low",TRUE,"Moderate")</f>
        <v>Moderate</v>
      </c>
      <c r="O806" t="str">
        <f t="shared" si="12"/>
        <v>Pediatric</v>
      </c>
    </row>
    <row r="807" spans="1:15">
      <c r="A807" t="s">
        <v>875</v>
      </c>
      <c r="B807" t="s">
        <v>56</v>
      </c>
      <c r="C807" t="s">
        <v>45</v>
      </c>
      <c r="D807" t="s">
        <v>16</v>
      </c>
      <c r="E807" s="2">
        <v>57</v>
      </c>
      <c r="F807" t="s">
        <v>17</v>
      </c>
      <c r="G807" t="s">
        <v>70</v>
      </c>
      <c r="H807" s="2">
        <v>78</v>
      </c>
      <c r="I807" s="3">
        <v>11131</v>
      </c>
      <c r="J807" s="4">
        <v>21.14</v>
      </c>
      <c r="K807" s="2">
        <v>52</v>
      </c>
      <c r="L807" s="2">
        <v>4</v>
      </c>
      <c r="M807" s="3">
        <v>43399</v>
      </c>
      <c r="N807" t="str" cm="1">
        <f t="array" ref="N807">_xlfn.IFS(Table1_36[[#This Row],[Patient Satisfaction Score]]&gt;=83,"High",H807&lt;=75,"Low",TRUE,"Moderate")</f>
        <v>Moderate</v>
      </c>
      <c r="O807" t="str">
        <f t="shared" si="12"/>
        <v>Adult</v>
      </c>
    </row>
    <row r="808" spans="1:15">
      <c r="A808" t="s">
        <v>876</v>
      </c>
      <c r="B808" t="s">
        <v>97</v>
      </c>
      <c r="C808" t="s">
        <v>30</v>
      </c>
      <c r="D808" t="s">
        <v>27</v>
      </c>
      <c r="E808" s="2">
        <v>47</v>
      </c>
      <c r="F808" t="s">
        <v>17</v>
      </c>
      <c r="G808" t="s">
        <v>18</v>
      </c>
      <c r="H808" s="2">
        <v>70</v>
      </c>
      <c r="I808" s="3">
        <v>3001</v>
      </c>
      <c r="J808" s="4">
        <v>16.46</v>
      </c>
      <c r="K808" s="2">
        <v>118</v>
      </c>
      <c r="L808" s="2">
        <v>4</v>
      </c>
      <c r="M808" s="3">
        <v>14439</v>
      </c>
      <c r="N808" t="str" cm="1">
        <f t="array" ref="N808">_xlfn.IFS(Table1_36[[#This Row],[Patient Satisfaction Score]]&gt;=83,"High",H808&lt;=75,"Low",TRUE,"Moderate")</f>
        <v>Low</v>
      </c>
      <c r="O808" t="str">
        <f t="shared" si="12"/>
        <v>Adult</v>
      </c>
    </row>
    <row r="809" spans="1:15">
      <c r="A809" t="s">
        <v>877</v>
      </c>
      <c r="B809" t="s">
        <v>29</v>
      </c>
      <c r="C809" t="s">
        <v>30</v>
      </c>
      <c r="D809" t="s">
        <v>16</v>
      </c>
      <c r="E809" s="2">
        <v>16</v>
      </c>
      <c r="F809" t="s">
        <v>17</v>
      </c>
      <c r="G809" t="s">
        <v>40</v>
      </c>
      <c r="H809" s="2">
        <v>78</v>
      </c>
      <c r="I809" s="3">
        <v>3061</v>
      </c>
      <c r="J809" s="4">
        <v>18.579999999999998</v>
      </c>
      <c r="K809" s="2">
        <v>107</v>
      </c>
      <c r="L809" s="2">
        <v>3</v>
      </c>
      <c r="M809" s="3">
        <v>12324</v>
      </c>
      <c r="N809" t="str" cm="1">
        <f t="array" ref="N809">_xlfn.IFS(Table1_36[[#This Row],[Patient Satisfaction Score]]&gt;=83,"High",H809&lt;=75,"Low",TRUE,"Moderate")</f>
        <v>Moderate</v>
      </c>
      <c r="O809" t="str">
        <f t="shared" si="12"/>
        <v>Pediatric</v>
      </c>
    </row>
    <row r="810" spans="1:15">
      <c r="A810" t="s">
        <v>878</v>
      </c>
      <c r="B810" t="s">
        <v>187</v>
      </c>
      <c r="C810" t="s">
        <v>30</v>
      </c>
      <c r="D810" t="s">
        <v>16</v>
      </c>
      <c r="E810" s="2">
        <v>59</v>
      </c>
      <c r="F810" t="s">
        <v>34</v>
      </c>
      <c r="G810" t="s">
        <v>49</v>
      </c>
      <c r="H810" s="2">
        <v>71</v>
      </c>
      <c r="I810" s="3">
        <v>3615</v>
      </c>
      <c r="J810" s="4">
        <v>12.47</v>
      </c>
      <c r="K810" s="2">
        <v>120</v>
      </c>
      <c r="L810" s="2">
        <v>4</v>
      </c>
      <c r="M810" s="3">
        <v>14471</v>
      </c>
      <c r="N810" t="str" cm="1">
        <f t="array" ref="N810">_xlfn.IFS(Table1_36[[#This Row],[Patient Satisfaction Score]]&gt;=83,"High",H810&lt;=75,"Low",TRUE,"Moderate")</f>
        <v>Low</v>
      </c>
      <c r="O810" t="str">
        <f t="shared" si="12"/>
        <v>Adult</v>
      </c>
    </row>
    <row r="811" spans="1:15">
      <c r="A811" t="s">
        <v>879</v>
      </c>
      <c r="B811" t="s">
        <v>29</v>
      </c>
      <c r="C811" t="s">
        <v>30</v>
      </c>
      <c r="D811" t="s">
        <v>72</v>
      </c>
      <c r="E811" s="2">
        <v>20</v>
      </c>
      <c r="F811" t="s">
        <v>22</v>
      </c>
      <c r="G811" t="s">
        <v>23</v>
      </c>
      <c r="H811" s="2">
        <v>83</v>
      </c>
      <c r="I811" s="3">
        <v>2949</v>
      </c>
      <c r="J811" s="4">
        <v>14.86</v>
      </c>
      <c r="K811" s="2">
        <v>107</v>
      </c>
      <c r="L811" s="2">
        <v>4</v>
      </c>
      <c r="M811" s="3">
        <v>16781</v>
      </c>
      <c r="N811" t="str" cm="1">
        <f t="array" ref="N811">_xlfn.IFS(Table1_36[[#This Row],[Patient Satisfaction Score]]&gt;=83,"High",H811&lt;=75,"Low",TRUE,"Moderate")</f>
        <v>High</v>
      </c>
      <c r="O811" t="str">
        <f t="shared" si="12"/>
        <v>Adult</v>
      </c>
    </row>
    <row r="812" spans="1:15">
      <c r="A812" t="s">
        <v>880</v>
      </c>
      <c r="B812" t="s">
        <v>109</v>
      </c>
      <c r="C812" t="s">
        <v>30</v>
      </c>
      <c r="D812" t="s">
        <v>16</v>
      </c>
      <c r="E812" s="2">
        <v>68</v>
      </c>
      <c r="F812" t="s">
        <v>34</v>
      </c>
      <c r="G812" t="s">
        <v>70</v>
      </c>
      <c r="H812" s="2">
        <v>69</v>
      </c>
      <c r="I812" s="3">
        <v>3853</v>
      </c>
      <c r="J812" s="4">
        <v>20.51</v>
      </c>
      <c r="K812" s="2">
        <v>79</v>
      </c>
      <c r="L812" s="2">
        <v>3</v>
      </c>
      <c r="M812" s="3">
        <v>16827</v>
      </c>
      <c r="N812" t="str" cm="1">
        <f t="array" ref="N812">_xlfn.IFS(Table1_36[[#This Row],[Patient Satisfaction Score]]&gt;=83,"High",H812&lt;=75,"Low",TRUE,"Moderate")</f>
        <v>Low</v>
      </c>
      <c r="O812" t="str">
        <f t="shared" si="12"/>
        <v>Adult</v>
      </c>
    </row>
    <row r="813" spans="1:15">
      <c r="A813" t="s">
        <v>881</v>
      </c>
      <c r="B813" t="s">
        <v>25</v>
      </c>
      <c r="C813" t="s">
        <v>26</v>
      </c>
      <c r="D813" t="s">
        <v>16</v>
      </c>
      <c r="E813" s="2">
        <v>31</v>
      </c>
      <c r="F813" t="s">
        <v>34</v>
      </c>
      <c r="G813" t="s">
        <v>31</v>
      </c>
      <c r="H813" s="2">
        <v>87</v>
      </c>
      <c r="I813" s="3">
        <v>2189</v>
      </c>
      <c r="J813" s="4">
        <v>8.4499999999999993</v>
      </c>
      <c r="K813" s="2">
        <v>29</v>
      </c>
      <c r="L813" s="2">
        <v>4</v>
      </c>
      <c r="M813" s="3">
        <v>12104</v>
      </c>
      <c r="N813" t="str" cm="1">
        <f t="array" ref="N813">_xlfn.IFS(Table1_36[[#This Row],[Patient Satisfaction Score]]&gt;=83,"High",H813&lt;=75,"Low",TRUE,"Moderate")</f>
        <v>High</v>
      </c>
      <c r="O813" t="str">
        <f t="shared" si="12"/>
        <v>Adult</v>
      </c>
    </row>
    <row r="814" spans="1:15">
      <c r="A814" t="s">
        <v>882</v>
      </c>
      <c r="B814" t="s">
        <v>143</v>
      </c>
      <c r="C814" t="s">
        <v>21</v>
      </c>
      <c r="D814" t="s">
        <v>16</v>
      </c>
      <c r="E814" s="2">
        <v>41</v>
      </c>
      <c r="F814" t="s">
        <v>22</v>
      </c>
      <c r="G814" t="s">
        <v>23</v>
      </c>
      <c r="H814" s="2">
        <v>85</v>
      </c>
      <c r="I814" s="3">
        <v>8179</v>
      </c>
      <c r="J814" s="4">
        <v>12</v>
      </c>
      <c r="K814" s="2">
        <v>87</v>
      </c>
      <c r="L814" s="2">
        <v>4</v>
      </c>
      <c r="M814" s="3">
        <v>47917</v>
      </c>
      <c r="N814" t="str" cm="1">
        <f t="array" ref="N814">_xlfn.IFS(Table1_36[[#This Row],[Patient Satisfaction Score]]&gt;=83,"High",H814&lt;=75,"Low",TRUE,"Moderate")</f>
        <v>High</v>
      </c>
      <c r="O814" t="str">
        <f t="shared" si="12"/>
        <v>Adult</v>
      </c>
    </row>
    <row r="815" spans="1:15">
      <c r="A815" t="s">
        <v>883</v>
      </c>
      <c r="B815" t="s">
        <v>122</v>
      </c>
      <c r="C815" t="s">
        <v>48</v>
      </c>
      <c r="D815" t="s">
        <v>16</v>
      </c>
      <c r="E815" s="2">
        <v>54</v>
      </c>
      <c r="F815" t="s">
        <v>22</v>
      </c>
      <c r="G815" t="s">
        <v>49</v>
      </c>
      <c r="H815" s="2">
        <v>76</v>
      </c>
      <c r="I815" s="3">
        <v>5306</v>
      </c>
      <c r="J815" s="4">
        <v>11.97</v>
      </c>
      <c r="K815" s="2">
        <v>101</v>
      </c>
      <c r="L815" s="2">
        <v>4</v>
      </c>
      <c r="M815" s="3">
        <v>16092</v>
      </c>
      <c r="N815" t="str" cm="1">
        <f t="array" ref="N815">_xlfn.IFS(Table1_36[[#This Row],[Patient Satisfaction Score]]&gt;=83,"High",H815&lt;=75,"Low",TRUE,"Moderate")</f>
        <v>Moderate</v>
      </c>
      <c r="O815" t="str">
        <f t="shared" si="12"/>
        <v>Adult</v>
      </c>
    </row>
    <row r="816" spans="1:15">
      <c r="A816" t="s">
        <v>884</v>
      </c>
      <c r="B816" t="s">
        <v>47</v>
      </c>
      <c r="C816" t="s">
        <v>48</v>
      </c>
      <c r="D816" t="s">
        <v>16</v>
      </c>
      <c r="E816" s="2">
        <v>20</v>
      </c>
      <c r="F816" t="s">
        <v>17</v>
      </c>
      <c r="G816" t="s">
        <v>70</v>
      </c>
      <c r="H816" s="2">
        <v>80</v>
      </c>
      <c r="I816" s="3">
        <v>8027</v>
      </c>
      <c r="J816" s="4">
        <v>18.68</v>
      </c>
      <c r="K816" s="2">
        <v>94</v>
      </c>
      <c r="L816" s="2">
        <v>4</v>
      </c>
      <c r="M816" s="3">
        <v>27511</v>
      </c>
      <c r="N816" t="str" cm="1">
        <f t="array" ref="N816">_xlfn.IFS(Table1_36[[#This Row],[Patient Satisfaction Score]]&gt;=83,"High",H816&lt;=75,"Low",TRUE,"Moderate")</f>
        <v>Moderate</v>
      </c>
      <c r="O816" t="str">
        <f t="shared" si="12"/>
        <v>Adult</v>
      </c>
    </row>
    <row r="817" spans="1:15">
      <c r="A817" t="s">
        <v>885</v>
      </c>
      <c r="B817" t="s">
        <v>78</v>
      </c>
      <c r="C817" t="s">
        <v>15</v>
      </c>
      <c r="D817" t="s">
        <v>16</v>
      </c>
      <c r="E817" s="2">
        <v>78</v>
      </c>
      <c r="F817" t="s">
        <v>17</v>
      </c>
      <c r="G817" t="s">
        <v>40</v>
      </c>
      <c r="H817" s="2">
        <v>89</v>
      </c>
      <c r="I817" s="3">
        <v>8576</v>
      </c>
      <c r="J817" s="4">
        <v>18.600000000000001</v>
      </c>
      <c r="K817" s="2">
        <v>38</v>
      </c>
      <c r="L817" s="2">
        <v>4</v>
      </c>
      <c r="M817" s="3">
        <v>25960</v>
      </c>
      <c r="N817" t="str" cm="1">
        <f t="array" ref="N817">_xlfn.IFS(Table1_36[[#This Row],[Patient Satisfaction Score]]&gt;=83,"High",H817&lt;=75,"Low",TRUE,"Moderate")</f>
        <v>High</v>
      </c>
      <c r="O817" t="str">
        <f t="shared" si="12"/>
        <v>Adult</v>
      </c>
    </row>
    <row r="818" spans="1:15">
      <c r="A818" t="s">
        <v>886</v>
      </c>
      <c r="B818" t="s">
        <v>14</v>
      </c>
      <c r="C818" t="s">
        <v>15</v>
      </c>
      <c r="D818" t="s">
        <v>16</v>
      </c>
      <c r="E818" s="2">
        <v>41</v>
      </c>
      <c r="F818" t="s">
        <v>22</v>
      </c>
      <c r="G818" t="s">
        <v>18</v>
      </c>
      <c r="H818" s="2">
        <v>78</v>
      </c>
      <c r="I818" s="3">
        <v>6910</v>
      </c>
      <c r="J818" s="4">
        <v>10.199999999999999</v>
      </c>
      <c r="K818" s="2">
        <v>97</v>
      </c>
      <c r="L818" s="2">
        <v>4</v>
      </c>
      <c r="M818" s="3">
        <v>39763</v>
      </c>
      <c r="N818" t="str" cm="1">
        <f t="array" ref="N818">_xlfn.IFS(Table1_36[[#This Row],[Patient Satisfaction Score]]&gt;=83,"High",H818&lt;=75,"Low",TRUE,"Moderate")</f>
        <v>Moderate</v>
      </c>
      <c r="O818" t="str">
        <f t="shared" si="12"/>
        <v>Adult</v>
      </c>
    </row>
    <row r="819" spans="1:15">
      <c r="A819" t="s">
        <v>887</v>
      </c>
      <c r="B819" t="s">
        <v>47</v>
      </c>
      <c r="C819" t="s">
        <v>48</v>
      </c>
      <c r="D819" t="s">
        <v>72</v>
      </c>
      <c r="E819" s="2">
        <v>8</v>
      </c>
      <c r="F819" t="s">
        <v>34</v>
      </c>
      <c r="G819" t="s">
        <v>31</v>
      </c>
      <c r="H819" s="2">
        <v>90</v>
      </c>
      <c r="I819" s="3">
        <v>6251</v>
      </c>
      <c r="J819" s="4">
        <v>10.95</v>
      </c>
      <c r="K819" s="2">
        <v>12</v>
      </c>
      <c r="L819" s="2">
        <v>4</v>
      </c>
      <c r="M819" s="3">
        <v>35554</v>
      </c>
      <c r="N819" t="str" cm="1">
        <f t="array" ref="N819">_xlfn.IFS(Table1_36[[#This Row],[Patient Satisfaction Score]]&gt;=83,"High",H819&lt;=75,"Low",TRUE,"Moderate")</f>
        <v>High</v>
      </c>
      <c r="O819" t="str">
        <f t="shared" si="12"/>
        <v>Pediatric</v>
      </c>
    </row>
    <row r="820" spans="1:15">
      <c r="A820" t="s">
        <v>888</v>
      </c>
      <c r="B820" t="s">
        <v>25</v>
      </c>
      <c r="C820" t="s">
        <v>26</v>
      </c>
      <c r="D820" t="s">
        <v>27</v>
      </c>
      <c r="E820" s="2">
        <v>45</v>
      </c>
      <c r="F820" t="s">
        <v>22</v>
      </c>
      <c r="G820" t="s">
        <v>70</v>
      </c>
      <c r="H820" s="2">
        <v>85</v>
      </c>
      <c r="I820" s="3">
        <v>3043</v>
      </c>
      <c r="J820" s="4">
        <v>7.77</v>
      </c>
      <c r="K820" s="2">
        <v>58</v>
      </c>
      <c r="L820" s="2">
        <v>4</v>
      </c>
      <c r="M820" s="3">
        <v>7972</v>
      </c>
      <c r="N820" t="str" cm="1">
        <f t="array" ref="N820">_xlfn.IFS(Table1_36[[#This Row],[Patient Satisfaction Score]]&gt;=83,"High",H820&lt;=75,"Low",TRUE,"Moderate")</f>
        <v>High</v>
      </c>
      <c r="O820" t="str">
        <f t="shared" si="12"/>
        <v>Adult</v>
      </c>
    </row>
    <row r="821" spans="1:15">
      <c r="A821" t="s">
        <v>889</v>
      </c>
      <c r="B821" t="s">
        <v>185</v>
      </c>
      <c r="C821" t="s">
        <v>52</v>
      </c>
      <c r="D821" t="s">
        <v>27</v>
      </c>
      <c r="E821" s="2">
        <v>20</v>
      </c>
      <c r="F821" t="s">
        <v>17</v>
      </c>
      <c r="G821" t="s">
        <v>23</v>
      </c>
      <c r="H821" s="2">
        <v>90</v>
      </c>
      <c r="I821" s="3">
        <v>7235</v>
      </c>
      <c r="J821" s="4">
        <v>9.51</v>
      </c>
      <c r="K821" s="2">
        <v>79</v>
      </c>
      <c r="L821" s="2">
        <v>4</v>
      </c>
      <c r="M821" s="3">
        <v>19972</v>
      </c>
      <c r="N821" t="str" cm="1">
        <f t="array" ref="N821">_xlfn.IFS(Table1_36[[#This Row],[Patient Satisfaction Score]]&gt;=83,"High",H821&lt;=75,"Low",TRUE,"Moderate")</f>
        <v>High</v>
      </c>
      <c r="O821" t="str">
        <f t="shared" si="12"/>
        <v>Adult</v>
      </c>
    </row>
    <row r="822" spans="1:15">
      <c r="A822" t="s">
        <v>890</v>
      </c>
      <c r="B822" t="s">
        <v>14</v>
      </c>
      <c r="C822" t="s">
        <v>15</v>
      </c>
      <c r="D822" t="s">
        <v>16</v>
      </c>
      <c r="E822" s="2">
        <v>18</v>
      </c>
      <c r="F822" t="s">
        <v>22</v>
      </c>
      <c r="G822" t="s">
        <v>70</v>
      </c>
      <c r="H822" s="2">
        <v>83</v>
      </c>
      <c r="I822" s="3">
        <v>9660</v>
      </c>
      <c r="J822" s="4">
        <v>20.09</v>
      </c>
      <c r="K822" s="2">
        <v>85</v>
      </c>
      <c r="L822" s="2">
        <v>4</v>
      </c>
      <c r="M822" s="3">
        <v>35496</v>
      </c>
      <c r="N822" t="str" cm="1">
        <f t="array" ref="N822">_xlfn.IFS(Table1_36[[#This Row],[Patient Satisfaction Score]]&gt;=83,"High",H822&lt;=75,"Low",TRUE,"Moderate")</f>
        <v>High</v>
      </c>
      <c r="O822" t="str">
        <f t="shared" si="12"/>
        <v>Pediatric</v>
      </c>
    </row>
    <row r="823" spans="1:15">
      <c r="A823" t="s">
        <v>891</v>
      </c>
      <c r="B823" t="s">
        <v>20</v>
      </c>
      <c r="C823" t="s">
        <v>21</v>
      </c>
      <c r="D823" t="s">
        <v>16</v>
      </c>
      <c r="E823" s="2">
        <v>37</v>
      </c>
      <c r="F823" t="s">
        <v>17</v>
      </c>
      <c r="G823" t="s">
        <v>31</v>
      </c>
      <c r="H823" s="2">
        <v>65</v>
      </c>
      <c r="I823" s="3">
        <v>9345</v>
      </c>
      <c r="J823" s="4">
        <v>14.07</v>
      </c>
      <c r="K823" s="2">
        <v>120</v>
      </c>
      <c r="L823" s="2">
        <v>4</v>
      </c>
      <c r="M823" s="3">
        <v>26168</v>
      </c>
      <c r="N823" t="str" cm="1">
        <f t="array" ref="N823">_xlfn.IFS(Table1_36[[#This Row],[Patient Satisfaction Score]]&gt;=83,"High",H823&lt;=75,"Low",TRUE,"Moderate")</f>
        <v>Low</v>
      </c>
      <c r="O823" t="str">
        <f t="shared" si="12"/>
        <v>Adult</v>
      </c>
    </row>
    <row r="824" spans="1:15">
      <c r="A824" t="s">
        <v>892</v>
      </c>
      <c r="B824" t="s">
        <v>80</v>
      </c>
      <c r="C824" t="s">
        <v>15</v>
      </c>
      <c r="D824" t="s">
        <v>16</v>
      </c>
      <c r="E824" s="2">
        <v>29</v>
      </c>
      <c r="F824" t="s">
        <v>34</v>
      </c>
      <c r="G824" t="s">
        <v>40</v>
      </c>
      <c r="H824" s="2">
        <v>81</v>
      </c>
      <c r="I824" s="3">
        <v>8574</v>
      </c>
      <c r="J824" s="4">
        <v>9.0299999999999994</v>
      </c>
      <c r="K824" s="2">
        <v>92</v>
      </c>
      <c r="L824" s="2">
        <v>4</v>
      </c>
      <c r="M824" s="3">
        <v>21710</v>
      </c>
      <c r="N824" t="str" cm="1">
        <f t="array" ref="N824">_xlfn.IFS(Table1_36[[#This Row],[Patient Satisfaction Score]]&gt;=83,"High",H824&lt;=75,"Low",TRUE,"Moderate")</f>
        <v>Moderate</v>
      </c>
      <c r="O824" t="str">
        <f t="shared" si="12"/>
        <v>Adult</v>
      </c>
    </row>
    <row r="825" spans="1:15">
      <c r="A825" t="s">
        <v>893</v>
      </c>
      <c r="B825" t="s">
        <v>122</v>
      </c>
      <c r="C825" t="s">
        <v>48</v>
      </c>
      <c r="D825" t="s">
        <v>27</v>
      </c>
      <c r="E825" s="2">
        <v>16</v>
      </c>
      <c r="F825" t="s">
        <v>17</v>
      </c>
      <c r="G825" t="s">
        <v>23</v>
      </c>
      <c r="H825" s="2">
        <v>87</v>
      </c>
      <c r="I825" s="3">
        <v>6583</v>
      </c>
      <c r="J825" s="4">
        <v>10.7</v>
      </c>
      <c r="K825" s="2">
        <v>88</v>
      </c>
      <c r="L825" s="2">
        <v>4</v>
      </c>
      <c r="M825" s="3">
        <v>37615</v>
      </c>
      <c r="N825" t="str" cm="1">
        <f t="array" ref="N825">_xlfn.IFS(Table1_36[[#This Row],[Patient Satisfaction Score]]&gt;=83,"High",H825&lt;=75,"Low",TRUE,"Moderate")</f>
        <v>High</v>
      </c>
      <c r="O825" t="str">
        <f t="shared" si="12"/>
        <v>Pediatric</v>
      </c>
    </row>
    <row r="826" spans="1:15">
      <c r="A826" t="s">
        <v>894</v>
      </c>
      <c r="B826" t="s">
        <v>150</v>
      </c>
      <c r="C826" t="s">
        <v>48</v>
      </c>
      <c r="D826" t="s">
        <v>16</v>
      </c>
      <c r="E826" s="2">
        <v>19</v>
      </c>
      <c r="F826" t="s">
        <v>34</v>
      </c>
      <c r="G826" t="s">
        <v>70</v>
      </c>
      <c r="H826" s="2">
        <v>84</v>
      </c>
      <c r="I826" s="3">
        <v>7078</v>
      </c>
      <c r="J826" s="4">
        <v>12.15</v>
      </c>
      <c r="K826" s="2">
        <v>67</v>
      </c>
      <c r="L826" s="2">
        <v>5</v>
      </c>
      <c r="M826" s="3">
        <v>40175</v>
      </c>
      <c r="N826" t="str" cm="1">
        <f t="array" ref="N826">_xlfn.IFS(Table1_36[[#This Row],[Patient Satisfaction Score]]&gt;=83,"High",H826&lt;=75,"Low",TRUE,"Moderate")</f>
        <v>High</v>
      </c>
      <c r="O826" t="str">
        <f t="shared" si="12"/>
        <v>Adult</v>
      </c>
    </row>
    <row r="827" spans="1:15">
      <c r="A827" t="s">
        <v>895</v>
      </c>
      <c r="B827" t="s">
        <v>14</v>
      </c>
      <c r="C827" t="s">
        <v>15</v>
      </c>
      <c r="D827" t="s">
        <v>16</v>
      </c>
      <c r="E827" s="2">
        <v>46</v>
      </c>
      <c r="F827" t="s">
        <v>17</v>
      </c>
      <c r="G827" t="s">
        <v>23</v>
      </c>
      <c r="H827" s="2">
        <v>73</v>
      </c>
      <c r="I827" s="3">
        <v>6677</v>
      </c>
      <c r="J827" s="4">
        <v>19.88</v>
      </c>
      <c r="K827" s="2">
        <v>64</v>
      </c>
      <c r="L827" s="2">
        <v>4</v>
      </c>
      <c r="M827" s="3">
        <v>23192</v>
      </c>
      <c r="N827" t="str" cm="1">
        <f t="array" ref="N827">_xlfn.IFS(Table1_36[[#This Row],[Patient Satisfaction Score]]&gt;=83,"High",H827&lt;=75,"Low",TRUE,"Moderate")</f>
        <v>Low</v>
      </c>
      <c r="O827" t="str">
        <f t="shared" si="12"/>
        <v>Adult</v>
      </c>
    </row>
    <row r="828" spans="1:15">
      <c r="A828" t="s">
        <v>896</v>
      </c>
      <c r="B828" t="s">
        <v>143</v>
      </c>
      <c r="C828" t="s">
        <v>21</v>
      </c>
      <c r="D828" t="s">
        <v>27</v>
      </c>
      <c r="E828" s="2">
        <v>52</v>
      </c>
      <c r="F828" t="s">
        <v>34</v>
      </c>
      <c r="G828" t="s">
        <v>49</v>
      </c>
      <c r="H828" s="2">
        <v>76</v>
      </c>
      <c r="I828" s="3">
        <v>6083</v>
      </c>
      <c r="J828" s="4">
        <v>7.88</v>
      </c>
      <c r="K828" s="2">
        <v>86</v>
      </c>
      <c r="L828" s="2">
        <v>4</v>
      </c>
      <c r="M828" s="3">
        <v>25564</v>
      </c>
      <c r="N828" t="str" cm="1">
        <f t="array" ref="N828">_xlfn.IFS(Table1_36[[#This Row],[Patient Satisfaction Score]]&gt;=83,"High",H828&lt;=75,"Low",TRUE,"Moderate")</f>
        <v>Moderate</v>
      </c>
      <c r="O828" t="str">
        <f t="shared" si="12"/>
        <v>Adult</v>
      </c>
    </row>
    <row r="829" spans="1:15">
      <c r="A829" t="s">
        <v>897</v>
      </c>
      <c r="B829" t="s">
        <v>58</v>
      </c>
      <c r="C829" t="s">
        <v>48</v>
      </c>
      <c r="D829" t="s">
        <v>27</v>
      </c>
      <c r="E829" s="2">
        <v>57</v>
      </c>
      <c r="F829" t="s">
        <v>34</v>
      </c>
      <c r="G829" t="s">
        <v>18</v>
      </c>
      <c r="H829" s="2">
        <v>78</v>
      </c>
      <c r="I829" s="3">
        <v>7786</v>
      </c>
      <c r="J829" s="4">
        <v>16.45</v>
      </c>
      <c r="K829" s="2">
        <v>82</v>
      </c>
      <c r="L829" s="2">
        <v>4</v>
      </c>
      <c r="M829" s="3">
        <v>26681</v>
      </c>
      <c r="N829" t="str" cm="1">
        <f t="array" ref="N829">_xlfn.IFS(Table1_36[[#This Row],[Patient Satisfaction Score]]&gt;=83,"High",H829&lt;=75,"Low",TRUE,"Moderate")</f>
        <v>Moderate</v>
      </c>
      <c r="O829" t="str">
        <f t="shared" si="12"/>
        <v>Adult</v>
      </c>
    </row>
    <row r="830" spans="1:15">
      <c r="A830" t="s">
        <v>898</v>
      </c>
      <c r="B830" t="s">
        <v>88</v>
      </c>
      <c r="C830" t="s">
        <v>15</v>
      </c>
      <c r="D830" t="s">
        <v>27</v>
      </c>
      <c r="E830" s="2">
        <v>48</v>
      </c>
      <c r="F830" t="s">
        <v>34</v>
      </c>
      <c r="G830" t="s">
        <v>40</v>
      </c>
      <c r="H830" s="2">
        <v>85</v>
      </c>
      <c r="I830" s="3">
        <v>5904</v>
      </c>
      <c r="J830" s="4">
        <v>18.829999999999998</v>
      </c>
      <c r="K830" s="2">
        <v>90</v>
      </c>
      <c r="L830" s="2">
        <v>4</v>
      </c>
      <c r="M830" s="3">
        <v>30670</v>
      </c>
      <c r="N830" t="str" cm="1">
        <f t="array" ref="N830">_xlfn.IFS(Table1_36[[#This Row],[Patient Satisfaction Score]]&gt;=83,"High",H830&lt;=75,"Low",TRUE,"Moderate")</f>
        <v>High</v>
      </c>
      <c r="O830" t="str">
        <f t="shared" si="12"/>
        <v>Adult</v>
      </c>
    </row>
    <row r="831" spans="1:15">
      <c r="A831" t="s">
        <v>899</v>
      </c>
      <c r="B831" t="s">
        <v>103</v>
      </c>
      <c r="C831" t="s">
        <v>26</v>
      </c>
      <c r="D831" t="s">
        <v>16</v>
      </c>
      <c r="E831" s="2">
        <v>38</v>
      </c>
      <c r="F831" t="s">
        <v>22</v>
      </c>
      <c r="G831" t="s">
        <v>18</v>
      </c>
      <c r="H831" s="2">
        <v>73</v>
      </c>
      <c r="I831" s="3">
        <v>2537</v>
      </c>
      <c r="J831" s="4">
        <v>10.27</v>
      </c>
      <c r="K831" s="2">
        <v>55</v>
      </c>
      <c r="L831" s="2">
        <v>3</v>
      </c>
      <c r="M831" s="3">
        <v>11501</v>
      </c>
      <c r="N831" t="str" cm="1">
        <f t="array" ref="N831">_xlfn.IFS(Table1_36[[#This Row],[Patient Satisfaction Score]]&gt;=83,"High",H831&lt;=75,"Low",TRUE,"Moderate")</f>
        <v>Low</v>
      </c>
      <c r="O831" t="str">
        <f t="shared" si="12"/>
        <v>Adult</v>
      </c>
    </row>
    <row r="832" spans="1:15">
      <c r="A832" t="s">
        <v>900</v>
      </c>
      <c r="B832" t="s">
        <v>54</v>
      </c>
      <c r="C832" t="s">
        <v>15</v>
      </c>
      <c r="D832" t="s">
        <v>16</v>
      </c>
      <c r="E832" s="2">
        <v>32</v>
      </c>
      <c r="F832" t="s">
        <v>17</v>
      </c>
      <c r="G832" t="s">
        <v>18</v>
      </c>
      <c r="H832" s="2">
        <v>70</v>
      </c>
      <c r="I832" s="3">
        <v>9026</v>
      </c>
      <c r="J832" s="4">
        <v>19.75</v>
      </c>
      <c r="K832" s="2">
        <v>116</v>
      </c>
      <c r="L832" s="2">
        <v>4</v>
      </c>
      <c r="M832" s="3">
        <v>49725</v>
      </c>
      <c r="N832" t="str" cm="1">
        <f t="array" ref="N832">_xlfn.IFS(Table1_36[[#This Row],[Patient Satisfaction Score]]&gt;=83,"High",H832&lt;=75,"Low",TRUE,"Moderate")</f>
        <v>Low</v>
      </c>
      <c r="O832" t="str">
        <f t="shared" si="12"/>
        <v>Adult</v>
      </c>
    </row>
    <row r="833" spans="1:15">
      <c r="A833" t="s">
        <v>901</v>
      </c>
      <c r="B833" t="s">
        <v>88</v>
      </c>
      <c r="C833" t="s">
        <v>15</v>
      </c>
      <c r="D833" t="s">
        <v>16</v>
      </c>
      <c r="E833" s="2">
        <v>11</v>
      </c>
      <c r="F833" t="s">
        <v>34</v>
      </c>
      <c r="G833" t="s">
        <v>49</v>
      </c>
      <c r="H833" s="2">
        <v>79</v>
      </c>
      <c r="I833" s="3">
        <v>6850</v>
      </c>
      <c r="J833" s="4">
        <v>9.52</v>
      </c>
      <c r="K833" s="2">
        <v>79</v>
      </c>
      <c r="L833" s="2">
        <v>4</v>
      </c>
      <c r="M833" s="3">
        <v>35099</v>
      </c>
      <c r="N833" t="str" cm="1">
        <f t="array" ref="N833">_xlfn.IFS(Table1_36[[#This Row],[Patient Satisfaction Score]]&gt;=83,"High",H833&lt;=75,"Low",TRUE,"Moderate")</f>
        <v>Moderate</v>
      </c>
      <c r="O833" t="str">
        <f t="shared" si="12"/>
        <v>Pediatric</v>
      </c>
    </row>
    <row r="834" spans="1:15">
      <c r="A834" t="s">
        <v>902</v>
      </c>
      <c r="B834" t="s">
        <v>68</v>
      </c>
      <c r="C834" t="s">
        <v>45</v>
      </c>
      <c r="D834" t="s">
        <v>16</v>
      </c>
      <c r="E834" s="2">
        <v>43</v>
      </c>
      <c r="F834" t="s">
        <v>34</v>
      </c>
      <c r="G834" t="s">
        <v>49</v>
      </c>
      <c r="H834" s="2">
        <v>78</v>
      </c>
      <c r="I834" s="3">
        <v>9013</v>
      </c>
      <c r="J834" s="4">
        <v>11.09</v>
      </c>
      <c r="K834" s="2">
        <v>76</v>
      </c>
      <c r="L834" s="2">
        <v>3</v>
      </c>
      <c r="M834" s="3">
        <v>47140</v>
      </c>
      <c r="N834" t="str" cm="1">
        <f t="array" ref="N834">_xlfn.IFS(Table1_36[[#This Row],[Patient Satisfaction Score]]&gt;=83,"High",H834&lt;=75,"Low",TRUE,"Moderate")</f>
        <v>Moderate</v>
      </c>
      <c r="O834" t="str">
        <f t="shared" ref="O834:O897" si="13">IF(E834&lt;19,"Pediatric","Adult")</f>
        <v>Adult</v>
      </c>
    </row>
    <row r="835" spans="1:15">
      <c r="A835" t="s">
        <v>903</v>
      </c>
      <c r="B835" t="s">
        <v>97</v>
      </c>
      <c r="C835" t="s">
        <v>30</v>
      </c>
      <c r="D835" t="s">
        <v>16</v>
      </c>
      <c r="E835" s="2">
        <v>30</v>
      </c>
      <c r="F835" t="s">
        <v>34</v>
      </c>
      <c r="G835" t="s">
        <v>23</v>
      </c>
      <c r="H835" s="2">
        <v>69</v>
      </c>
      <c r="I835" s="3">
        <v>3614</v>
      </c>
      <c r="J835" s="4">
        <v>20.98</v>
      </c>
      <c r="K835" s="2">
        <v>124</v>
      </c>
      <c r="L835" s="2">
        <v>2</v>
      </c>
      <c r="M835" s="3">
        <v>16688</v>
      </c>
      <c r="N835" t="str" cm="1">
        <f t="array" ref="N835">_xlfn.IFS(Table1_36[[#This Row],[Patient Satisfaction Score]]&gt;=83,"High",H835&lt;=75,"Low",TRUE,"Moderate")</f>
        <v>Low</v>
      </c>
      <c r="O835" t="str">
        <f t="shared" si="13"/>
        <v>Adult</v>
      </c>
    </row>
    <row r="836" spans="1:15">
      <c r="A836" t="s">
        <v>904</v>
      </c>
      <c r="B836" t="s">
        <v>103</v>
      </c>
      <c r="C836" t="s">
        <v>26</v>
      </c>
      <c r="D836" t="s">
        <v>27</v>
      </c>
      <c r="E836" s="2">
        <v>32</v>
      </c>
      <c r="F836" t="s">
        <v>34</v>
      </c>
      <c r="G836" t="s">
        <v>31</v>
      </c>
      <c r="H836" s="2">
        <v>81</v>
      </c>
      <c r="I836" s="3">
        <v>1840</v>
      </c>
      <c r="J836" s="4">
        <v>5.08</v>
      </c>
      <c r="K836" s="2">
        <v>101</v>
      </c>
      <c r="L836" s="2">
        <v>5</v>
      </c>
      <c r="M836" s="3">
        <v>5444</v>
      </c>
      <c r="N836" t="str" cm="1">
        <f t="array" ref="N836">_xlfn.IFS(Table1_36[[#This Row],[Patient Satisfaction Score]]&gt;=83,"High",H836&lt;=75,"Low",TRUE,"Moderate")</f>
        <v>Moderate</v>
      </c>
      <c r="O836" t="str">
        <f t="shared" si="13"/>
        <v>Adult</v>
      </c>
    </row>
    <row r="837" spans="1:15">
      <c r="A837" t="s">
        <v>905</v>
      </c>
      <c r="B837" t="s">
        <v>38</v>
      </c>
      <c r="C837" t="s">
        <v>39</v>
      </c>
      <c r="D837" t="s">
        <v>16</v>
      </c>
      <c r="E837" s="2">
        <v>17</v>
      </c>
      <c r="F837" t="s">
        <v>22</v>
      </c>
      <c r="G837" t="s">
        <v>49</v>
      </c>
      <c r="H837" s="2">
        <v>82</v>
      </c>
      <c r="I837" s="3">
        <v>3033</v>
      </c>
      <c r="J837" s="4">
        <v>3.52</v>
      </c>
      <c r="K837" s="2">
        <v>70</v>
      </c>
      <c r="L837" s="2">
        <v>4</v>
      </c>
      <c r="M837" s="3">
        <v>11899</v>
      </c>
      <c r="N837" t="str" cm="1">
        <f t="array" ref="N837">_xlfn.IFS(Table1_36[[#This Row],[Patient Satisfaction Score]]&gt;=83,"High",H837&lt;=75,"Low",TRUE,"Moderate")</f>
        <v>Moderate</v>
      </c>
      <c r="O837" t="str">
        <f t="shared" si="13"/>
        <v>Pediatric</v>
      </c>
    </row>
    <row r="838" spans="1:15">
      <c r="A838" t="s">
        <v>906</v>
      </c>
      <c r="B838" t="s">
        <v>62</v>
      </c>
      <c r="C838" t="s">
        <v>52</v>
      </c>
      <c r="D838" t="s">
        <v>16</v>
      </c>
      <c r="E838" s="2">
        <v>70</v>
      </c>
      <c r="F838" t="s">
        <v>22</v>
      </c>
      <c r="G838" t="s">
        <v>31</v>
      </c>
      <c r="H838" s="2">
        <v>80</v>
      </c>
      <c r="I838" s="3">
        <v>5970</v>
      </c>
      <c r="J838" s="4">
        <v>13.33</v>
      </c>
      <c r="K838" s="2">
        <v>70</v>
      </c>
      <c r="L838" s="2">
        <v>3</v>
      </c>
      <c r="M838" s="3">
        <v>18006</v>
      </c>
      <c r="N838" t="str" cm="1">
        <f t="array" ref="N838">_xlfn.IFS(Table1_36[[#This Row],[Patient Satisfaction Score]]&gt;=83,"High",H838&lt;=75,"Low",TRUE,"Moderate")</f>
        <v>Moderate</v>
      </c>
      <c r="O838" t="str">
        <f t="shared" si="13"/>
        <v>Adult</v>
      </c>
    </row>
    <row r="839" spans="1:15">
      <c r="A839" t="s">
        <v>907</v>
      </c>
      <c r="B839" t="s">
        <v>88</v>
      </c>
      <c r="C839" t="s">
        <v>15</v>
      </c>
      <c r="D839" t="s">
        <v>16</v>
      </c>
      <c r="E839" s="2">
        <v>68</v>
      </c>
      <c r="F839" t="s">
        <v>17</v>
      </c>
      <c r="G839" t="s">
        <v>70</v>
      </c>
      <c r="H839" s="2">
        <v>68</v>
      </c>
      <c r="I839" s="3">
        <v>7399</v>
      </c>
      <c r="J839" s="4">
        <v>16.559999999999999</v>
      </c>
      <c r="K839" s="2">
        <v>125</v>
      </c>
      <c r="L839" s="2">
        <v>3</v>
      </c>
      <c r="M839" s="3">
        <v>26325</v>
      </c>
      <c r="N839" t="str" cm="1">
        <f t="array" ref="N839">_xlfn.IFS(Table1_36[[#This Row],[Patient Satisfaction Score]]&gt;=83,"High",H839&lt;=75,"Low",TRUE,"Moderate")</f>
        <v>Low</v>
      </c>
      <c r="O839" t="str">
        <f t="shared" si="13"/>
        <v>Adult</v>
      </c>
    </row>
    <row r="840" spans="1:15">
      <c r="A840" t="s">
        <v>908</v>
      </c>
      <c r="B840" t="s">
        <v>54</v>
      </c>
      <c r="C840" t="s">
        <v>39</v>
      </c>
      <c r="D840" t="s">
        <v>27</v>
      </c>
      <c r="E840" s="2">
        <v>14</v>
      </c>
      <c r="F840" t="s">
        <v>22</v>
      </c>
      <c r="G840" t="s">
        <v>49</v>
      </c>
      <c r="H840" s="2">
        <v>83</v>
      </c>
      <c r="I840" s="3">
        <v>2984</v>
      </c>
      <c r="J840" s="4">
        <v>7.13</v>
      </c>
      <c r="K840" s="2">
        <v>72</v>
      </c>
      <c r="L840" s="2">
        <v>4</v>
      </c>
      <c r="M840" s="3">
        <v>10995</v>
      </c>
      <c r="N840" t="str" cm="1">
        <f t="array" ref="N840">_xlfn.IFS(Table1_36[[#This Row],[Patient Satisfaction Score]]&gt;=83,"High",H840&lt;=75,"Low",TRUE,"Moderate")</f>
        <v>High</v>
      </c>
      <c r="O840" t="str">
        <f t="shared" si="13"/>
        <v>Pediatric</v>
      </c>
    </row>
    <row r="841" spans="1:15">
      <c r="A841" t="s">
        <v>909</v>
      </c>
      <c r="B841" t="s">
        <v>109</v>
      </c>
      <c r="C841" t="s">
        <v>30</v>
      </c>
      <c r="D841" t="s">
        <v>16</v>
      </c>
      <c r="E841" s="2">
        <v>90</v>
      </c>
      <c r="F841" t="s">
        <v>17</v>
      </c>
      <c r="G841" t="s">
        <v>49</v>
      </c>
      <c r="H841" s="2">
        <v>78</v>
      </c>
      <c r="I841" s="3">
        <v>3761</v>
      </c>
      <c r="J841" s="4">
        <v>21.41</v>
      </c>
      <c r="K841" s="2">
        <v>98</v>
      </c>
      <c r="L841" s="2">
        <v>4</v>
      </c>
      <c r="M841" s="3">
        <v>21323</v>
      </c>
      <c r="N841" t="str" cm="1">
        <f t="array" ref="N841">_xlfn.IFS(Table1_36[[#This Row],[Patient Satisfaction Score]]&gt;=83,"High",H841&lt;=75,"Low",TRUE,"Moderate")</f>
        <v>Moderate</v>
      </c>
      <c r="O841" t="str">
        <f t="shared" si="13"/>
        <v>Adult</v>
      </c>
    </row>
    <row r="842" spans="1:15">
      <c r="A842" t="s">
        <v>910</v>
      </c>
      <c r="B842" t="s">
        <v>168</v>
      </c>
      <c r="C842" t="s">
        <v>45</v>
      </c>
      <c r="D842" t="s">
        <v>16</v>
      </c>
      <c r="E842" s="2">
        <v>46</v>
      </c>
      <c r="F842" t="s">
        <v>17</v>
      </c>
      <c r="G842" t="s">
        <v>70</v>
      </c>
      <c r="H842" s="2">
        <v>78</v>
      </c>
      <c r="I842" s="3">
        <v>10542</v>
      </c>
      <c r="J842" s="4">
        <v>18.59</v>
      </c>
      <c r="K842" s="2">
        <v>74</v>
      </c>
      <c r="L842" s="2">
        <v>4</v>
      </c>
      <c r="M842" s="3">
        <v>57842</v>
      </c>
      <c r="N842" t="str" cm="1">
        <f t="array" ref="N842">_xlfn.IFS(Table1_36[[#This Row],[Patient Satisfaction Score]]&gt;=83,"High",H842&lt;=75,"Low",TRUE,"Moderate")</f>
        <v>Moderate</v>
      </c>
      <c r="O842" t="str">
        <f t="shared" si="13"/>
        <v>Adult</v>
      </c>
    </row>
    <row r="843" spans="1:15">
      <c r="A843" t="s">
        <v>911</v>
      </c>
      <c r="B843" t="s">
        <v>66</v>
      </c>
      <c r="C843" t="s">
        <v>39</v>
      </c>
      <c r="D843" t="s">
        <v>27</v>
      </c>
      <c r="E843" s="2">
        <v>2</v>
      </c>
      <c r="F843" t="s">
        <v>34</v>
      </c>
      <c r="G843" t="s">
        <v>23</v>
      </c>
      <c r="H843" s="2">
        <v>78</v>
      </c>
      <c r="I843" s="3">
        <v>2828</v>
      </c>
      <c r="J843" s="4">
        <v>10.57</v>
      </c>
      <c r="K843" s="2">
        <v>67</v>
      </c>
      <c r="L843" s="2">
        <v>4</v>
      </c>
      <c r="M843" s="3">
        <v>7504</v>
      </c>
      <c r="N843" t="str" cm="1">
        <f t="array" ref="N843">_xlfn.IFS(Table1_36[[#This Row],[Patient Satisfaction Score]]&gt;=83,"High",H843&lt;=75,"Low",TRUE,"Moderate")</f>
        <v>Moderate</v>
      </c>
      <c r="O843" t="str">
        <f t="shared" si="13"/>
        <v>Pediatric</v>
      </c>
    </row>
    <row r="844" spans="1:15">
      <c r="A844" t="s">
        <v>912</v>
      </c>
      <c r="B844" t="s">
        <v>95</v>
      </c>
      <c r="C844" t="s">
        <v>52</v>
      </c>
      <c r="D844" t="s">
        <v>16</v>
      </c>
      <c r="E844" s="2">
        <v>36</v>
      </c>
      <c r="F844" t="s">
        <v>34</v>
      </c>
      <c r="G844" t="s">
        <v>18</v>
      </c>
      <c r="H844" s="2">
        <v>73</v>
      </c>
      <c r="I844" s="3">
        <v>6772</v>
      </c>
      <c r="J844" s="4">
        <v>11.58</v>
      </c>
      <c r="K844" s="2">
        <v>114</v>
      </c>
      <c r="L844" s="2">
        <v>3</v>
      </c>
      <c r="M844" s="3">
        <v>28422</v>
      </c>
      <c r="N844" t="str" cm="1">
        <f t="array" ref="N844">_xlfn.IFS(Table1_36[[#This Row],[Patient Satisfaction Score]]&gt;=83,"High",H844&lt;=75,"Low",TRUE,"Moderate")</f>
        <v>Low</v>
      </c>
      <c r="O844" t="str">
        <f t="shared" si="13"/>
        <v>Adult</v>
      </c>
    </row>
    <row r="845" spans="1:15">
      <c r="A845" t="s">
        <v>913</v>
      </c>
      <c r="B845" t="s">
        <v>88</v>
      </c>
      <c r="C845" t="s">
        <v>15</v>
      </c>
      <c r="D845" t="s">
        <v>27</v>
      </c>
      <c r="E845" s="2">
        <v>17</v>
      </c>
      <c r="F845" t="s">
        <v>22</v>
      </c>
      <c r="G845" t="s">
        <v>70</v>
      </c>
      <c r="H845" s="2">
        <v>78</v>
      </c>
      <c r="I845" s="3">
        <v>7142</v>
      </c>
      <c r="J845" s="4">
        <v>17.329999999999998</v>
      </c>
      <c r="K845" s="2">
        <v>62</v>
      </c>
      <c r="L845" s="2">
        <v>4</v>
      </c>
      <c r="M845" s="3">
        <v>39727</v>
      </c>
      <c r="N845" t="str" cm="1">
        <f t="array" ref="N845">_xlfn.IFS(Table1_36[[#This Row],[Patient Satisfaction Score]]&gt;=83,"High",H845&lt;=75,"Low",TRUE,"Moderate")</f>
        <v>Moderate</v>
      </c>
      <c r="O845" t="str">
        <f t="shared" si="13"/>
        <v>Pediatric</v>
      </c>
    </row>
    <row r="846" spans="1:15">
      <c r="A846" t="s">
        <v>914</v>
      </c>
      <c r="B846" t="s">
        <v>88</v>
      </c>
      <c r="C846" t="s">
        <v>15</v>
      </c>
      <c r="D846" t="s">
        <v>27</v>
      </c>
      <c r="E846" s="2">
        <v>33</v>
      </c>
      <c r="F846" t="s">
        <v>17</v>
      </c>
      <c r="G846" t="s">
        <v>70</v>
      </c>
      <c r="H846" s="2">
        <v>71</v>
      </c>
      <c r="I846" s="3">
        <v>7811</v>
      </c>
      <c r="J846" s="4">
        <v>21.65</v>
      </c>
      <c r="K846" s="2">
        <v>79</v>
      </c>
      <c r="L846" s="2">
        <v>4</v>
      </c>
      <c r="M846" s="3">
        <v>23368</v>
      </c>
      <c r="N846" t="str" cm="1">
        <f t="array" ref="N846">_xlfn.IFS(Table1_36[[#This Row],[Patient Satisfaction Score]]&gt;=83,"High",H846&lt;=75,"Low",TRUE,"Moderate")</f>
        <v>Low</v>
      </c>
      <c r="O846" t="str">
        <f t="shared" si="13"/>
        <v>Adult</v>
      </c>
    </row>
    <row r="847" spans="1:15">
      <c r="A847" t="s">
        <v>915</v>
      </c>
      <c r="B847" t="s">
        <v>109</v>
      </c>
      <c r="C847" t="s">
        <v>30</v>
      </c>
      <c r="D847" t="s">
        <v>27</v>
      </c>
      <c r="E847" s="2">
        <v>20</v>
      </c>
      <c r="F847" t="s">
        <v>17</v>
      </c>
      <c r="G847" t="s">
        <v>49</v>
      </c>
      <c r="H847" s="2">
        <v>71</v>
      </c>
      <c r="I847" s="3">
        <v>5662</v>
      </c>
      <c r="J847" s="4">
        <v>19.12</v>
      </c>
      <c r="K847" s="2">
        <v>120</v>
      </c>
      <c r="L847" s="2">
        <v>4</v>
      </c>
      <c r="M847" s="3">
        <v>30850</v>
      </c>
      <c r="N847" t="str" cm="1">
        <f t="array" ref="N847">_xlfn.IFS(Table1_36[[#This Row],[Patient Satisfaction Score]]&gt;=83,"High",H847&lt;=75,"Low",TRUE,"Moderate")</f>
        <v>Low</v>
      </c>
      <c r="O847" t="str">
        <f t="shared" si="13"/>
        <v>Adult</v>
      </c>
    </row>
    <row r="848" spans="1:15">
      <c r="A848" t="s">
        <v>916</v>
      </c>
      <c r="B848" t="s">
        <v>109</v>
      </c>
      <c r="C848" t="s">
        <v>30</v>
      </c>
      <c r="D848" t="s">
        <v>16</v>
      </c>
      <c r="E848" s="2">
        <v>37</v>
      </c>
      <c r="F848" t="s">
        <v>22</v>
      </c>
      <c r="G848" t="s">
        <v>31</v>
      </c>
      <c r="H848" s="2">
        <v>73</v>
      </c>
      <c r="I848" s="3">
        <v>3487</v>
      </c>
      <c r="J848" s="4">
        <v>14.09</v>
      </c>
      <c r="K848" s="2">
        <v>114</v>
      </c>
      <c r="L848" s="2">
        <v>3</v>
      </c>
      <c r="M848" s="3">
        <v>13161</v>
      </c>
      <c r="N848" t="str" cm="1">
        <f t="array" ref="N848">_xlfn.IFS(Table1_36[[#This Row],[Patient Satisfaction Score]]&gt;=83,"High",H848&lt;=75,"Low",TRUE,"Moderate")</f>
        <v>Low</v>
      </c>
      <c r="O848" t="str">
        <f t="shared" si="13"/>
        <v>Adult</v>
      </c>
    </row>
    <row r="849" spans="1:15">
      <c r="A849" t="s">
        <v>917</v>
      </c>
      <c r="B849" t="s">
        <v>47</v>
      </c>
      <c r="C849" t="s">
        <v>48</v>
      </c>
      <c r="D849" t="s">
        <v>16</v>
      </c>
      <c r="E849" s="2">
        <v>26</v>
      </c>
      <c r="F849" t="s">
        <v>22</v>
      </c>
      <c r="G849" t="s">
        <v>31</v>
      </c>
      <c r="H849" s="2">
        <v>85</v>
      </c>
      <c r="I849" s="3">
        <v>4012</v>
      </c>
      <c r="J849" s="4">
        <v>9.9499999999999993</v>
      </c>
      <c r="K849" s="2">
        <v>81</v>
      </c>
      <c r="L849" s="2">
        <v>4</v>
      </c>
      <c r="M849" s="3">
        <v>10468</v>
      </c>
      <c r="N849" t="str" cm="1">
        <f t="array" ref="N849">_xlfn.IFS(Table1_36[[#This Row],[Patient Satisfaction Score]]&gt;=83,"High",H849&lt;=75,"Low",TRUE,"Moderate")</f>
        <v>High</v>
      </c>
      <c r="O849" t="str">
        <f t="shared" si="13"/>
        <v>Adult</v>
      </c>
    </row>
    <row r="850" spans="1:15">
      <c r="A850" t="s">
        <v>918</v>
      </c>
      <c r="B850" t="s">
        <v>56</v>
      </c>
      <c r="C850" t="s">
        <v>45</v>
      </c>
      <c r="D850" t="s">
        <v>27</v>
      </c>
      <c r="E850" s="2">
        <v>45</v>
      </c>
      <c r="F850" t="s">
        <v>17</v>
      </c>
      <c r="G850" t="s">
        <v>18</v>
      </c>
      <c r="H850" s="2">
        <v>77</v>
      </c>
      <c r="I850" s="3">
        <v>7233</v>
      </c>
      <c r="J850" s="4">
        <v>11.38</v>
      </c>
      <c r="K850" s="2">
        <v>105</v>
      </c>
      <c r="L850" s="2">
        <v>4</v>
      </c>
      <c r="M850" s="3">
        <v>29290</v>
      </c>
      <c r="N850" t="str" cm="1">
        <f t="array" ref="N850">_xlfn.IFS(Table1_36[[#This Row],[Patient Satisfaction Score]]&gt;=83,"High",H850&lt;=75,"Low",TRUE,"Moderate")</f>
        <v>Moderate</v>
      </c>
      <c r="O850" t="str">
        <f t="shared" si="13"/>
        <v>Adult</v>
      </c>
    </row>
    <row r="851" spans="1:15">
      <c r="A851" t="s">
        <v>919</v>
      </c>
      <c r="B851" t="s">
        <v>56</v>
      </c>
      <c r="C851" t="s">
        <v>45</v>
      </c>
      <c r="D851" t="s">
        <v>16</v>
      </c>
      <c r="E851" s="2">
        <v>13</v>
      </c>
      <c r="F851" t="s">
        <v>22</v>
      </c>
      <c r="G851" t="s">
        <v>49</v>
      </c>
      <c r="H851" s="2">
        <v>64</v>
      </c>
      <c r="I851" s="3">
        <v>8296</v>
      </c>
      <c r="J851" s="4">
        <v>17.73</v>
      </c>
      <c r="K851" s="2">
        <v>151</v>
      </c>
      <c r="L851" s="2">
        <v>3</v>
      </c>
      <c r="M851" s="3">
        <v>42172</v>
      </c>
      <c r="N851" t="str" cm="1">
        <f t="array" ref="N851">_xlfn.IFS(Table1_36[[#This Row],[Patient Satisfaction Score]]&gt;=83,"High",H851&lt;=75,"Low",TRUE,"Moderate")</f>
        <v>Low</v>
      </c>
      <c r="O851" t="str">
        <f t="shared" si="13"/>
        <v>Pediatric</v>
      </c>
    </row>
    <row r="852" spans="1:15">
      <c r="A852" t="s">
        <v>920</v>
      </c>
      <c r="B852" t="s">
        <v>56</v>
      </c>
      <c r="C852" t="s">
        <v>45</v>
      </c>
      <c r="D852" t="s">
        <v>16</v>
      </c>
      <c r="E852" s="2">
        <v>51</v>
      </c>
      <c r="F852" t="s">
        <v>17</v>
      </c>
      <c r="G852" t="s">
        <v>23</v>
      </c>
      <c r="H852" s="2">
        <v>79</v>
      </c>
      <c r="I852" s="3">
        <v>9813</v>
      </c>
      <c r="J852" s="4">
        <v>15.58</v>
      </c>
      <c r="K852" s="2">
        <v>68</v>
      </c>
      <c r="L852" s="2">
        <v>4</v>
      </c>
      <c r="M852" s="3">
        <v>36632</v>
      </c>
      <c r="N852" t="str" cm="1">
        <f t="array" ref="N852">_xlfn.IFS(Table1_36[[#This Row],[Patient Satisfaction Score]]&gt;=83,"High",H852&lt;=75,"Low",TRUE,"Moderate")</f>
        <v>Moderate</v>
      </c>
      <c r="O852" t="str">
        <f t="shared" si="13"/>
        <v>Adult</v>
      </c>
    </row>
    <row r="853" spans="1:15">
      <c r="A853" t="s">
        <v>921</v>
      </c>
      <c r="B853" t="s">
        <v>51</v>
      </c>
      <c r="C853" t="s">
        <v>52</v>
      </c>
      <c r="D853" t="s">
        <v>27</v>
      </c>
      <c r="E853" s="2">
        <v>61</v>
      </c>
      <c r="F853" t="s">
        <v>22</v>
      </c>
      <c r="G853" t="s">
        <v>40</v>
      </c>
      <c r="H853" s="2">
        <v>89</v>
      </c>
      <c r="I853" s="3">
        <v>9085</v>
      </c>
      <c r="J853" s="4">
        <v>14.21</v>
      </c>
      <c r="K853" s="2">
        <v>54</v>
      </c>
      <c r="L853" s="2">
        <v>4</v>
      </c>
      <c r="M853" s="3">
        <v>38271</v>
      </c>
      <c r="N853" t="str" cm="1">
        <f t="array" ref="N853">_xlfn.IFS(Table1_36[[#This Row],[Patient Satisfaction Score]]&gt;=83,"High",H853&lt;=75,"Low",TRUE,"Moderate")</f>
        <v>High</v>
      </c>
      <c r="O853" t="str">
        <f t="shared" si="13"/>
        <v>Adult</v>
      </c>
    </row>
    <row r="854" spans="1:15">
      <c r="A854" t="s">
        <v>922</v>
      </c>
      <c r="B854" t="s">
        <v>38</v>
      </c>
      <c r="C854" t="s">
        <v>39</v>
      </c>
      <c r="D854" t="s">
        <v>27</v>
      </c>
      <c r="E854" s="2">
        <v>7</v>
      </c>
      <c r="F854" t="s">
        <v>17</v>
      </c>
      <c r="G854" t="s">
        <v>70</v>
      </c>
      <c r="H854" s="2">
        <v>89</v>
      </c>
      <c r="I854" s="3">
        <v>2024</v>
      </c>
      <c r="J854" s="4">
        <v>0</v>
      </c>
      <c r="K854" s="2">
        <v>61</v>
      </c>
      <c r="L854" s="2">
        <v>5</v>
      </c>
      <c r="M854" s="3">
        <v>7392</v>
      </c>
      <c r="N854" t="str" cm="1">
        <f t="array" ref="N854">_xlfn.IFS(Table1_36[[#This Row],[Patient Satisfaction Score]]&gt;=83,"High",H854&lt;=75,"Low",TRUE,"Moderate")</f>
        <v>High</v>
      </c>
      <c r="O854" t="str">
        <f t="shared" si="13"/>
        <v>Pediatric</v>
      </c>
    </row>
    <row r="855" spans="1:15">
      <c r="A855" t="s">
        <v>923</v>
      </c>
      <c r="B855" t="s">
        <v>36</v>
      </c>
      <c r="C855" t="s">
        <v>21</v>
      </c>
      <c r="D855" t="s">
        <v>27</v>
      </c>
      <c r="E855" s="2">
        <v>44</v>
      </c>
      <c r="F855" t="s">
        <v>22</v>
      </c>
      <c r="G855" t="s">
        <v>18</v>
      </c>
      <c r="H855" s="2">
        <v>79</v>
      </c>
      <c r="I855" s="3">
        <v>4866</v>
      </c>
      <c r="J855" s="4">
        <v>15.67</v>
      </c>
      <c r="K855" s="2">
        <v>78</v>
      </c>
      <c r="L855" s="2">
        <v>4</v>
      </c>
      <c r="M855" s="3">
        <v>19894</v>
      </c>
      <c r="N855" t="str" cm="1">
        <f t="array" ref="N855">_xlfn.IFS(Table1_36[[#This Row],[Patient Satisfaction Score]]&gt;=83,"High",H855&lt;=75,"Low",TRUE,"Moderate")</f>
        <v>Moderate</v>
      </c>
      <c r="O855" t="str">
        <f t="shared" si="13"/>
        <v>Adult</v>
      </c>
    </row>
    <row r="856" spans="1:15">
      <c r="A856" t="s">
        <v>924</v>
      </c>
      <c r="B856" t="s">
        <v>51</v>
      </c>
      <c r="C856" t="s">
        <v>52</v>
      </c>
      <c r="D856" t="s">
        <v>16</v>
      </c>
      <c r="E856" s="2">
        <v>68</v>
      </c>
      <c r="F856" t="s">
        <v>34</v>
      </c>
      <c r="G856" t="s">
        <v>18</v>
      </c>
      <c r="H856" s="2">
        <v>92</v>
      </c>
      <c r="I856" s="3">
        <v>4313</v>
      </c>
      <c r="J856" s="4">
        <v>12.56</v>
      </c>
      <c r="K856" s="2">
        <v>82</v>
      </c>
      <c r="L856" s="2">
        <v>5</v>
      </c>
      <c r="M856" s="3">
        <v>13636</v>
      </c>
      <c r="N856" t="str" cm="1">
        <f t="array" ref="N856">_xlfn.IFS(Table1_36[[#This Row],[Patient Satisfaction Score]]&gt;=83,"High",H856&lt;=75,"Low",TRUE,"Moderate")</f>
        <v>High</v>
      </c>
      <c r="O856" t="str">
        <f t="shared" si="13"/>
        <v>Adult</v>
      </c>
    </row>
    <row r="857" spans="1:15">
      <c r="A857" t="s">
        <v>925</v>
      </c>
      <c r="B857" t="s">
        <v>68</v>
      </c>
      <c r="C857" t="s">
        <v>45</v>
      </c>
      <c r="D857" t="s">
        <v>16</v>
      </c>
      <c r="E857" s="2">
        <v>50</v>
      </c>
      <c r="F857" t="s">
        <v>17</v>
      </c>
      <c r="G857" t="s">
        <v>70</v>
      </c>
      <c r="H857" s="2">
        <v>68</v>
      </c>
      <c r="I857" s="3">
        <v>7594</v>
      </c>
      <c r="J857" s="4">
        <v>18.04</v>
      </c>
      <c r="K857" s="2">
        <v>108</v>
      </c>
      <c r="L857" s="2">
        <v>4</v>
      </c>
      <c r="M857" s="3">
        <v>21076</v>
      </c>
      <c r="N857" t="str" cm="1">
        <f t="array" ref="N857">_xlfn.IFS(Table1_36[[#This Row],[Patient Satisfaction Score]]&gt;=83,"High",H857&lt;=75,"Low",TRUE,"Moderate")</f>
        <v>Low</v>
      </c>
      <c r="O857" t="str">
        <f t="shared" si="13"/>
        <v>Adult</v>
      </c>
    </row>
    <row r="858" spans="1:15">
      <c r="A858" t="s">
        <v>926</v>
      </c>
      <c r="B858" t="s">
        <v>29</v>
      </c>
      <c r="C858" t="s">
        <v>30</v>
      </c>
      <c r="D858" t="s">
        <v>27</v>
      </c>
      <c r="E858" s="2">
        <v>1</v>
      </c>
      <c r="F858" t="s">
        <v>34</v>
      </c>
      <c r="G858" t="s">
        <v>70</v>
      </c>
      <c r="H858" s="2">
        <v>64</v>
      </c>
      <c r="I858" s="3">
        <v>2929</v>
      </c>
      <c r="J858" s="4">
        <v>18.7</v>
      </c>
      <c r="K858" s="2">
        <v>123</v>
      </c>
      <c r="L858" s="2">
        <v>3</v>
      </c>
      <c r="M858" s="3">
        <v>17441</v>
      </c>
      <c r="N858" t="str" cm="1">
        <f t="array" ref="N858">_xlfn.IFS(Table1_36[[#This Row],[Patient Satisfaction Score]]&gt;=83,"High",H858&lt;=75,"Low",TRUE,"Moderate")</f>
        <v>Low</v>
      </c>
      <c r="O858" t="str">
        <f t="shared" si="13"/>
        <v>Pediatric</v>
      </c>
    </row>
    <row r="859" spans="1:15">
      <c r="A859" t="s">
        <v>927</v>
      </c>
      <c r="B859" t="s">
        <v>36</v>
      </c>
      <c r="C859" t="s">
        <v>21</v>
      </c>
      <c r="D859" t="s">
        <v>27</v>
      </c>
      <c r="E859" s="2">
        <v>81</v>
      </c>
      <c r="F859" t="s">
        <v>22</v>
      </c>
      <c r="G859" t="s">
        <v>23</v>
      </c>
      <c r="H859" s="2">
        <v>85</v>
      </c>
      <c r="I859" s="3">
        <v>5655</v>
      </c>
      <c r="J859" s="4">
        <v>13.88</v>
      </c>
      <c r="K859" s="2">
        <v>101</v>
      </c>
      <c r="L859" s="2">
        <v>4</v>
      </c>
      <c r="M859" s="3">
        <v>14626</v>
      </c>
      <c r="N859" t="str" cm="1">
        <f t="array" ref="N859">_xlfn.IFS(Table1_36[[#This Row],[Patient Satisfaction Score]]&gt;=83,"High",H859&lt;=75,"Low",TRUE,"Moderate")</f>
        <v>High</v>
      </c>
      <c r="O859" t="str">
        <f t="shared" si="13"/>
        <v>Adult</v>
      </c>
    </row>
    <row r="860" spans="1:15">
      <c r="A860" t="s">
        <v>928</v>
      </c>
      <c r="B860" t="s">
        <v>137</v>
      </c>
      <c r="C860" t="s">
        <v>26</v>
      </c>
      <c r="D860" t="s">
        <v>16</v>
      </c>
      <c r="E860" s="2">
        <v>48</v>
      </c>
      <c r="F860" t="s">
        <v>22</v>
      </c>
      <c r="G860" t="s">
        <v>18</v>
      </c>
      <c r="H860" s="2">
        <v>78</v>
      </c>
      <c r="I860" s="3">
        <v>2381</v>
      </c>
      <c r="J860" s="4">
        <v>4.5199999999999996</v>
      </c>
      <c r="K860" s="2">
        <v>72</v>
      </c>
      <c r="L860" s="2">
        <v>4</v>
      </c>
      <c r="M860" s="3">
        <v>6499</v>
      </c>
      <c r="N860" t="str" cm="1">
        <f t="array" ref="N860">_xlfn.IFS(Table1_36[[#This Row],[Patient Satisfaction Score]]&gt;=83,"High",H860&lt;=75,"Low",TRUE,"Moderate")</f>
        <v>Moderate</v>
      </c>
      <c r="O860" t="str">
        <f t="shared" si="13"/>
        <v>Adult</v>
      </c>
    </row>
    <row r="861" spans="1:15">
      <c r="A861" t="s">
        <v>929</v>
      </c>
      <c r="B861" t="s">
        <v>143</v>
      </c>
      <c r="C861" t="s">
        <v>21</v>
      </c>
      <c r="D861" t="s">
        <v>27</v>
      </c>
      <c r="E861" s="2">
        <v>58</v>
      </c>
      <c r="F861" t="s">
        <v>22</v>
      </c>
      <c r="G861" t="s">
        <v>49</v>
      </c>
      <c r="H861" s="2">
        <v>78</v>
      </c>
      <c r="I861" s="3">
        <v>4266</v>
      </c>
      <c r="J861" s="4">
        <v>10.19</v>
      </c>
      <c r="K861" s="2">
        <v>125</v>
      </c>
      <c r="L861" s="2">
        <v>3</v>
      </c>
      <c r="M861" s="3">
        <v>25158</v>
      </c>
      <c r="N861" t="str" cm="1">
        <f t="array" ref="N861">_xlfn.IFS(Table1_36[[#This Row],[Patient Satisfaction Score]]&gt;=83,"High",H861&lt;=75,"Low",TRUE,"Moderate")</f>
        <v>Moderate</v>
      </c>
      <c r="O861" t="str">
        <f t="shared" si="13"/>
        <v>Adult</v>
      </c>
    </row>
    <row r="862" spans="1:15">
      <c r="A862" t="s">
        <v>930</v>
      </c>
      <c r="B862" t="s">
        <v>42</v>
      </c>
      <c r="C862" t="s">
        <v>39</v>
      </c>
      <c r="D862" t="s">
        <v>16</v>
      </c>
      <c r="E862" s="2">
        <v>18</v>
      </c>
      <c r="F862" t="s">
        <v>34</v>
      </c>
      <c r="G862" t="s">
        <v>49</v>
      </c>
      <c r="H862" s="2">
        <v>94</v>
      </c>
      <c r="I862" s="3">
        <v>2103</v>
      </c>
      <c r="J862" s="4">
        <v>0</v>
      </c>
      <c r="K862" s="2">
        <v>36</v>
      </c>
      <c r="L862" s="2">
        <v>4</v>
      </c>
      <c r="M862" s="3">
        <v>8829</v>
      </c>
      <c r="N862" t="str" cm="1">
        <f t="array" ref="N862">_xlfn.IFS(Table1_36[[#This Row],[Patient Satisfaction Score]]&gt;=83,"High",H862&lt;=75,"Low",TRUE,"Moderate")</f>
        <v>High</v>
      </c>
      <c r="O862" t="str">
        <f t="shared" si="13"/>
        <v>Pediatric</v>
      </c>
    </row>
    <row r="863" spans="1:15">
      <c r="A863" t="s">
        <v>931</v>
      </c>
      <c r="B863" t="s">
        <v>62</v>
      </c>
      <c r="C863" t="s">
        <v>52</v>
      </c>
      <c r="D863" t="s">
        <v>27</v>
      </c>
      <c r="E863" s="2">
        <v>7</v>
      </c>
      <c r="F863" t="s">
        <v>34</v>
      </c>
      <c r="G863" t="s">
        <v>40</v>
      </c>
      <c r="H863" s="2">
        <v>71</v>
      </c>
      <c r="I863" s="3">
        <v>6575</v>
      </c>
      <c r="J863" s="4">
        <v>16.510000000000002</v>
      </c>
      <c r="K863" s="2">
        <v>88</v>
      </c>
      <c r="L863" s="2">
        <v>4</v>
      </c>
      <c r="M863" s="3">
        <v>26005</v>
      </c>
      <c r="N863" t="str" cm="1">
        <f t="array" ref="N863">_xlfn.IFS(Table1_36[[#This Row],[Patient Satisfaction Score]]&gt;=83,"High",H863&lt;=75,"Low",TRUE,"Moderate")</f>
        <v>Low</v>
      </c>
      <c r="O863" t="str">
        <f t="shared" si="13"/>
        <v>Pediatric</v>
      </c>
    </row>
    <row r="864" spans="1:15">
      <c r="A864" t="s">
        <v>932</v>
      </c>
      <c r="B864" t="s">
        <v>68</v>
      </c>
      <c r="C864" t="s">
        <v>45</v>
      </c>
      <c r="D864" t="s">
        <v>27</v>
      </c>
      <c r="E864" s="2">
        <v>1</v>
      </c>
      <c r="F864" t="s">
        <v>22</v>
      </c>
      <c r="G864" t="s">
        <v>31</v>
      </c>
      <c r="H864" s="2">
        <v>83</v>
      </c>
      <c r="I864" s="3">
        <v>8458</v>
      </c>
      <c r="J864" s="4">
        <v>14.47</v>
      </c>
      <c r="K864" s="2">
        <v>84</v>
      </c>
      <c r="L864" s="2">
        <v>5</v>
      </c>
      <c r="M864" s="3">
        <v>29618</v>
      </c>
      <c r="N864" t="str" cm="1">
        <f t="array" ref="N864">_xlfn.IFS(Table1_36[[#This Row],[Patient Satisfaction Score]]&gt;=83,"High",H864&lt;=75,"Low",TRUE,"Moderate")</f>
        <v>High</v>
      </c>
      <c r="O864" t="str">
        <f t="shared" si="13"/>
        <v>Pediatric</v>
      </c>
    </row>
    <row r="865" spans="1:15">
      <c r="A865" t="s">
        <v>933</v>
      </c>
      <c r="B865" t="s">
        <v>47</v>
      </c>
      <c r="C865" t="s">
        <v>48</v>
      </c>
      <c r="D865" t="s">
        <v>16</v>
      </c>
      <c r="E865" s="2">
        <v>17</v>
      </c>
      <c r="F865" t="s">
        <v>22</v>
      </c>
      <c r="G865" t="s">
        <v>31</v>
      </c>
      <c r="H865" s="2">
        <v>76</v>
      </c>
      <c r="I865" s="3">
        <v>5809</v>
      </c>
      <c r="J865" s="4">
        <v>12.87</v>
      </c>
      <c r="K865" s="2">
        <v>71</v>
      </c>
      <c r="L865" s="2">
        <v>3</v>
      </c>
      <c r="M865" s="3">
        <v>17112</v>
      </c>
      <c r="N865" t="str" cm="1">
        <f t="array" ref="N865">_xlfn.IFS(Table1_36[[#This Row],[Patient Satisfaction Score]]&gt;=83,"High",H865&lt;=75,"Low",TRUE,"Moderate")</f>
        <v>Moderate</v>
      </c>
      <c r="O865" t="str">
        <f t="shared" si="13"/>
        <v>Pediatric</v>
      </c>
    </row>
    <row r="866" spans="1:15">
      <c r="A866" t="s">
        <v>934</v>
      </c>
      <c r="B866" t="s">
        <v>60</v>
      </c>
      <c r="C866" t="s">
        <v>52</v>
      </c>
      <c r="D866" t="s">
        <v>27</v>
      </c>
      <c r="E866" s="2">
        <v>32</v>
      </c>
      <c r="F866" t="s">
        <v>22</v>
      </c>
      <c r="G866" t="s">
        <v>40</v>
      </c>
      <c r="H866" s="2">
        <v>86</v>
      </c>
      <c r="I866" s="3">
        <v>8576</v>
      </c>
      <c r="J866" s="4">
        <v>10.36</v>
      </c>
      <c r="K866" s="2">
        <v>84</v>
      </c>
      <c r="L866" s="2">
        <v>4</v>
      </c>
      <c r="M866" s="3">
        <v>38171</v>
      </c>
      <c r="N866" t="str" cm="1">
        <f t="array" ref="N866">_xlfn.IFS(Table1_36[[#This Row],[Patient Satisfaction Score]]&gt;=83,"High",H866&lt;=75,"Low",TRUE,"Moderate")</f>
        <v>High</v>
      </c>
      <c r="O866" t="str">
        <f t="shared" si="13"/>
        <v>Adult</v>
      </c>
    </row>
    <row r="867" spans="1:15">
      <c r="A867" t="s">
        <v>935</v>
      </c>
      <c r="B867" t="s">
        <v>66</v>
      </c>
      <c r="C867" t="s">
        <v>39</v>
      </c>
      <c r="D867" t="s">
        <v>72</v>
      </c>
      <c r="E867" s="2">
        <v>12</v>
      </c>
      <c r="F867" t="s">
        <v>22</v>
      </c>
      <c r="G867" t="s">
        <v>18</v>
      </c>
      <c r="H867" s="2">
        <v>81</v>
      </c>
      <c r="I867" s="3">
        <v>3057</v>
      </c>
      <c r="J867" s="4">
        <v>3.94</v>
      </c>
      <c r="K867" s="2">
        <v>34</v>
      </c>
      <c r="L867" s="2">
        <v>4</v>
      </c>
      <c r="M867" s="3">
        <v>14105</v>
      </c>
      <c r="N867" t="str" cm="1">
        <f t="array" ref="N867">_xlfn.IFS(Table1_36[[#This Row],[Patient Satisfaction Score]]&gt;=83,"High",H867&lt;=75,"Low",TRUE,"Moderate")</f>
        <v>Moderate</v>
      </c>
      <c r="O867" t="str">
        <f t="shared" si="13"/>
        <v>Pediatric</v>
      </c>
    </row>
    <row r="868" spans="1:15">
      <c r="A868" t="s">
        <v>936</v>
      </c>
      <c r="B868" t="s">
        <v>38</v>
      </c>
      <c r="C868" t="s">
        <v>39</v>
      </c>
      <c r="D868" t="s">
        <v>16</v>
      </c>
      <c r="E868" s="2">
        <v>15</v>
      </c>
      <c r="F868" t="s">
        <v>22</v>
      </c>
      <c r="G868" t="s">
        <v>70</v>
      </c>
      <c r="H868" s="2">
        <v>70</v>
      </c>
      <c r="I868" s="3">
        <v>2557</v>
      </c>
      <c r="J868" s="4">
        <v>4.66</v>
      </c>
      <c r="K868" s="2">
        <v>93</v>
      </c>
      <c r="L868" s="2">
        <v>3</v>
      </c>
      <c r="M868" s="3">
        <v>14570</v>
      </c>
      <c r="N868" t="str" cm="1">
        <f t="array" ref="N868">_xlfn.IFS(Table1_36[[#This Row],[Patient Satisfaction Score]]&gt;=83,"High",H868&lt;=75,"Low",TRUE,"Moderate")</f>
        <v>Low</v>
      </c>
      <c r="O868" t="str">
        <f t="shared" si="13"/>
        <v>Pediatric</v>
      </c>
    </row>
    <row r="869" spans="1:15">
      <c r="A869" t="s">
        <v>937</v>
      </c>
      <c r="B869" t="s">
        <v>137</v>
      </c>
      <c r="C869" t="s">
        <v>26</v>
      </c>
      <c r="D869" t="s">
        <v>27</v>
      </c>
      <c r="E869" s="2">
        <v>17</v>
      </c>
      <c r="F869" t="s">
        <v>34</v>
      </c>
      <c r="G869" t="s">
        <v>23</v>
      </c>
      <c r="H869" s="2">
        <v>97</v>
      </c>
      <c r="I869" s="3">
        <v>3050</v>
      </c>
      <c r="J869" s="4">
        <v>3.48</v>
      </c>
      <c r="K869" s="2">
        <v>16</v>
      </c>
      <c r="L869" s="2">
        <v>5</v>
      </c>
      <c r="M869" s="3">
        <v>11191</v>
      </c>
      <c r="N869" t="str" cm="1">
        <f t="array" ref="N869">_xlfn.IFS(Table1_36[[#This Row],[Patient Satisfaction Score]]&gt;=83,"High",H869&lt;=75,"Low",TRUE,"Moderate")</f>
        <v>High</v>
      </c>
      <c r="O869" t="str">
        <f t="shared" si="13"/>
        <v>Pediatric</v>
      </c>
    </row>
    <row r="870" spans="1:15">
      <c r="A870" t="s">
        <v>938</v>
      </c>
      <c r="B870" t="s">
        <v>14</v>
      </c>
      <c r="C870" t="s">
        <v>15</v>
      </c>
      <c r="D870" t="s">
        <v>27</v>
      </c>
      <c r="E870" s="2">
        <v>45</v>
      </c>
      <c r="F870" t="s">
        <v>17</v>
      </c>
      <c r="G870" t="s">
        <v>31</v>
      </c>
      <c r="H870" s="2">
        <v>78</v>
      </c>
      <c r="I870" s="3">
        <v>6901</v>
      </c>
      <c r="J870" s="4">
        <v>5.91</v>
      </c>
      <c r="K870" s="2">
        <v>106</v>
      </c>
      <c r="L870" s="2">
        <v>4</v>
      </c>
      <c r="M870" s="3">
        <v>25536</v>
      </c>
      <c r="N870" t="str" cm="1">
        <f t="array" ref="N870">_xlfn.IFS(Table1_36[[#This Row],[Patient Satisfaction Score]]&gt;=83,"High",H870&lt;=75,"Low",TRUE,"Moderate")</f>
        <v>Moderate</v>
      </c>
      <c r="O870" t="str">
        <f t="shared" si="13"/>
        <v>Adult</v>
      </c>
    </row>
    <row r="871" spans="1:15">
      <c r="A871" t="s">
        <v>939</v>
      </c>
      <c r="B871" t="s">
        <v>97</v>
      </c>
      <c r="C871" t="s">
        <v>30</v>
      </c>
      <c r="D871" t="s">
        <v>27</v>
      </c>
      <c r="E871" s="2">
        <v>41</v>
      </c>
      <c r="F871" t="s">
        <v>17</v>
      </c>
      <c r="G871" t="s">
        <v>40</v>
      </c>
      <c r="H871" s="2">
        <v>71</v>
      </c>
      <c r="I871" s="3">
        <v>1705</v>
      </c>
      <c r="J871" s="4">
        <v>17.61</v>
      </c>
      <c r="K871" s="2">
        <v>88</v>
      </c>
      <c r="L871" s="2">
        <v>4</v>
      </c>
      <c r="M871" s="3">
        <v>9999</v>
      </c>
      <c r="N871" t="str" cm="1">
        <f t="array" ref="N871">_xlfn.IFS(Table1_36[[#This Row],[Patient Satisfaction Score]]&gt;=83,"High",H871&lt;=75,"Low",TRUE,"Moderate")</f>
        <v>Low</v>
      </c>
      <c r="O871" t="str">
        <f t="shared" si="13"/>
        <v>Adult</v>
      </c>
    </row>
    <row r="872" spans="1:15">
      <c r="A872" t="s">
        <v>940</v>
      </c>
      <c r="B872" t="s">
        <v>135</v>
      </c>
      <c r="C872" t="s">
        <v>48</v>
      </c>
      <c r="D872" t="s">
        <v>16</v>
      </c>
      <c r="E872" s="2">
        <v>70</v>
      </c>
      <c r="F872" t="s">
        <v>22</v>
      </c>
      <c r="G872" t="s">
        <v>40</v>
      </c>
      <c r="H872" s="2">
        <v>84</v>
      </c>
      <c r="I872" s="3">
        <v>5718</v>
      </c>
      <c r="J872" s="4">
        <v>8.43</v>
      </c>
      <c r="K872" s="2">
        <v>83</v>
      </c>
      <c r="L872" s="2">
        <v>3</v>
      </c>
      <c r="M872" s="3">
        <v>31528</v>
      </c>
      <c r="N872" t="str" cm="1">
        <f t="array" ref="N872">_xlfn.IFS(Table1_36[[#This Row],[Patient Satisfaction Score]]&gt;=83,"High",H872&lt;=75,"Low",TRUE,"Moderate")</f>
        <v>High</v>
      </c>
      <c r="O872" t="str">
        <f t="shared" si="13"/>
        <v>Adult</v>
      </c>
    </row>
    <row r="873" spans="1:15">
      <c r="A873" t="s">
        <v>941</v>
      </c>
      <c r="B873" t="s">
        <v>95</v>
      </c>
      <c r="C873" t="s">
        <v>52</v>
      </c>
      <c r="D873" t="s">
        <v>27</v>
      </c>
      <c r="E873" s="2">
        <v>37</v>
      </c>
      <c r="F873" t="s">
        <v>34</v>
      </c>
      <c r="G873" t="s">
        <v>23</v>
      </c>
      <c r="H873" s="2">
        <v>74</v>
      </c>
      <c r="I873" s="3">
        <v>8809</v>
      </c>
      <c r="J873" s="4">
        <v>21.96</v>
      </c>
      <c r="K873" s="2">
        <v>89</v>
      </c>
      <c r="L873" s="2">
        <v>3</v>
      </c>
      <c r="M873" s="3">
        <v>51200</v>
      </c>
      <c r="N873" t="str" cm="1">
        <f t="array" ref="N873">_xlfn.IFS(Table1_36[[#This Row],[Patient Satisfaction Score]]&gt;=83,"High",H873&lt;=75,"Low",TRUE,"Moderate")</f>
        <v>Low</v>
      </c>
      <c r="O873" t="str">
        <f t="shared" si="13"/>
        <v>Adult</v>
      </c>
    </row>
    <row r="874" spans="1:15">
      <c r="A874" t="s">
        <v>942</v>
      </c>
      <c r="B874" t="s">
        <v>95</v>
      </c>
      <c r="C874" t="s">
        <v>52</v>
      </c>
      <c r="D874" t="s">
        <v>27</v>
      </c>
      <c r="E874" s="2">
        <v>9</v>
      </c>
      <c r="F874" t="s">
        <v>22</v>
      </c>
      <c r="G874" t="s">
        <v>31</v>
      </c>
      <c r="H874" s="2">
        <v>86</v>
      </c>
      <c r="I874" s="3">
        <v>9075</v>
      </c>
      <c r="J874" s="4">
        <v>14.67</v>
      </c>
      <c r="K874" s="2">
        <v>62</v>
      </c>
      <c r="L874" s="2">
        <v>4</v>
      </c>
      <c r="M874" s="3">
        <v>31747</v>
      </c>
      <c r="N874" t="str" cm="1">
        <f t="array" ref="N874">_xlfn.IFS(Table1_36[[#This Row],[Patient Satisfaction Score]]&gt;=83,"High",H874&lt;=75,"Low",TRUE,"Moderate")</f>
        <v>High</v>
      </c>
      <c r="O874" t="str">
        <f t="shared" si="13"/>
        <v>Pediatric</v>
      </c>
    </row>
    <row r="875" spans="1:15">
      <c r="A875" t="s">
        <v>943</v>
      </c>
      <c r="B875" t="s">
        <v>58</v>
      </c>
      <c r="C875" t="s">
        <v>48</v>
      </c>
      <c r="D875" t="s">
        <v>16</v>
      </c>
      <c r="E875" s="2">
        <v>59</v>
      </c>
      <c r="F875" t="s">
        <v>34</v>
      </c>
      <c r="G875" t="s">
        <v>70</v>
      </c>
      <c r="H875" s="2">
        <v>97</v>
      </c>
      <c r="I875" s="3">
        <v>5810</v>
      </c>
      <c r="J875" s="4">
        <v>9.86</v>
      </c>
      <c r="K875" s="2">
        <v>61</v>
      </c>
      <c r="L875" s="2">
        <v>5</v>
      </c>
      <c r="M875" s="3">
        <v>29341</v>
      </c>
      <c r="N875" t="str" cm="1">
        <f t="array" ref="N875">_xlfn.IFS(Table1_36[[#This Row],[Patient Satisfaction Score]]&gt;=83,"High",H875&lt;=75,"Low",TRUE,"Moderate")</f>
        <v>High</v>
      </c>
      <c r="O875" t="str">
        <f t="shared" si="13"/>
        <v>Adult</v>
      </c>
    </row>
    <row r="876" spans="1:15">
      <c r="A876" t="s">
        <v>944</v>
      </c>
      <c r="B876" t="s">
        <v>42</v>
      </c>
      <c r="C876" t="s">
        <v>39</v>
      </c>
      <c r="D876" t="s">
        <v>27</v>
      </c>
      <c r="E876" s="2">
        <v>17</v>
      </c>
      <c r="F876" t="s">
        <v>22</v>
      </c>
      <c r="G876" t="s">
        <v>40</v>
      </c>
      <c r="H876" s="2">
        <v>76</v>
      </c>
      <c r="I876" s="3">
        <v>3746</v>
      </c>
      <c r="J876" s="4">
        <v>16.93</v>
      </c>
      <c r="K876" s="2">
        <v>28</v>
      </c>
      <c r="L876" s="2">
        <v>4</v>
      </c>
      <c r="M876" s="3">
        <v>10474</v>
      </c>
      <c r="N876" t="str" cm="1">
        <f t="array" ref="N876">_xlfn.IFS(Table1_36[[#This Row],[Patient Satisfaction Score]]&gt;=83,"High",H876&lt;=75,"Low",TRUE,"Moderate")</f>
        <v>Moderate</v>
      </c>
      <c r="O876" t="str">
        <f t="shared" si="13"/>
        <v>Pediatric</v>
      </c>
    </row>
    <row r="877" spans="1:15">
      <c r="A877" t="s">
        <v>945</v>
      </c>
      <c r="B877" t="s">
        <v>95</v>
      </c>
      <c r="C877" t="s">
        <v>52</v>
      </c>
      <c r="D877" t="s">
        <v>16</v>
      </c>
      <c r="E877" s="2">
        <v>39</v>
      </c>
      <c r="F877" t="s">
        <v>34</v>
      </c>
      <c r="G877" t="s">
        <v>18</v>
      </c>
      <c r="H877" s="2">
        <v>84</v>
      </c>
      <c r="I877" s="3">
        <v>9983</v>
      </c>
      <c r="J877" s="4">
        <v>14</v>
      </c>
      <c r="K877" s="2">
        <v>71</v>
      </c>
      <c r="L877" s="2">
        <v>4</v>
      </c>
      <c r="M877" s="3">
        <v>37220</v>
      </c>
      <c r="N877" t="str" cm="1">
        <f t="array" ref="N877">_xlfn.IFS(Table1_36[[#This Row],[Patient Satisfaction Score]]&gt;=83,"High",H877&lt;=75,"Low",TRUE,"Moderate")</f>
        <v>High</v>
      </c>
      <c r="O877" t="str">
        <f t="shared" si="13"/>
        <v>Adult</v>
      </c>
    </row>
    <row r="878" spans="1:15">
      <c r="A878" t="s">
        <v>946</v>
      </c>
      <c r="B878" t="s">
        <v>42</v>
      </c>
      <c r="C878" t="s">
        <v>39</v>
      </c>
      <c r="D878" t="s">
        <v>16</v>
      </c>
      <c r="E878" s="2">
        <v>11</v>
      </c>
      <c r="F878" t="s">
        <v>22</v>
      </c>
      <c r="G878" t="s">
        <v>18</v>
      </c>
      <c r="H878" s="2">
        <v>84</v>
      </c>
      <c r="I878" s="3">
        <v>3081</v>
      </c>
      <c r="J878" s="4">
        <v>8.1</v>
      </c>
      <c r="K878" s="2">
        <v>30</v>
      </c>
      <c r="L878" s="2">
        <v>5</v>
      </c>
      <c r="M878" s="3">
        <v>16648</v>
      </c>
      <c r="N878" t="str" cm="1">
        <f t="array" ref="N878">_xlfn.IFS(Table1_36[[#This Row],[Patient Satisfaction Score]]&gt;=83,"High",H878&lt;=75,"Low",TRUE,"Moderate")</f>
        <v>High</v>
      </c>
      <c r="O878" t="str">
        <f t="shared" si="13"/>
        <v>Pediatric</v>
      </c>
    </row>
    <row r="879" spans="1:15">
      <c r="A879" t="s">
        <v>947</v>
      </c>
      <c r="B879" t="s">
        <v>62</v>
      </c>
      <c r="C879" t="s">
        <v>52</v>
      </c>
      <c r="D879" t="s">
        <v>27</v>
      </c>
      <c r="E879" s="2">
        <v>50</v>
      </c>
      <c r="F879" t="s">
        <v>22</v>
      </c>
      <c r="G879" t="s">
        <v>23</v>
      </c>
      <c r="H879" s="2">
        <v>91</v>
      </c>
      <c r="I879" s="3">
        <v>10775</v>
      </c>
      <c r="J879" s="4">
        <v>10.1</v>
      </c>
      <c r="K879" s="2">
        <v>82</v>
      </c>
      <c r="L879" s="2">
        <v>4</v>
      </c>
      <c r="M879" s="3">
        <v>43892</v>
      </c>
      <c r="N879" t="str" cm="1">
        <f t="array" ref="N879">_xlfn.IFS(Table1_36[[#This Row],[Patient Satisfaction Score]]&gt;=83,"High",H879&lt;=75,"Low",TRUE,"Moderate")</f>
        <v>High</v>
      </c>
      <c r="O879" t="str">
        <f t="shared" si="13"/>
        <v>Adult</v>
      </c>
    </row>
    <row r="880" spans="1:15">
      <c r="A880" t="s">
        <v>948</v>
      </c>
      <c r="B880" t="s">
        <v>143</v>
      </c>
      <c r="C880" t="s">
        <v>21</v>
      </c>
      <c r="D880" t="s">
        <v>16</v>
      </c>
      <c r="E880" s="2">
        <v>45</v>
      </c>
      <c r="F880" t="s">
        <v>17</v>
      </c>
      <c r="G880" t="s">
        <v>70</v>
      </c>
      <c r="H880" s="2">
        <v>84</v>
      </c>
      <c r="I880" s="3">
        <v>8278</v>
      </c>
      <c r="J880" s="4">
        <v>15.5</v>
      </c>
      <c r="K880" s="2">
        <v>62</v>
      </c>
      <c r="L880" s="2">
        <v>5</v>
      </c>
      <c r="M880" s="3">
        <v>23980</v>
      </c>
      <c r="N880" t="str" cm="1">
        <f t="array" ref="N880">_xlfn.IFS(Table1_36[[#This Row],[Patient Satisfaction Score]]&gt;=83,"High",H880&lt;=75,"Low",TRUE,"Moderate")</f>
        <v>High</v>
      </c>
      <c r="O880" t="str">
        <f t="shared" si="13"/>
        <v>Adult</v>
      </c>
    </row>
    <row r="881" spans="1:15">
      <c r="A881" t="s">
        <v>949</v>
      </c>
      <c r="B881" t="s">
        <v>187</v>
      </c>
      <c r="C881" t="s">
        <v>30</v>
      </c>
      <c r="D881" t="s">
        <v>27</v>
      </c>
      <c r="E881" s="2">
        <v>45</v>
      </c>
      <c r="F881" t="s">
        <v>34</v>
      </c>
      <c r="G881" t="s">
        <v>18</v>
      </c>
      <c r="H881" s="2">
        <v>63</v>
      </c>
      <c r="I881" s="3">
        <v>3423</v>
      </c>
      <c r="J881" s="4">
        <v>16.489999999999998</v>
      </c>
      <c r="K881" s="2">
        <v>146</v>
      </c>
      <c r="L881" s="2">
        <v>3</v>
      </c>
      <c r="M881" s="3">
        <v>17498</v>
      </c>
      <c r="N881" t="str" cm="1">
        <f t="array" ref="N881">_xlfn.IFS(Table1_36[[#This Row],[Patient Satisfaction Score]]&gt;=83,"High",H881&lt;=75,"Low",TRUE,"Moderate")</f>
        <v>Low</v>
      </c>
      <c r="O881" t="str">
        <f t="shared" si="13"/>
        <v>Adult</v>
      </c>
    </row>
    <row r="882" spans="1:15">
      <c r="A882" t="s">
        <v>950</v>
      </c>
      <c r="B882" t="s">
        <v>84</v>
      </c>
      <c r="C882" t="s">
        <v>21</v>
      </c>
      <c r="D882" t="s">
        <v>16</v>
      </c>
      <c r="E882" s="2">
        <v>78</v>
      </c>
      <c r="F882" t="s">
        <v>17</v>
      </c>
      <c r="G882" t="s">
        <v>40</v>
      </c>
      <c r="H882" s="2">
        <v>69</v>
      </c>
      <c r="I882" s="3">
        <v>6811</v>
      </c>
      <c r="J882" s="4">
        <v>16.95</v>
      </c>
      <c r="K882" s="2">
        <v>102</v>
      </c>
      <c r="L882" s="2">
        <v>4</v>
      </c>
      <c r="M882" s="3">
        <v>17058</v>
      </c>
      <c r="N882" t="str" cm="1">
        <f t="array" ref="N882">_xlfn.IFS(Table1_36[[#This Row],[Patient Satisfaction Score]]&gt;=83,"High",H882&lt;=75,"Low",TRUE,"Moderate")</f>
        <v>Low</v>
      </c>
      <c r="O882" t="str">
        <f t="shared" si="13"/>
        <v>Adult</v>
      </c>
    </row>
    <row r="883" spans="1:15">
      <c r="A883" t="s">
        <v>951</v>
      </c>
      <c r="B883" t="s">
        <v>68</v>
      </c>
      <c r="C883" t="s">
        <v>45</v>
      </c>
      <c r="D883" t="s">
        <v>27</v>
      </c>
      <c r="E883" s="2">
        <v>46</v>
      </c>
      <c r="F883" t="s">
        <v>34</v>
      </c>
      <c r="G883" t="s">
        <v>49</v>
      </c>
      <c r="H883" s="2">
        <v>75</v>
      </c>
      <c r="I883" s="3">
        <v>7504</v>
      </c>
      <c r="J883" s="4">
        <v>24.05</v>
      </c>
      <c r="K883" s="2">
        <v>74</v>
      </c>
      <c r="L883" s="2">
        <v>4</v>
      </c>
      <c r="M883" s="3">
        <v>20708</v>
      </c>
      <c r="N883" t="str" cm="1">
        <f t="array" ref="N883">_xlfn.IFS(Table1_36[[#This Row],[Patient Satisfaction Score]]&gt;=83,"High",H883&lt;=75,"Low",TRUE,"Moderate")</f>
        <v>Low</v>
      </c>
      <c r="O883" t="str">
        <f t="shared" si="13"/>
        <v>Adult</v>
      </c>
    </row>
    <row r="884" spans="1:15">
      <c r="A884" t="s">
        <v>952</v>
      </c>
      <c r="B884" t="s">
        <v>29</v>
      </c>
      <c r="C884" t="s">
        <v>30</v>
      </c>
      <c r="D884" t="s">
        <v>16</v>
      </c>
      <c r="E884" s="2">
        <v>53</v>
      </c>
      <c r="F884" t="s">
        <v>34</v>
      </c>
      <c r="G884" t="s">
        <v>70</v>
      </c>
      <c r="H884" s="2">
        <v>68</v>
      </c>
      <c r="I884" s="3">
        <v>3876</v>
      </c>
      <c r="J884" s="4">
        <v>19.23</v>
      </c>
      <c r="K884" s="2">
        <v>102</v>
      </c>
      <c r="L884" s="2">
        <v>4</v>
      </c>
      <c r="M884" s="3">
        <v>17561</v>
      </c>
      <c r="N884" t="str" cm="1">
        <f t="array" ref="N884">_xlfn.IFS(Table1_36[[#This Row],[Patient Satisfaction Score]]&gt;=83,"High",H884&lt;=75,"Low",TRUE,"Moderate")</f>
        <v>Low</v>
      </c>
      <c r="O884" t="str">
        <f t="shared" si="13"/>
        <v>Adult</v>
      </c>
    </row>
    <row r="885" spans="1:15">
      <c r="A885" t="s">
        <v>953</v>
      </c>
      <c r="B885" t="s">
        <v>38</v>
      </c>
      <c r="C885" t="s">
        <v>39</v>
      </c>
      <c r="D885" t="s">
        <v>16</v>
      </c>
      <c r="E885" s="2">
        <v>12</v>
      </c>
      <c r="F885" t="s">
        <v>34</v>
      </c>
      <c r="G885" t="s">
        <v>49</v>
      </c>
      <c r="H885" s="2">
        <v>73</v>
      </c>
      <c r="I885" s="3">
        <v>2384</v>
      </c>
      <c r="J885" s="4">
        <v>10.24</v>
      </c>
      <c r="K885" s="2">
        <v>72</v>
      </c>
      <c r="L885" s="2">
        <v>4</v>
      </c>
      <c r="M885" s="3">
        <v>7722</v>
      </c>
      <c r="N885" t="str" cm="1">
        <f t="array" ref="N885">_xlfn.IFS(Table1_36[[#This Row],[Patient Satisfaction Score]]&gt;=83,"High",H885&lt;=75,"Low",TRUE,"Moderate")</f>
        <v>Low</v>
      </c>
      <c r="O885" t="str">
        <f t="shared" si="13"/>
        <v>Pediatric</v>
      </c>
    </row>
    <row r="886" spans="1:15">
      <c r="A886" t="s">
        <v>954</v>
      </c>
      <c r="B886" t="s">
        <v>60</v>
      </c>
      <c r="C886" t="s">
        <v>52</v>
      </c>
      <c r="D886" t="s">
        <v>16</v>
      </c>
      <c r="E886" s="2">
        <v>26</v>
      </c>
      <c r="F886" t="s">
        <v>22</v>
      </c>
      <c r="G886" t="s">
        <v>18</v>
      </c>
      <c r="H886" s="2">
        <v>76</v>
      </c>
      <c r="I886" s="3">
        <v>7657</v>
      </c>
      <c r="J886" s="4">
        <v>17.350000000000001</v>
      </c>
      <c r="K886" s="2">
        <v>69</v>
      </c>
      <c r="L886" s="2">
        <v>3</v>
      </c>
      <c r="M886" s="3">
        <v>27732</v>
      </c>
      <c r="N886" t="str" cm="1">
        <f t="array" ref="N886">_xlfn.IFS(Table1_36[[#This Row],[Patient Satisfaction Score]]&gt;=83,"High",H886&lt;=75,"Low",TRUE,"Moderate")</f>
        <v>Moderate</v>
      </c>
      <c r="O886" t="str">
        <f t="shared" si="13"/>
        <v>Adult</v>
      </c>
    </row>
    <row r="887" spans="1:15">
      <c r="A887" t="s">
        <v>955</v>
      </c>
      <c r="B887" t="s">
        <v>137</v>
      </c>
      <c r="C887" t="s">
        <v>26</v>
      </c>
      <c r="D887" t="s">
        <v>16</v>
      </c>
      <c r="E887" s="2">
        <v>66</v>
      </c>
      <c r="F887" t="s">
        <v>17</v>
      </c>
      <c r="G887" t="s">
        <v>40</v>
      </c>
      <c r="H887" s="2">
        <v>88</v>
      </c>
      <c r="I887" s="3">
        <v>1911</v>
      </c>
      <c r="J887" s="4">
        <v>5.91</v>
      </c>
      <c r="K887" s="2">
        <v>41</v>
      </c>
      <c r="L887" s="2">
        <v>5</v>
      </c>
      <c r="M887" s="3">
        <v>9129</v>
      </c>
      <c r="N887" t="str" cm="1">
        <f t="array" ref="N887">_xlfn.IFS(Table1_36[[#This Row],[Patient Satisfaction Score]]&gt;=83,"High",H887&lt;=75,"Low",TRUE,"Moderate")</f>
        <v>High</v>
      </c>
      <c r="O887" t="str">
        <f t="shared" si="13"/>
        <v>Adult</v>
      </c>
    </row>
    <row r="888" spans="1:15">
      <c r="A888" t="s">
        <v>956</v>
      </c>
      <c r="B888" t="s">
        <v>60</v>
      </c>
      <c r="C888" t="s">
        <v>52</v>
      </c>
      <c r="D888" t="s">
        <v>16</v>
      </c>
      <c r="E888" s="2">
        <v>42</v>
      </c>
      <c r="F888" t="s">
        <v>34</v>
      </c>
      <c r="G888" t="s">
        <v>40</v>
      </c>
      <c r="H888" s="2">
        <v>87</v>
      </c>
      <c r="I888" s="3">
        <v>8399</v>
      </c>
      <c r="J888" s="4">
        <v>15.6</v>
      </c>
      <c r="K888" s="2">
        <v>99</v>
      </c>
      <c r="L888" s="2">
        <v>4</v>
      </c>
      <c r="M888" s="3">
        <v>30568</v>
      </c>
      <c r="N888" t="str" cm="1">
        <f t="array" ref="N888">_xlfn.IFS(Table1_36[[#This Row],[Patient Satisfaction Score]]&gt;=83,"High",H888&lt;=75,"Low",TRUE,"Moderate")</f>
        <v>High</v>
      </c>
      <c r="O888" t="str">
        <f t="shared" si="13"/>
        <v>Adult</v>
      </c>
    </row>
    <row r="889" spans="1:15">
      <c r="A889" t="s">
        <v>957</v>
      </c>
      <c r="B889" t="s">
        <v>135</v>
      </c>
      <c r="C889" t="s">
        <v>48</v>
      </c>
      <c r="D889" t="s">
        <v>16</v>
      </c>
      <c r="E889" s="2">
        <v>42</v>
      </c>
      <c r="F889" t="s">
        <v>22</v>
      </c>
      <c r="G889" t="s">
        <v>49</v>
      </c>
      <c r="H889" s="2">
        <v>80</v>
      </c>
      <c r="I889" s="3">
        <v>5336</v>
      </c>
      <c r="J889" s="4">
        <v>12.61</v>
      </c>
      <c r="K889" s="2">
        <v>69</v>
      </c>
      <c r="L889" s="2">
        <v>4</v>
      </c>
      <c r="M889" s="3">
        <v>19553</v>
      </c>
      <c r="N889" t="str" cm="1">
        <f t="array" ref="N889">_xlfn.IFS(Table1_36[[#This Row],[Patient Satisfaction Score]]&gt;=83,"High",H889&lt;=75,"Low",TRUE,"Moderate")</f>
        <v>Moderate</v>
      </c>
      <c r="O889" t="str">
        <f t="shared" si="13"/>
        <v>Adult</v>
      </c>
    </row>
    <row r="890" spans="1:15">
      <c r="A890" t="s">
        <v>958</v>
      </c>
      <c r="B890" t="s">
        <v>44</v>
      </c>
      <c r="C890" t="s">
        <v>45</v>
      </c>
      <c r="D890" t="s">
        <v>16</v>
      </c>
      <c r="E890" s="2">
        <v>12</v>
      </c>
      <c r="F890" t="s">
        <v>22</v>
      </c>
      <c r="G890" t="s">
        <v>23</v>
      </c>
      <c r="H890" s="2">
        <v>70</v>
      </c>
      <c r="I890" s="3">
        <v>9904</v>
      </c>
      <c r="J890" s="4">
        <v>13.44</v>
      </c>
      <c r="K890" s="2">
        <v>86</v>
      </c>
      <c r="L890" s="2">
        <v>4</v>
      </c>
      <c r="M890" s="3">
        <v>35838</v>
      </c>
      <c r="N890" t="str" cm="1">
        <f t="array" ref="N890">_xlfn.IFS(Table1_36[[#This Row],[Patient Satisfaction Score]]&gt;=83,"High",H890&lt;=75,"Low",TRUE,"Moderate")</f>
        <v>Low</v>
      </c>
      <c r="O890" t="str">
        <f t="shared" si="13"/>
        <v>Pediatric</v>
      </c>
    </row>
    <row r="891" spans="1:15">
      <c r="A891" t="s">
        <v>959</v>
      </c>
      <c r="B891" t="s">
        <v>80</v>
      </c>
      <c r="C891" t="s">
        <v>15</v>
      </c>
      <c r="D891" t="s">
        <v>27</v>
      </c>
      <c r="E891" s="2">
        <v>30</v>
      </c>
      <c r="F891" t="s">
        <v>22</v>
      </c>
      <c r="G891" t="s">
        <v>49</v>
      </c>
      <c r="H891" s="2">
        <v>79</v>
      </c>
      <c r="I891" s="3">
        <v>7824</v>
      </c>
      <c r="J891" s="4">
        <v>18.91</v>
      </c>
      <c r="K891" s="2">
        <v>88</v>
      </c>
      <c r="L891" s="2">
        <v>4</v>
      </c>
      <c r="M891" s="3">
        <v>37890</v>
      </c>
      <c r="N891" t="str" cm="1">
        <f t="array" ref="N891">_xlfn.IFS(Table1_36[[#This Row],[Patient Satisfaction Score]]&gt;=83,"High",H891&lt;=75,"Low",TRUE,"Moderate")</f>
        <v>Moderate</v>
      </c>
      <c r="O891" t="str">
        <f t="shared" si="13"/>
        <v>Adult</v>
      </c>
    </row>
    <row r="892" spans="1:15">
      <c r="A892" t="s">
        <v>960</v>
      </c>
      <c r="B892" t="s">
        <v>51</v>
      </c>
      <c r="C892" t="s">
        <v>52</v>
      </c>
      <c r="D892" t="s">
        <v>16</v>
      </c>
      <c r="E892" s="2">
        <v>89</v>
      </c>
      <c r="F892" t="s">
        <v>34</v>
      </c>
      <c r="G892" t="s">
        <v>70</v>
      </c>
      <c r="H892" s="2">
        <v>80</v>
      </c>
      <c r="I892" s="3">
        <v>8175</v>
      </c>
      <c r="J892" s="4">
        <v>12.33</v>
      </c>
      <c r="K892" s="2">
        <v>72</v>
      </c>
      <c r="L892" s="2">
        <v>5</v>
      </c>
      <c r="M892" s="3">
        <v>30666</v>
      </c>
      <c r="N892" t="str" cm="1">
        <f t="array" ref="N892">_xlfn.IFS(Table1_36[[#This Row],[Patient Satisfaction Score]]&gt;=83,"High",H892&lt;=75,"Low",TRUE,"Moderate")</f>
        <v>Moderate</v>
      </c>
      <c r="O892" t="str">
        <f t="shared" si="13"/>
        <v>Adult</v>
      </c>
    </row>
    <row r="893" spans="1:15">
      <c r="A893" t="s">
        <v>961</v>
      </c>
      <c r="B893" t="s">
        <v>88</v>
      </c>
      <c r="C893" t="s">
        <v>15</v>
      </c>
      <c r="D893" t="s">
        <v>27</v>
      </c>
      <c r="E893" s="2">
        <v>62</v>
      </c>
      <c r="F893" t="s">
        <v>22</v>
      </c>
      <c r="G893" t="s">
        <v>40</v>
      </c>
      <c r="H893" s="2">
        <v>85</v>
      </c>
      <c r="I893" s="3">
        <v>8050</v>
      </c>
      <c r="J893" s="4">
        <v>17.559999999999999</v>
      </c>
      <c r="K893" s="2">
        <v>58</v>
      </c>
      <c r="L893" s="2">
        <v>4</v>
      </c>
      <c r="M893" s="3">
        <v>35941</v>
      </c>
      <c r="N893" t="str" cm="1">
        <f t="array" ref="N893">_xlfn.IFS(Table1_36[[#This Row],[Patient Satisfaction Score]]&gt;=83,"High",H893&lt;=75,"Low",TRUE,"Moderate")</f>
        <v>High</v>
      </c>
      <c r="O893" t="str">
        <f t="shared" si="13"/>
        <v>Adult</v>
      </c>
    </row>
    <row r="894" spans="1:15">
      <c r="A894" t="s">
        <v>962</v>
      </c>
      <c r="B894" t="s">
        <v>29</v>
      </c>
      <c r="C894" t="s">
        <v>30</v>
      </c>
      <c r="D894" t="s">
        <v>16</v>
      </c>
      <c r="E894" s="2">
        <v>46</v>
      </c>
      <c r="F894" t="s">
        <v>34</v>
      </c>
      <c r="G894" t="s">
        <v>49</v>
      </c>
      <c r="H894" s="2">
        <v>69</v>
      </c>
      <c r="I894" s="3">
        <v>5349</v>
      </c>
      <c r="J894" s="4">
        <v>20.39</v>
      </c>
      <c r="K894" s="2">
        <v>130</v>
      </c>
      <c r="L894" s="2">
        <v>4</v>
      </c>
      <c r="M894" s="3">
        <v>24884</v>
      </c>
      <c r="N894" t="str" cm="1">
        <f t="array" ref="N894">_xlfn.IFS(Table1_36[[#This Row],[Patient Satisfaction Score]]&gt;=83,"High",H894&lt;=75,"Low",TRUE,"Moderate")</f>
        <v>Low</v>
      </c>
      <c r="O894" t="str">
        <f t="shared" si="13"/>
        <v>Adult</v>
      </c>
    </row>
    <row r="895" spans="1:15">
      <c r="A895" t="s">
        <v>963</v>
      </c>
      <c r="B895" t="s">
        <v>168</v>
      </c>
      <c r="C895" t="s">
        <v>45</v>
      </c>
      <c r="D895" t="s">
        <v>27</v>
      </c>
      <c r="E895" s="2">
        <v>26</v>
      </c>
      <c r="F895" t="s">
        <v>22</v>
      </c>
      <c r="G895" t="s">
        <v>18</v>
      </c>
      <c r="H895" s="2">
        <v>67</v>
      </c>
      <c r="I895" s="3">
        <v>10371</v>
      </c>
      <c r="J895" s="4">
        <v>20.3</v>
      </c>
      <c r="K895" s="2">
        <v>94</v>
      </c>
      <c r="L895" s="2">
        <v>3</v>
      </c>
      <c r="M895" s="3">
        <v>56339</v>
      </c>
      <c r="N895" t="str" cm="1">
        <f t="array" ref="N895">_xlfn.IFS(Table1_36[[#This Row],[Patient Satisfaction Score]]&gt;=83,"High",H895&lt;=75,"Low",TRUE,"Moderate")</f>
        <v>Low</v>
      </c>
      <c r="O895" t="str">
        <f t="shared" si="13"/>
        <v>Adult</v>
      </c>
    </row>
    <row r="896" spans="1:15">
      <c r="A896" t="s">
        <v>964</v>
      </c>
      <c r="B896" t="s">
        <v>42</v>
      </c>
      <c r="C896" t="s">
        <v>39</v>
      </c>
      <c r="D896" t="s">
        <v>27</v>
      </c>
      <c r="E896" s="2">
        <v>12</v>
      </c>
      <c r="F896" t="s">
        <v>17</v>
      </c>
      <c r="G896" t="s">
        <v>18</v>
      </c>
      <c r="H896" s="2">
        <v>95</v>
      </c>
      <c r="I896" s="3">
        <v>3110</v>
      </c>
      <c r="J896" s="4">
        <v>9.81</v>
      </c>
      <c r="K896" s="2">
        <v>29</v>
      </c>
      <c r="L896" s="2">
        <v>4</v>
      </c>
      <c r="M896" s="3">
        <v>11519</v>
      </c>
      <c r="N896" t="str" cm="1">
        <f t="array" ref="N896">_xlfn.IFS(Table1_36[[#This Row],[Patient Satisfaction Score]]&gt;=83,"High",H896&lt;=75,"Low",TRUE,"Moderate")</f>
        <v>High</v>
      </c>
      <c r="O896" t="str">
        <f t="shared" si="13"/>
        <v>Pediatric</v>
      </c>
    </row>
    <row r="897" spans="1:15">
      <c r="A897" t="s">
        <v>965</v>
      </c>
      <c r="B897" t="s">
        <v>109</v>
      </c>
      <c r="C897" t="s">
        <v>30</v>
      </c>
      <c r="D897" t="s">
        <v>27</v>
      </c>
      <c r="E897" s="2">
        <v>59</v>
      </c>
      <c r="F897" t="s">
        <v>22</v>
      </c>
      <c r="G897" t="s">
        <v>18</v>
      </c>
      <c r="H897" s="2">
        <v>70</v>
      </c>
      <c r="I897" s="3">
        <v>3188</v>
      </c>
      <c r="J897" s="4">
        <v>17.43</v>
      </c>
      <c r="K897" s="2">
        <v>135</v>
      </c>
      <c r="L897" s="2">
        <v>3</v>
      </c>
      <c r="M897" s="3">
        <v>16472</v>
      </c>
      <c r="N897" t="str" cm="1">
        <f t="array" ref="N897">_xlfn.IFS(Table1_36[[#This Row],[Patient Satisfaction Score]]&gt;=83,"High",H897&lt;=75,"Low",TRUE,"Moderate")</f>
        <v>Low</v>
      </c>
      <c r="O897" t="str">
        <f t="shared" si="13"/>
        <v>Adult</v>
      </c>
    </row>
    <row r="898" spans="1:15">
      <c r="A898" t="s">
        <v>966</v>
      </c>
      <c r="B898" t="s">
        <v>25</v>
      </c>
      <c r="C898" t="s">
        <v>26</v>
      </c>
      <c r="D898" t="s">
        <v>27</v>
      </c>
      <c r="E898" s="2">
        <v>69</v>
      </c>
      <c r="F898" t="s">
        <v>22</v>
      </c>
      <c r="G898" t="s">
        <v>31</v>
      </c>
      <c r="H898" s="2">
        <v>86</v>
      </c>
      <c r="I898" s="3">
        <v>2452</v>
      </c>
      <c r="J898" s="4">
        <v>3.67</v>
      </c>
      <c r="K898" s="2">
        <v>47</v>
      </c>
      <c r="L898" s="2">
        <v>4</v>
      </c>
      <c r="M898" s="3">
        <v>6751</v>
      </c>
      <c r="N898" t="str" cm="1">
        <f t="array" ref="N898">_xlfn.IFS(Table1_36[[#This Row],[Patient Satisfaction Score]]&gt;=83,"High",H898&lt;=75,"Low",TRUE,"Moderate")</f>
        <v>High</v>
      </c>
      <c r="O898" t="str">
        <f t="shared" ref="O898:O961" si="14">IF(E898&lt;19,"Pediatric","Adult")</f>
        <v>Adult</v>
      </c>
    </row>
    <row r="899" spans="1:15">
      <c r="A899" t="s">
        <v>967</v>
      </c>
      <c r="B899" t="s">
        <v>25</v>
      </c>
      <c r="C899" t="s">
        <v>26</v>
      </c>
      <c r="D899" t="s">
        <v>16</v>
      </c>
      <c r="E899" s="2">
        <v>42</v>
      </c>
      <c r="F899" t="s">
        <v>17</v>
      </c>
      <c r="G899" t="s">
        <v>23</v>
      </c>
      <c r="H899" s="2">
        <v>86</v>
      </c>
      <c r="I899" s="3">
        <v>2516</v>
      </c>
      <c r="J899" s="4">
        <v>6.21</v>
      </c>
      <c r="K899" s="2">
        <v>60</v>
      </c>
      <c r="L899" s="2">
        <v>4</v>
      </c>
      <c r="M899" s="3">
        <v>7520</v>
      </c>
      <c r="N899" t="str" cm="1">
        <f t="array" ref="N899">_xlfn.IFS(Table1_36[[#This Row],[Patient Satisfaction Score]]&gt;=83,"High",H899&lt;=75,"Low",TRUE,"Moderate")</f>
        <v>High</v>
      </c>
      <c r="O899" t="str">
        <f t="shared" si="14"/>
        <v>Adult</v>
      </c>
    </row>
    <row r="900" spans="1:15">
      <c r="A900" t="s">
        <v>968</v>
      </c>
      <c r="B900" t="s">
        <v>56</v>
      </c>
      <c r="C900" t="s">
        <v>45</v>
      </c>
      <c r="D900" t="s">
        <v>27</v>
      </c>
      <c r="E900" s="2">
        <v>41</v>
      </c>
      <c r="F900" t="s">
        <v>17</v>
      </c>
      <c r="G900" t="s">
        <v>23</v>
      </c>
      <c r="H900" s="2">
        <v>70</v>
      </c>
      <c r="I900" s="3">
        <v>9129</v>
      </c>
      <c r="J900" s="4">
        <v>19.95</v>
      </c>
      <c r="K900" s="2">
        <v>77</v>
      </c>
      <c r="L900" s="2">
        <v>4</v>
      </c>
      <c r="M900" s="3">
        <v>22847</v>
      </c>
      <c r="N900" t="str" cm="1">
        <f t="array" ref="N900">_xlfn.IFS(Table1_36[[#This Row],[Patient Satisfaction Score]]&gt;=83,"High",H900&lt;=75,"Low",TRUE,"Moderate")</f>
        <v>Low</v>
      </c>
      <c r="O900" t="str">
        <f t="shared" si="14"/>
        <v>Adult</v>
      </c>
    </row>
    <row r="901" spans="1:15">
      <c r="A901" t="s">
        <v>969</v>
      </c>
      <c r="B901" t="s">
        <v>129</v>
      </c>
      <c r="C901" t="s">
        <v>21</v>
      </c>
      <c r="D901" t="s">
        <v>16</v>
      </c>
      <c r="E901" s="2">
        <v>59</v>
      </c>
      <c r="F901" t="s">
        <v>22</v>
      </c>
      <c r="G901" t="s">
        <v>18</v>
      </c>
      <c r="H901" s="2">
        <v>79</v>
      </c>
      <c r="I901" s="3">
        <v>7311</v>
      </c>
      <c r="J901" s="4">
        <v>10.6</v>
      </c>
      <c r="K901" s="2">
        <v>94</v>
      </c>
      <c r="L901" s="2">
        <v>4</v>
      </c>
      <c r="M901" s="3">
        <v>22472</v>
      </c>
      <c r="N901" t="str" cm="1">
        <f t="array" ref="N901">_xlfn.IFS(Table1_36[[#This Row],[Patient Satisfaction Score]]&gt;=83,"High",H901&lt;=75,"Low",TRUE,"Moderate")</f>
        <v>Moderate</v>
      </c>
      <c r="O901" t="str">
        <f t="shared" si="14"/>
        <v>Adult</v>
      </c>
    </row>
    <row r="902" spans="1:15">
      <c r="A902" t="s">
        <v>970</v>
      </c>
      <c r="B902" t="s">
        <v>122</v>
      </c>
      <c r="C902" t="s">
        <v>48</v>
      </c>
      <c r="D902" t="s">
        <v>27</v>
      </c>
      <c r="E902" s="2">
        <v>27</v>
      </c>
      <c r="F902" t="s">
        <v>22</v>
      </c>
      <c r="G902" t="s">
        <v>70</v>
      </c>
      <c r="H902" s="2">
        <v>81</v>
      </c>
      <c r="I902" s="3">
        <v>8805</v>
      </c>
      <c r="J902" s="4">
        <v>8.56</v>
      </c>
      <c r="K902" s="2">
        <v>96</v>
      </c>
      <c r="L902" s="2">
        <v>4</v>
      </c>
      <c r="M902" s="3">
        <v>31339</v>
      </c>
      <c r="N902" t="str" cm="1">
        <f t="array" ref="N902">_xlfn.IFS(Table1_36[[#This Row],[Patient Satisfaction Score]]&gt;=83,"High",H902&lt;=75,"Low",TRUE,"Moderate")</f>
        <v>Moderate</v>
      </c>
      <c r="O902" t="str">
        <f t="shared" si="14"/>
        <v>Adult</v>
      </c>
    </row>
    <row r="903" spans="1:15">
      <c r="A903" t="s">
        <v>971</v>
      </c>
      <c r="B903" t="s">
        <v>25</v>
      </c>
      <c r="C903" t="s">
        <v>26</v>
      </c>
      <c r="D903" t="s">
        <v>27</v>
      </c>
      <c r="E903" s="2">
        <v>25</v>
      </c>
      <c r="F903" t="s">
        <v>22</v>
      </c>
      <c r="G903" t="s">
        <v>23</v>
      </c>
      <c r="H903" s="2">
        <v>77</v>
      </c>
      <c r="I903" s="3">
        <v>2119</v>
      </c>
      <c r="J903" s="4">
        <v>6.54</v>
      </c>
      <c r="K903" s="2">
        <v>54</v>
      </c>
      <c r="L903" s="2">
        <v>4</v>
      </c>
      <c r="M903" s="3">
        <v>10847</v>
      </c>
      <c r="N903" t="str" cm="1">
        <f t="array" ref="N903">_xlfn.IFS(Table1_36[[#This Row],[Patient Satisfaction Score]]&gt;=83,"High",H903&lt;=75,"Low",TRUE,"Moderate")</f>
        <v>Moderate</v>
      </c>
      <c r="O903" t="str">
        <f t="shared" si="14"/>
        <v>Adult</v>
      </c>
    </row>
    <row r="904" spans="1:15">
      <c r="A904" t="s">
        <v>972</v>
      </c>
      <c r="B904" t="s">
        <v>29</v>
      </c>
      <c r="C904" t="s">
        <v>30</v>
      </c>
      <c r="D904" t="s">
        <v>27</v>
      </c>
      <c r="E904" s="2">
        <v>56</v>
      </c>
      <c r="F904" t="s">
        <v>22</v>
      </c>
      <c r="G904" t="s">
        <v>49</v>
      </c>
      <c r="H904" s="2">
        <v>69</v>
      </c>
      <c r="I904" s="3">
        <v>3419</v>
      </c>
      <c r="J904" s="4">
        <v>18.59</v>
      </c>
      <c r="K904" s="2">
        <v>103</v>
      </c>
      <c r="L904" s="2">
        <v>4</v>
      </c>
      <c r="M904" s="3">
        <v>13232</v>
      </c>
      <c r="N904" t="str" cm="1">
        <f t="array" ref="N904">_xlfn.IFS(Table1_36[[#This Row],[Patient Satisfaction Score]]&gt;=83,"High",H904&lt;=75,"Low",TRUE,"Moderate")</f>
        <v>Low</v>
      </c>
      <c r="O904" t="str">
        <f t="shared" si="14"/>
        <v>Adult</v>
      </c>
    </row>
    <row r="905" spans="1:15">
      <c r="A905" t="s">
        <v>973</v>
      </c>
      <c r="B905" t="s">
        <v>109</v>
      </c>
      <c r="C905" t="s">
        <v>30</v>
      </c>
      <c r="D905" t="s">
        <v>27</v>
      </c>
      <c r="E905" s="2">
        <v>64</v>
      </c>
      <c r="F905" t="s">
        <v>22</v>
      </c>
      <c r="G905" t="s">
        <v>23</v>
      </c>
      <c r="H905" s="2">
        <v>63</v>
      </c>
      <c r="I905" s="3">
        <v>2490</v>
      </c>
      <c r="J905" s="4">
        <v>21.31</v>
      </c>
      <c r="K905" s="2">
        <v>135</v>
      </c>
      <c r="L905" s="2">
        <v>3</v>
      </c>
      <c r="M905" s="3">
        <v>12491</v>
      </c>
      <c r="N905" t="str" cm="1">
        <f t="array" ref="N905">_xlfn.IFS(Table1_36[[#This Row],[Patient Satisfaction Score]]&gt;=83,"High",H905&lt;=75,"Low",TRUE,"Moderate")</f>
        <v>Low</v>
      </c>
      <c r="O905" t="str">
        <f t="shared" si="14"/>
        <v>Adult</v>
      </c>
    </row>
    <row r="906" spans="1:15">
      <c r="A906" t="s">
        <v>974</v>
      </c>
      <c r="B906" t="s">
        <v>150</v>
      </c>
      <c r="C906" t="s">
        <v>48</v>
      </c>
      <c r="D906" t="s">
        <v>16</v>
      </c>
      <c r="E906" s="2">
        <v>82</v>
      </c>
      <c r="F906" t="s">
        <v>34</v>
      </c>
      <c r="G906" t="s">
        <v>70</v>
      </c>
      <c r="H906" s="2">
        <v>87</v>
      </c>
      <c r="I906" s="3">
        <v>5037</v>
      </c>
      <c r="J906" s="4">
        <v>7.41</v>
      </c>
      <c r="K906" s="2">
        <v>75</v>
      </c>
      <c r="L906" s="2">
        <v>4</v>
      </c>
      <c r="M906" s="3">
        <v>28411</v>
      </c>
      <c r="N906" t="str" cm="1">
        <f t="array" ref="N906">_xlfn.IFS(Table1_36[[#This Row],[Patient Satisfaction Score]]&gt;=83,"High",H906&lt;=75,"Low",TRUE,"Moderate")</f>
        <v>High</v>
      </c>
      <c r="O906" t="str">
        <f t="shared" si="14"/>
        <v>Adult</v>
      </c>
    </row>
    <row r="907" spans="1:15">
      <c r="A907" t="s">
        <v>975</v>
      </c>
      <c r="B907" t="s">
        <v>103</v>
      </c>
      <c r="C907" t="s">
        <v>26</v>
      </c>
      <c r="D907" t="s">
        <v>16</v>
      </c>
      <c r="E907" s="2">
        <v>1</v>
      </c>
      <c r="F907" t="s">
        <v>17</v>
      </c>
      <c r="G907" t="s">
        <v>70</v>
      </c>
      <c r="H907" s="2">
        <v>91</v>
      </c>
      <c r="I907" s="3">
        <v>1430</v>
      </c>
      <c r="J907" s="4">
        <v>4.42</v>
      </c>
      <c r="K907" s="2">
        <v>68</v>
      </c>
      <c r="L907" s="2">
        <v>5</v>
      </c>
      <c r="M907" s="3">
        <v>4672</v>
      </c>
      <c r="N907" t="str" cm="1">
        <f t="array" ref="N907">_xlfn.IFS(Table1_36[[#This Row],[Patient Satisfaction Score]]&gt;=83,"High",H907&lt;=75,"Low",TRUE,"Moderate")</f>
        <v>High</v>
      </c>
      <c r="O907" t="str">
        <f t="shared" si="14"/>
        <v>Pediatric</v>
      </c>
    </row>
    <row r="908" spans="1:15">
      <c r="A908" t="s">
        <v>976</v>
      </c>
      <c r="B908" t="s">
        <v>84</v>
      </c>
      <c r="C908" t="s">
        <v>21</v>
      </c>
      <c r="D908" t="s">
        <v>27</v>
      </c>
      <c r="E908" s="2">
        <v>82</v>
      </c>
      <c r="F908" t="s">
        <v>22</v>
      </c>
      <c r="G908" t="s">
        <v>70</v>
      </c>
      <c r="H908" s="2">
        <v>84</v>
      </c>
      <c r="I908" s="3">
        <v>5495</v>
      </c>
      <c r="J908" s="4">
        <v>11.52</v>
      </c>
      <c r="K908" s="2">
        <v>72</v>
      </c>
      <c r="L908" s="2">
        <v>4</v>
      </c>
      <c r="M908" s="3">
        <v>18679</v>
      </c>
      <c r="N908" t="str" cm="1">
        <f t="array" ref="N908">_xlfn.IFS(Table1_36[[#This Row],[Patient Satisfaction Score]]&gt;=83,"High",H908&lt;=75,"Low",TRUE,"Moderate")</f>
        <v>High</v>
      </c>
      <c r="O908" t="str">
        <f t="shared" si="14"/>
        <v>Adult</v>
      </c>
    </row>
    <row r="909" spans="1:15">
      <c r="A909" t="s">
        <v>977</v>
      </c>
      <c r="B909" t="s">
        <v>135</v>
      </c>
      <c r="C909" t="s">
        <v>48</v>
      </c>
      <c r="D909" t="s">
        <v>27</v>
      </c>
      <c r="E909" s="2">
        <v>15</v>
      </c>
      <c r="F909" t="s">
        <v>22</v>
      </c>
      <c r="G909" t="s">
        <v>31</v>
      </c>
      <c r="H909" s="2">
        <v>71</v>
      </c>
      <c r="I909" s="3">
        <v>3988</v>
      </c>
      <c r="J909" s="4">
        <v>12.43</v>
      </c>
      <c r="K909" s="2">
        <v>67</v>
      </c>
      <c r="L909" s="2">
        <v>4</v>
      </c>
      <c r="M909" s="3">
        <v>15290</v>
      </c>
      <c r="N909" t="str" cm="1">
        <f t="array" ref="N909">_xlfn.IFS(Table1_36[[#This Row],[Patient Satisfaction Score]]&gt;=83,"High",H909&lt;=75,"Low",TRUE,"Moderate")</f>
        <v>Low</v>
      </c>
      <c r="O909" t="str">
        <f t="shared" si="14"/>
        <v>Pediatric</v>
      </c>
    </row>
    <row r="910" spans="1:15">
      <c r="A910" t="s">
        <v>978</v>
      </c>
      <c r="B910" t="s">
        <v>38</v>
      </c>
      <c r="C910" t="s">
        <v>39</v>
      </c>
      <c r="D910" t="s">
        <v>16</v>
      </c>
      <c r="E910" s="2">
        <v>12</v>
      </c>
      <c r="F910" t="s">
        <v>22</v>
      </c>
      <c r="G910" t="s">
        <v>18</v>
      </c>
      <c r="H910" s="2">
        <v>85</v>
      </c>
      <c r="I910" s="3">
        <v>3681</v>
      </c>
      <c r="J910" s="4">
        <v>7.38</v>
      </c>
      <c r="K910" s="2">
        <v>47</v>
      </c>
      <c r="L910" s="2">
        <v>4</v>
      </c>
      <c r="M910" s="3">
        <v>16426</v>
      </c>
      <c r="N910" t="str" cm="1">
        <f t="array" ref="N910">_xlfn.IFS(Table1_36[[#This Row],[Patient Satisfaction Score]]&gt;=83,"High",H910&lt;=75,"Low",TRUE,"Moderate")</f>
        <v>High</v>
      </c>
      <c r="O910" t="str">
        <f t="shared" si="14"/>
        <v>Pediatric</v>
      </c>
    </row>
    <row r="911" spans="1:15">
      <c r="A911" t="s">
        <v>979</v>
      </c>
      <c r="B911" t="s">
        <v>14</v>
      </c>
      <c r="C911" t="s">
        <v>15</v>
      </c>
      <c r="D911" t="s">
        <v>27</v>
      </c>
      <c r="E911" s="2">
        <v>18</v>
      </c>
      <c r="F911" t="s">
        <v>22</v>
      </c>
      <c r="G911" t="s">
        <v>70</v>
      </c>
      <c r="H911" s="2">
        <v>75</v>
      </c>
      <c r="I911" s="3">
        <v>10133</v>
      </c>
      <c r="J911" s="4">
        <v>12.24</v>
      </c>
      <c r="K911" s="2">
        <v>77</v>
      </c>
      <c r="L911" s="2">
        <v>4</v>
      </c>
      <c r="M911" s="3">
        <v>56155</v>
      </c>
      <c r="N911" t="str" cm="1">
        <f t="array" ref="N911">_xlfn.IFS(Table1_36[[#This Row],[Patient Satisfaction Score]]&gt;=83,"High",H911&lt;=75,"Low",TRUE,"Moderate")</f>
        <v>Low</v>
      </c>
      <c r="O911" t="str">
        <f t="shared" si="14"/>
        <v>Pediatric</v>
      </c>
    </row>
    <row r="912" spans="1:15">
      <c r="A912" t="s">
        <v>980</v>
      </c>
      <c r="B912" t="s">
        <v>80</v>
      </c>
      <c r="C912" t="s">
        <v>15</v>
      </c>
      <c r="D912" t="s">
        <v>27</v>
      </c>
      <c r="E912" s="2">
        <v>10</v>
      </c>
      <c r="F912" t="s">
        <v>22</v>
      </c>
      <c r="G912" t="s">
        <v>31</v>
      </c>
      <c r="H912" s="2">
        <v>75</v>
      </c>
      <c r="I912" s="3">
        <v>6914</v>
      </c>
      <c r="J912" s="4">
        <v>13</v>
      </c>
      <c r="K912" s="2">
        <v>124</v>
      </c>
      <c r="L912" s="2">
        <v>4</v>
      </c>
      <c r="M912" s="3">
        <v>37422</v>
      </c>
      <c r="N912" t="str" cm="1">
        <f t="array" ref="N912">_xlfn.IFS(Table1_36[[#This Row],[Patient Satisfaction Score]]&gt;=83,"High",H912&lt;=75,"Low",TRUE,"Moderate")</f>
        <v>Low</v>
      </c>
      <c r="O912" t="str">
        <f t="shared" si="14"/>
        <v>Pediatric</v>
      </c>
    </row>
    <row r="913" spans="1:15">
      <c r="A913" t="s">
        <v>981</v>
      </c>
      <c r="B913" t="s">
        <v>66</v>
      </c>
      <c r="C913" t="s">
        <v>39</v>
      </c>
      <c r="D913" t="s">
        <v>27</v>
      </c>
      <c r="E913" s="2">
        <v>13</v>
      </c>
      <c r="F913" t="s">
        <v>22</v>
      </c>
      <c r="G913" t="s">
        <v>49</v>
      </c>
      <c r="H913" s="2">
        <v>82</v>
      </c>
      <c r="I913" s="3">
        <v>3588</v>
      </c>
      <c r="J913" s="4">
        <v>10.68</v>
      </c>
      <c r="K913" s="2">
        <v>59</v>
      </c>
      <c r="L913" s="2">
        <v>3</v>
      </c>
      <c r="M913" s="3">
        <v>14258</v>
      </c>
      <c r="N913" t="str" cm="1">
        <f t="array" ref="N913">_xlfn.IFS(Table1_36[[#This Row],[Patient Satisfaction Score]]&gt;=83,"High",H913&lt;=75,"Low",TRUE,"Moderate")</f>
        <v>Moderate</v>
      </c>
      <c r="O913" t="str">
        <f t="shared" si="14"/>
        <v>Pediatric</v>
      </c>
    </row>
    <row r="914" spans="1:15">
      <c r="A914" t="s">
        <v>982</v>
      </c>
      <c r="B914" t="s">
        <v>143</v>
      </c>
      <c r="C914" t="s">
        <v>21</v>
      </c>
      <c r="D914" t="s">
        <v>27</v>
      </c>
      <c r="E914" s="2">
        <v>16</v>
      </c>
      <c r="F914" t="s">
        <v>22</v>
      </c>
      <c r="G914" t="s">
        <v>40</v>
      </c>
      <c r="H914" s="2">
        <v>75</v>
      </c>
      <c r="I914" s="3">
        <v>6111</v>
      </c>
      <c r="J914" s="4">
        <v>13.57</v>
      </c>
      <c r="K914" s="2">
        <v>80</v>
      </c>
      <c r="L914" s="2">
        <v>3</v>
      </c>
      <c r="M914" s="3">
        <v>22931</v>
      </c>
      <c r="N914" t="str" cm="1">
        <f t="array" ref="N914">_xlfn.IFS(Table1_36[[#This Row],[Patient Satisfaction Score]]&gt;=83,"High",H914&lt;=75,"Low",TRUE,"Moderate")</f>
        <v>Low</v>
      </c>
      <c r="O914" t="str">
        <f t="shared" si="14"/>
        <v>Pediatric</v>
      </c>
    </row>
    <row r="915" spans="1:15">
      <c r="A915" t="s">
        <v>983</v>
      </c>
      <c r="B915" t="s">
        <v>51</v>
      </c>
      <c r="C915" t="s">
        <v>52</v>
      </c>
      <c r="D915" t="s">
        <v>27</v>
      </c>
      <c r="E915" s="2">
        <v>46</v>
      </c>
      <c r="F915" t="s">
        <v>22</v>
      </c>
      <c r="G915" t="s">
        <v>23</v>
      </c>
      <c r="H915" s="2">
        <v>82</v>
      </c>
      <c r="I915" s="3">
        <v>11287</v>
      </c>
      <c r="J915" s="4">
        <v>16.329999999999998</v>
      </c>
      <c r="K915" s="2">
        <v>99</v>
      </c>
      <c r="L915" s="2">
        <v>4</v>
      </c>
      <c r="M915" s="3">
        <v>29986</v>
      </c>
      <c r="N915" t="str" cm="1">
        <f t="array" ref="N915">_xlfn.IFS(Table1_36[[#This Row],[Patient Satisfaction Score]]&gt;=83,"High",H915&lt;=75,"Low",TRUE,"Moderate")</f>
        <v>Moderate</v>
      </c>
      <c r="O915" t="str">
        <f t="shared" si="14"/>
        <v>Adult</v>
      </c>
    </row>
    <row r="916" spans="1:15">
      <c r="A916" t="s">
        <v>984</v>
      </c>
      <c r="B916" t="s">
        <v>44</v>
      </c>
      <c r="C916" t="s">
        <v>45</v>
      </c>
      <c r="D916" t="s">
        <v>27</v>
      </c>
      <c r="E916" s="2">
        <v>43</v>
      </c>
      <c r="F916" t="s">
        <v>22</v>
      </c>
      <c r="G916" t="s">
        <v>23</v>
      </c>
      <c r="H916" s="2">
        <v>74</v>
      </c>
      <c r="I916" s="3">
        <v>10770</v>
      </c>
      <c r="J916" s="4">
        <v>17.5</v>
      </c>
      <c r="K916" s="2">
        <v>81</v>
      </c>
      <c r="L916" s="2">
        <v>3</v>
      </c>
      <c r="M916" s="3">
        <v>38859</v>
      </c>
      <c r="N916" t="str" cm="1">
        <f t="array" ref="N916">_xlfn.IFS(Table1_36[[#This Row],[Patient Satisfaction Score]]&gt;=83,"High",H916&lt;=75,"Low",TRUE,"Moderate")</f>
        <v>Low</v>
      </c>
      <c r="O916" t="str">
        <f t="shared" si="14"/>
        <v>Adult</v>
      </c>
    </row>
    <row r="917" spans="1:15">
      <c r="A917" t="s">
        <v>985</v>
      </c>
      <c r="B917" t="s">
        <v>58</v>
      </c>
      <c r="C917" t="s">
        <v>48</v>
      </c>
      <c r="D917" t="s">
        <v>27</v>
      </c>
      <c r="E917" s="2">
        <v>23</v>
      </c>
      <c r="F917" t="s">
        <v>22</v>
      </c>
      <c r="G917" t="s">
        <v>70</v>
      </c>
      <c r="H917" s="2">
        <v>78</v>
      </c>
      <c r="I917" s="3">
        <v>7705</v>
      </c>
      <c r="J917" s="4">
        <v>12.07</v>
      </c>
      <c r="K917" s="2">
        <v>68</v>
      </c>
      <c r="L917" s="2">
        <v>3</v>
      </c>
      <c r="M917" s="3">
        <v>42151</v>
      </c>
      <c r="N917" t="str" cm="1">
        <f t="array" ref="N917">_xlfn.IFS(Table1_36[[#This Row],[Patient Satisfaction Score]]&gt;=83,"High",H917&lt;=75,"Low",TRUE,"Moderate")</f>
        <v>Moderate</v>
      </c>
      <c r="O917" t="str">
        <f t="shared" si="14"/>
        <v>Adult</v>
      </c>
    </row>
    <row r="918" spans="1:15">
      <c r="A918" t="s">
        <v>986</v>
      </c>
      <c r="B918" t="s">
        <v>25</v>
      </c>
      <c r="C918" t="s">
        <v>39</v>
      </c>
      <c r="D918" t="s">
        <v>27</v>
      </c>
      <c r="E918" s="2">
        <v>17</v>
      </c>
      <c r="F918" t="s">
        <v>22</v>
      </c>
      <c r="G918" t="s">
        <v>18</v>
      </c>
      <c r="H918" s="2">
        <v>72</v>
      </c>
      <c r="I918" s="3">
        <v>3312</v>
      </c>
      <c r="J918" s="4">
        <v>6.69</v>
      </c>
      <c r="K918" s="2">
        <v>97</v>
      </c>
      <c r="L918" s="2">
        <v>4</v>
      </c>
      <c r="M918" s="3">
        <v>11399</v>
      </c>
      <c r="N918" t="str" cm="1">
        <f t="array" ref="N918">_xlfn.IFS(Table1_36[[#This Row],[Patient Satisfaction Score]]&gt;=83,"High",H918&lt;=75,"Low",TRUE,"Moderate")</f>
        <v>Low</v>
      </c>
      <c r="O918" t="str">
        <f t="shared" si="14"/>
        <v>Pediatric</v>
      </c>
    </row>
    <row r="919" spans="1:15">
      <c r="A919" t="s">
        <v>987</v>
      </c>
      <c r="B919" t="s">
        <v>80</v>
      </c>
      <c r="C919" t="s">
        <v>15</v>
      </c>
      <c r="D919" t="s">
        <v>16</v>
      </c>
      <c r="E919" s="2">
        <v>35</v>
      </c>
      <c r="F919" t="s">
        <v>17</v>
      </c>
      <c r="G919" t="s">
        <v>40</v>
      </c>
      <c r="H919" s="2">
        <v>78</v>
      </c>
      <c r="I919" s="3">
        <v>8461</v>
      </c>
      <c r="J919" s="4">
        <v>15.91</v>
      </c>
      <c r="K919" s="2">
        <v>110</v>
      </c>
      <c r="L919" s="2">
        <v>3</v>
      </c>
      <c r="M919" s="3">
        <v>22612</v>
      </c>
      <c r="N919" t="str" cm="1">
        <f t="array" ref="N919">_xlfn.IFS(Table1_36[[#This Row],[Patient Satisfaction Score]]&gt;=83,"High",H919&lt;=75,"Low",TRUE,"Moderate")</f>
        <v>Moderate</v>
      </c>
      <c r="O919" t="str">
        <f t="shared" si="14"/>
        <v>Adult</v>
      </c>
    </row>
    <row r="920" spans="1:15">
      <c r="A920" t="s">
        <v>988</v>
      </c>
      <c r="B920" t="s">
        <v>168</v>
      </c>
      <c r="C920" t="s">
        <v>45</v>
      </c>
      <c r="D920" t="s">
        <v>27</v>
      </c>
      <c r="E920" s="2">
        <v>29</v>
      </c>
      <c r="F920" t="s">
        <v>22</v>
      </c>
      <c r="G920" t="s">
        <v>40</v>
      </c>
      <c r="H920" s="2">
        <v>82</v>
      </c>
      <c r="I920" s="3">
        <v>8610</v>
      </c>
      <c r="J920" s="4">
        <v>13.24</v>
      </c>
      <c r="K920" s="2">
        <v>102</v>
      </c>
      <c r="L920" s="2">
        <v>4</v>
      </c>
      <c r="M920" s="3">
        <v>26902</v>
      </c>
      <c r="N920" t="str" cm="1">
        <f t="array" ref="N920">_xlfn.IFS(Table1_36[[#This Row],[Patient Satisfaction Score]]&gt;=83,"High",H920&lt;=75,"Low",TRUE,"Moderate")</f>
        <v>Moderate</v>
      </c>
      <c r="O920" t="str">
        <f t="shared" si="14"/>
        <v>Adult</v>
      </c>
    </row>
    <row r="921" spans="1:15">
      <c r="A921" t="s">
        <v>989</v>
      </c>
      <c r="B921" t="s">
        <v>84</v>
      </c>
      <c r="C921" t="s">
        <v>21</v>
      </c>
      <c r="D921" t="s">
        <v>16</v>
      </c>
      <c r="E921" s="2">
        <v>58</v>
      </c>
      <c r="F921" t="s">
        <v>34</v>
      </c>
      <c r="G921" t="s">
        <v>70</v>
      </c>
      <c r="H921" s="2">
        <v>78</v>
      </c>
      <c r="I921" s="3">
        <v>6982</v>
      </c>
      <c r="J921" s="4">
        <v>16.98</v>
      </c>
      <c r="K921" s="2">
        <v>81</v>
      </c>
      <c r="L921" s="2">
        <v>4</v>
      </c>
      <c r="M921" s="3">
        <v>36253</v>
      </c>
      <c r="N921" t="str" cm="1">
        <f t="array" ref="N921">_xlfn.IFS(Table1_36[[#This Row],[Patient Satisfaction Score]]&gt;=83,"High",H921&lt;=75,"Low",TRUE,"Moderate")</f>
        <v>Moderate</v>
      </c>
      <c r="O921" t="str">
        <f t="shared" si="14"/>
        <v>Adult</v>
      </c>
    </row>
    <row r="922" spans="1:15">
      <c r="A922" t="s">
        <v>990</v>
      </c>
      <c r="B922" t="s">
        <v>20</v>
      </c>
      <c r="C922" t="s">
        <v>21</v>
      </c>
      <c r="D922" t="s">
        <v>27</v>
      </c>
      <c r="E922" s="2">
        <v>11</v>
      </c>
      <c r="F922" t="s">
        <v>17</v>
      </c>
      <c r="G922" t="s">
        <v>31</v>
      </c>
      <c r="H922" s="2">
        <v>88</v>
      </c>
      <c r="I922" s="3">
        <v>5759</v>
      </c>
      <c r="J922" s="4">
        <v>13.57</v>
      </c>
      <c r="K922" s="2">
        <v>110</v>
      </c>
      <c r="L922" s="2">
        <v>5</v>
      </c>
      <c r="M922" s="3">
        <v>21640</v>
      </c>
      <c r="N922" t="str" cm="1">
        <f t="array" ref="N922">_xlfn.IFS(Table1_36[[#This Row],[Patient Satisfaction Score]]&gt;=83,"High",H922&lt;=75,"Low",TRUE,"Moderate")</f>
        <v>High</v>
      </c>
      <c r="O922" t="str">
        <f t="shared" si="14"/>
        <v>Pediatric</v>
      </c>
    </row>
    <row r="923" spans="1:15">
      <c r="A923" t="s">
        <v>991</v>
      </c>
      <c r="B923" t="s">
        <v>25</v>
      </c>
      <c r="C923" t="s">
        <v>26</v>
      </c>
      <c r="D923" t="s">
        <v>16</v>
      </c>
      <c r="E923" s="2">
        <v>1</v>
      </c>
      <c r="F923" t="s">
        <v>17</v>
      </c>
      <c r="G923" t="s">
        <v>31</v>
      </c>
      <c r="H923" s="2">
        <v>86</v>
      </c>
      <c r="I923" s="3">
        <v>2879</v>
      </c>
      <c r="J923" s="4">
        <v>6.07</v>
      </c>
      <c r="K923" s="2">
        <v>36</v>
      </c>
      <c r="L923" s="2">
        <v>4</v>
      </c>
      <c r="M923" s="3">
        <v>8616</v>
      </c>
      <c r="N923" t="str" cm="1">
        <f t="array" ref="N923">_xlfn.IFS(Table1_36[[#This Row],[Patient Satisfaction Score]]&gt;=83,"High",H923&lt;=75,"Low",TRUE,"Moderate")</f>
        <v>High</v>
      </c>
      <c r="O923" t="str">
        <f t="shared" si="14"/>
        <v>Pediatric</v>
      </c>
    </row>
    <row r="924" spans="1:15">
      <c r="A924" t="s">
        <v>992</v>
      </c>
      <c r="B924" t="s">
        <v>54</v>
      </c>
      <c r="C924" t="s">
        <v>39</v>
      </c>
      <c r="D924" t="s">
        <v>27</v>
      </c>
      <c r="E924" s="2">
        <v>7</v>
      </c>
      <c r="F924" t="s">
        <v>34</v>
      </c>
      <c r="G924" t="s">
        <v>40</v>
      </c>
      <c r="H924" s="2">
        <v>78</v>
      </c>
      <c r="I924" s="3">
        <v>2905</v>
      </c>
      <c r="J924" s="4">
        <v>9.23</v>
      </c>
      <c r="K924" s="2">
        <v>75</v>
      </c>
      <c r="L924" s="2">
        <v>4</v>
      </c>
      <c r="M924" s="3">
        <v>16349</v>
      </c>
      <c r="N924" t="str" cm="1">
        <f t="array" ref="N924">_xlfn.IFS(Table1_36[[#This Row],[Patient Satisfaction Score]]&gt;=83,"High",H924&lt;=75,"Low",TRUE,"Moderate")</f>
        <v>Moderate</v>
      </c>
      <c r="O924" t="str">
        <f t="shared" si="14"/>
        <v>Pediatric</v>
      </c>
    </row>
    <row r="925" spans="1:15">
      <c r="A925" t="s">
        <v>993</v>
      </c>
      <c r="B925" t="s">
        <v>44</v>
      </c>
      <c r="C925" t="s">
        <v>45</v>
      </c>
      <c r="D925" t="s">
        <v>27</v>
      </c>
      <c r="E925" s="2">
        <v>85</v>
      </c>
      <c r="F925" t="s">
        <v>22</v>
      </c>
      <c r="G925" t="s">
        <v>49</v>
      </c>
      <c r="H925" s="2">
        <v>69</v>
      </c>
      <c r="I925" s="3">
        <v>8498</v>
      </c>
      <c r="J925" s="4">
        <v>18.059999999999999</v>
      </c>
      <c r="K925" s="2">
        <v>102</v>
      </c>
      <c r="L925" s="2">
        <v>3</v>
      </c>
      <c r="M925" s="3">
        <v>35178</v>
      </c>
      <c r="N925" t="str" cm="1">
        <f t="array" ref="N925">_xlfn.IFS(Table1_36[[#This Row],[Patient Satisfaction Score]]&gt;=83,"High",H925&lt;=75,"Low",TRUE,"Moderate")</f>
        <v>Low</v>
      </c>
      <c r="O925" t="str">
        <f t="shared" si="14"/>
        <v>Adult</v>
      </c>
    </row>
    <row r="926" spans="1:15">
      <c r="A926" t="s">
        <v>994</v>
      </c>
      <c r="B926" t="s">
        <v>80</v>
      </c>
      <c r="C926" t="s">
        <v>15</v>
      </c>
      <c r="D926" t="s">
        <v>16</v>
      </c>
      <c r="E926" s="2">
        <v>36</v>
      </c>
      <c r="F926" t="s">
        <v>17</v>
      </c>
      <c r="G926" t="s">
        <v>49</v>
      </c>
      <c r="H926" s="2">
        <v>71</v>
      </c>
      <c r="I926" s="3">
        <v>8274</v>
      </c>
      <c r="J926" s="4">
        <v>15.27</v>
      </c>
      <c r="K926" s="2">
        <v>86</v>
      </c>
      <c r="L926" s="2">
        <v>4</v>
      </c>
      <c r="M926" s="3">
        <v>47377</v>
      </c>
      <c r="N926" t="str" cm="1">
        <f t="array" ref="N926">_xlfn.IFS(Table1_36[[#This Row],[Patient Satisfaction Score]]&gt;=83,"High",H926&lt;=75,"Low",TRUE,"Moderate")</f>
        <v>Low</v>
      </c>
      <c r="O926" t="str">
        <f t="shared" si="14"/>
        <v>Adult</v>
      </c>
    </row>
    <row r="927" spans="1:15">
      <c r="A927" t="s">
        <v>995</v>
      </c>
      <c r="B927" t="s">
        <v>62</v>
      </c>
      <c r="C927" t="s">
        <v>52</v>
      </c>
      <c r="D927" t="s">
        <v>16</v>
      </c>
      <c r="E927" s="2">
        <v>61</v>
      </c>
      <c r="F927" t="s">
        <v>22</v>
      </c>
      <c r="G927" t="s">
        <v>23</v>
      </c>
      <c r="H927" s="2">
        <v>78</v>
      </c>
      <c r="I927" s="3">
        <v>6530</v>
      </c>
      <c r="J927" s="4">
        <v>16.559999999999999</v>
      </c>
      <c r="K927" s="2">
        <v>98</v>
      </c>
      <c r="L927" s="2">
        <v>3</v>
      </c>
      <c r="M927" s="3">
        <v>21346</v>
      </c>
      <c r="N927" t="str" cm="1">
        <f t="array" ref="N927">_xlfn.IFS(Table1_36[[#This Row],[Patient Satisfaction Score]]&gt;=83,"High",H927&lt;=75,"Low",TRUE,"Moderate")</f>
        <v>Moderate</v>
      </c>
      <c r="O927" t="str">
        <f t="shared" si="14"/>
        <v>Adult</v>
      </c>
    </row>
    <row r="928" spans="1:15">
      <c r="A928" t="s">
        <v>996</v>
      </c>
      <c r="B928" t="s">
        <v>14</v>
      </c>
      <c r="C928" t="s">
        <v>15</v>
      </c>
      <c r="D928" t="s">
        <v>16</v>
      </c>
      <c r="E928" s="2">
        <v>73</v>
      </c>
      <c r="F928" t="s">
        <v>22</v>
      </c>
      <c r="G928" t="s">
        <v>23</v>
      </c>
      <c r="H928" s="2">
        <v>77</v>
      </c>
      <c r="I928" s="3">
        <v>6661</v>
      </c>
      <c r="J928" s="4">
        <v>21.87</v>
      </c>
      <c r="K928" s="2">
        <v>78</v>
      </c>
      <c r="L928" s="2">
        <v>4</v>
      </c>
      <c r="M928" s="3">
        <v>31917</v>
      </c>
      <c r="N928" t="str" cm="1">
        <f t="array" ref="N928">_xlfn.IFS(Table1_36[[#This Row],[Patient Satisfaction Score]]&gt;=83,"High",H928&lt;=75,"Low",TRUE,"Moderate")</f>
        <v>Moderate</v>
      </c>
      <c r="O928" t="str">
        <f t="shared" si="14"/>
        <v>Adult</v>
      </c>
    </row>
    <row r="929" spans="1:15">
      <c r="A929" t="s">
        <v>997</v>
      </c>
      <c r="B929" t="s">
        <v>137</v>
      </c>
      <c r="C929" t="s">
        <v>26</v>
      </c>
      <c r="D929" t="s">
        <v>27</v>
      </c>
      <c r="E929" s="2">
        <v>29</v>
      </c>
      <c r="F929" t="s">
        <v>17</v>
      </c>
      <c r="G929" t="s">
        <v>49</v>
      </c>
      <c r="H929" s="2">
        <v>86</v>
      </c>
      <c r="I929" s="3">
        <v>2138</v>
      </c>
      <c r="J929" s="4">
        <v>3.6</v>
      </c>
      <c r="K929" s="2">
        <v>26</v>
      </c>
      <c r="L929" s="2">
        <v>4</v>
      </c>
      <c r="M929" s="3">
        <v>8752</v>
      </c>
      <c r="N929" t="str" cm="1">
        <f t="array" ref="N929">_xlfn.IFS(Table1_36[[#This Row],[Patient Satisfaction Score]]&gt;=83,"High",H929&lt;=75,"Low",TRUE,"Moderate")</f>
        <v>High</v>
      </c>
      <c r="O929" t="str">
        <f t="shared" si="14"/>
        <v>Adult</v>
      </c>
    </row>
    <row r="930" spans="1:15">
      <c r="A930" t="s">
        <v>998</v>
      </c>
      <c r="B930" t="s">
        <v>47</v>
      </c>
      <c r="C930" t="s">
        <v>48</v>
      </c>
      <c r="D930" t="s">
        <v>16</v>
      </c>
      <c r="E930" s="2">
        <v>64</v>
      </c>
      <c r="F930" t="s">
        <v>22</v>
      </c>
      <c r="G930" t="s">
        <v>70</v>
      </c>
      <c r="H930" s="2">
        <v>71</v>
      </c>
      <c r="I930" s="3">
        <v>3663</v>
      </c>
      <c r="J930" s="4">
        <v>15.91</v>
      </c>
      <c r="K930" s="2">
        <v>97</v>
      </c>
      <c r="L930" s="2">
        <v>4</v>
      </c>
      <c r="M930" s="3">
        <v>18048</v>
      </c>
      <c r="N930" t="str" cm="1">
        <f t="array" ref="N930">_xlfn.IFS(Table1_36[[#This Row],[Patient Satisfaction Score]]&gt;=83,"High",H930&lt;=75,"Low",TRUE,"Moderate")</f>
        <v>Low</v>
      </c>
      <c r="O930" t="str">
        <f t="shared" si="14"/>
        <v>Adult</v>
      </c>
    </row>
    <row r="931" spans="1:15">
      <c r="A931" t="s">
        <v>999</v>
      </c>
      <c r="B931" t="s">
        <v>129</v>
      </c>
      <c r="C931" t="s">
        <v>21</v>
      </c>
      <c r="D931" t="s">
        <v>27</v>
      </c>
      <c r="E931" s="2">
        <v>86</v>
      </c>
      <c r="F931" t="s">
        <v>22</v>
      </c>
      <c r="G931" t="s">
        <v>31</v>
      </c>
      <c r="H931" s="2">
        <v>80</v>
      </c>
      <c r="I931" s="3">
        <v>7397</v>
      </c>
      <c r="J931" s="4">
        <v>10.65</v>
      </c>
      <c r="K931" s="2">
        <v>74</v>
      </c>
      <c r="L931" s="2">
        <v>5</v>
      </c>
      <c r="M931" s="3">
        <v>34485</v>
      </c>
      <c r="N931" t="str" cm="1">
        <f t="array" ref="N931">_xlfn.IFS(Table1_36[[#This Row],[Patient Satisfaction Score]]&gt;=83,"High",H931&lt;=75,"Low",TRUE,"Moderate")</f>
        <v>Moderate</v>
      </c>
      <c r="O931" t="str">
        <f t="shared" si="14"/>
        <v>Adult</v>
      </c>
    </row>
    <row r="932" spans="1:15">
      <c r="A932" t="s">
        <v>1000</v>
      </c>
      <c r="B932" t="s">
        <v>135</v>
      </c>
      <c r="C932" t="s">
        <v>48</v>
      </c>
      <c r="D932" t="s">
        <v>27</v>
      </c>
      <c r="E932" s="2">
        <v>64</v>
      </c>
      <c r="F932" t="s">
        <v>22</v>
      </c>
      <c r="G932" t="s">
        <v>23</v>
      </c>
      <c r="H932" s="2">
        <v>78</v>
      </c>
      <c r="I932" s="3">
        <v>7480</v>
      </c>
      <c r="J932" s="4">
        <v>11.97</v>
      </c>
      <c r="K932" s="2">
        <v>72</v>
      </c>
      <c r="L932" s="2">
        <v>4</v>
      </c>
      <c r="M932" s="3">
        <v>24723</v>
      </c>
      <c r="N932" t="str" cm="1">
        <f t="array" ref="N932">_xlfn.IFS(Table1_36[[#This Row],[Patient Satisfaction Score]]&gt;=83,"High",H932&lt;=75,"Low",TRUE,"Moderate")</f>
        <v>Moderate</v>
      </c>
      <c r="O932" t="str">
        <f t="shared" si="14"/>
        <v>Adult</v>
      </c>
    </row>
    <row r="933" spans="1:15">
      <c r="A933" t="s">
        <v>1001</v>
      </c>
      <c r="B933" t="s">
        <v>25</v>
      </c>
      <c r="C933" t="s">
        <v>26</v>
      </c>
      <c r="D933" t="s">
        <v>16</v>
      </c>
      <c r="E933" s="2">
        <v>68</v>
      </c>
      <c r="F933" t="s">
        <v>22</v>
      </c>
      <c r="G933" t="s">
        <v>18</v>
      </c>
      <c r="H933" s="2">
        <v>88</v>
      </c>
      <c r="I933" s="3">
        <v>2569</v>
      </c>
      <c r="J933" s="4">
        <v>0</v>
      </c>
      <c r="K933" s="2">
        <v>38</v>
      </c>
      <c r="L933" s="2">
        <v>5</v>
      </c>
      <c r="M933" s="3">
        <v>12196</v>
      </c>
      <c r="N933" t="str" cm="1">
        <f t="array" ref="N933">_xlfn.IFS(Table1_36[[#This Row],[Patient Satisfaction Score]]&gt;=83,"High",H933&lt;=75,"Low",TRUE,"Moderate")</f>
        <v>High</v>
      </c>
      <c r="O933" t="str">
        <f t="shared" si="14"/>
        <v>Adult</v>
      </c>
    </row>
    <row r="934" spans="1:15">
      <c r="A934" t="s">
        <v>1002</v>
      </c>
      <c r="B934" t="s">
        <v>84</v>
      </c>
      <c r="C934" t="s">
        <v>21</v>
      </c>
      <c r="D934" t="s">
        <v>27</v>
      </c>
      <c r="E934" s="2">
        <v>36</v>
      </c>
      <c r="F934" t="s">
        <v>17</v>
      </c>
      <c r="G934" t="s">
        <v>18</v>
      </c>
      <c r="H934" s="2">
        <v>80</v>
      </c>
      <c r="I934" s="3">
        <v>6351</v>
      </c>
      <c r="J934" s="4">
        <v>15.34</v>
      </c>
      <c r="K934" s="2">
        <v>84</v>
      </c>
      <c r="L934" s="2">
        <v>4</v>
      </c>
      <c r="M934" s="3">
        <v>23578</v>
      </c>
      <c r="N934" t="str" cm="1">
        <f t="array" ref="N934">_xlfn.IFS(Table1_36[[#This Row],[Patient Satisfaction Score]]&gt;=83,"High",H934&lt;=75,"Low",TRUE,"Moderate")</f>
        <v>Moderate</v>
      </c>
      <c r="O934" t="str">
        <f t="shared" si="14"/>
        <v>Adult</v>
      </c>
    </row>
    <row r="935" spans="1:15">
      <c r="A935" t="s">
        <v>1003</v>
      </c>
      <c r="B935" t="s">
        <v>36</v>
      </c>
      <c r="C935" t="s">
        <v>21</v>
      </c>
      <c r="D935" t="s">
        <v>16</v>
      </c>
      <c r="E935" s="2">
        <v>36</v>
      </c>
      <c r="F935" t="s">
        <v>17</v>
      </c>
      <c r="G935" t="s">
        <v>18</v>
      </c>
      <c r="H935" s="2">
        <v>78</v>
      </c>
      <c r="I935" s="3">
        <v>6889</v>
      </c>
      <c r="J935" s="4">
        <v>12.69</v>
      </c>
      <c r="K935" s="2">
        <v>126</v>
      </c>
      <c r="L935" s="2">
        <v>4</v>
      </c>
      <c r="M935" s="3">
        <v>26810</v>
      </c>
      <c r="N935" t="str" cm="1">
        <f t="array" ref="N935">_xlfn.IFS(Table1_36[[#This Row],[Patient Satisfaction Score]]&gt;=83,"High",H935&lt;=75,"Low",TRUE,"Moderate")</f>
        <v>Moderate</v>
      </c>
      <c r="O935" t="str">
        <f t="shared" si="14"/>
        <v>Adult</v>
      </c>
    </row>
    <row r="936" spans="1:15">
      <c r="A936" t="s">
        <v>1004</v>
      </c>
      <c r="B936" t="s">
        <v>68</v>
      </c>
      <c r="C936" t="s">
        <v>45</v>
      </c>
      <c r="D936" t="s">
        <v>27</v>
      </c>
      <c r="E936" s="2">
        <v>21</v>
      </c>
      <c r="F936" t="s">
        <v>34</v>
      </c>
      <c r="G936" t="s">
        <v>18</v>
      </c>
      <c r="H936" s="2">
        <v>72</v>
      </c>
      <c r="I936" s="3">
        <v>14003</v>
      </c>
      <c r="J936" s="4">
        <v>12.85</v>
      </c>
      <c r="K936" s="2">
        <v>80</v>
      </c>
      <c r="L936" s="2">
        <v>4</v>
      </c>
      <c r="M936" s="3">
        <v>81501</v>
      </c>
      <c r="N936" t="str" cm="1">
        <f t="array" ref="N936">_xlfn.IFS(Table1_36[[#This Row],[Patient Satisfaction Score]]&gt;=83,"High",H936&lt;=75,"Low",TRUE,"Moderate")</f>
        <v>Low</v>
      </c>
      <c r="O936" t="str">
        <f t="shared" si="14"/>
        <v>Adult</v>
      </c>
    </row>
    <row r="937" spans="1:15">
      <c r="A937" t="s">
        <v>1005</v>
      </c>
      <c r="B937" t="s">
        <v>97</v>
      </c>
      <c r="C937" t="s">
        <v>30</v>
      </c>
      <c r="D937" t="s">
        <v>16</v>
      </c>
      <c r="E937" s="2">
        <v>44</v>
      </c>
      <c r="F937" t="s">
        <v>34</v>
      </c>
      <c r="G937" t="s">
        <v>70</v>
      </c>
      <c r="H937" s="2">
        <v>68</v>
      </c>
      <c r="I937" s="3">
        <v>3080</v>
      </c>
      <c r="J937" s="4">
        <v>10.14</v>
      </c>
      <c r="K937" s="2">
        <v>103</v>
      </c>
      <c r="L937" s="2">
        <v>4</v>
      </c>
      <c r="M937" s="3">
        <v>12172</v>
      </c>
      <c r="N937" t="str" cm="1">
        <f t="array" ref="N937">_xlfn.IFS(Table1_36[[#This Row],[Patient Satisfaction Score]]&gt;=83,"High",H937&lt;=75,"Low",TRUE,"Moderate")</f>
        <v>Low</v>
      </c>
      <c r="O937" t="str">
        <f t="shared" si="14"/>
        <v>Adult</v>
      </c>
    </row>
    <row r="938" spans="1:15">
      <c r="A938" t="s">
        <v>1006</v>
      </c>
      <c r="B938" t="s">
        <v>168</v>
      </c>
      <c r="C938" t="s">
        <v>45</v>
      </c>
      <c r="D938" t="s">
        <v>16</v>
      </c>
      <c r="E938" s="2">
        <v>62</v>
      </c>
      <c r="F938" t="s">
        <v>17</v>
      </c>
      <c r="G938" t="s">
        <v>31</v>
      </c>
      <c r="H938" s="2">
        <v>77</v>
      </c>
      <c r="I938" s="3">
        <v>8077</v>
      </c>
      <c r="J938" s="4">
        <v>19.73</v>
      </c>
      <c r="K938" s="2">
        <v>117</v>
      </c>
      <c r="L938" s="2">
        <v>5</v>
      </c>
      <c r="M938" s="3">
        <v>30644</v>
      </c>
      <c r="N938" t="str" cm="1">
        <f t="array" ref="N938">_xlfn.IFS(Table1_36[[#This Row],[Patient Satisfaction Score]]&gt;=83,"High",H938&lt;=75,"Low",TRUE,"Moderate")</f>
        <v>Moderate</v>
      </c>
      <c r="O938" t="str">
        <f t="shared" si="14"/>
        <v>Adult</v>
      </c>
    </row>
    <row r="939" spans="1:15">
      <c r="A939" t="s">
        <v>1007</v>
      </c>
      <c r="B939" t="s">
        <v>38</v>
      </c>
      <c r="C939" t="s">
        <v>39</v>
      </c>
      <c r="D939" t="s">
        <v>16</v>
      </c>
      <c r="E939" s="2">
        <v>5</v>
      </c>
      <c r="F939" t="s">
        <v>22</v>
      </c>
      <c r="G939" t="s">
        <v>31</v>
      </c>
      <c r="H939" s="2">
        <v>86</v>
      </c>
      <c r="I939" s="3">
        <v>2779</v>
      </c>
      <c r="J939" s="4">
        <v>6.16</v>
      </c>
      <c r="K939" s="2">
        <v>57</v>
      </c>
      <c r="L939" s="2">
        <v>4</v>
      </c>
      <c r="M939" s="3">
        <v>13374</v>
      </c>
      <c r="N939" t="str" cm="1">
        <f t="array" ref="N939">_xlfn.IFS(Table1_36[[#This Row],[Patient Satisfaction Score]]&gt;=83,"High",H939&lt;=75,"Low",TRUE,"Moderate")</f>
        <v>High</v>
      </c>
      <c r="O939" t="str">
        <f t="shared" si="14"/>
        <v>Pediatric</v>
      </c>
    </row>
    <row r="940" spans="1:15">
      <c r="A940" t="s">
        <v>1008</v>
      </c>
      <c r="B940" t="s">
        <v>150</v>
      </c>
      <c r="C940" t="s">
        <v>48</v>
      </c>
      <c r="D940" t="s">
        <v>16</v>
      </c>
      <c r="E940" s="2">
        <v>41</v>
      </c>
      <c r="F940" t="s">
        <v>22</v>
      </c>
      <c r="G940" t="s">
        <v>18</v>
      </c>
      <c r="H940" s="2">
        <v>81</v>
      </c>
      <c r="I940" s="3">
        <v>6429</v>
      </c>
      <c r="J940" s="4">
        <v>12.26</v>
      </c>
      <c r="K940" s="2">
        <v>96</v>
      </c>
      <c r="L940" s="2">
        <v>4</v>
      </c>
      <c r="M940" s="3">
        <v>17940</v>
      </c>
      <c r="N940" t="str" cm="1">
        <f t="array" ref="N940">_xlfn.IFS(Table1_36[[#This Row],[Patient Satisfaction Score]]&gt;=83,"High",H940&lt;=75,"Low",TRUE,"Moderate")</f>
        <v>Moderate</v>
      </c>
      <c r="O940" t="str">
        <f t="shared" si="14"/>
        <v>Adult</v>
      </c>
    </row>
    <row r="941" spans="1:15">
      <c r="A941" t="s">
        <v>1009</v>
      </c>
      <c r="B941" t="s">
        <v>103</v>
      </c>
      <c r="C941" t="s">
        <v>26</v>
      </c>
      <c r="D941" t="s">
        <v>27</v>
      </c>
      <c r="E941" s="2">
        <v>39</v>
      </c>
      <c r="F941" t="s">
        <v>22</v>
      </c>
      <c r="G941" t="s">
        <v>23</v>
      </c>
      <c r="H941" s="2">
        <v>83</v>
      </c>
      <c r="I941" s="3">
        <v>3128</v>
      </c>
      <c r="J941" s="4">
        <v>6.35</v>
      </c>
      <c r="K941" s="2">
        <v>18</v>
      </c>
      <c r="L941" s="2">
        <v>4</v>
      </c>
      <c r="M941" s="3">
        <v>13237</v>
      </c>
      <c r="N941" t="str" cm="1">
        <f t="array" ref="N941">_xlfn.IFS(Table1_36[[#This Row],[Patient Satisfaction Score]]&gt;=83,"High",H941&lt;=75,"Low",TRUE,"Moderate")</f>
        <v>High</v>
      </c>
      <c r="O941" t="str">
        <f t="shared" si="14"/>
        <v>Adult</v>
      </c>
    </row>
    <row r="942" spans="1:15">
      <c r="A942" t="s">
        <v>1010</v>
      </c>
      <c r="B942" t="s">
        <v>122</v>
      </c>
      <c r="C942" t="s">
        <v>48</v>
      </c>
      <c r="D942" t="s">
        <v>72</v>
      </c>
      <c r="E942" s="2">
        <v>61</v>
      </c>
      <c r="F942" t="s">
        <v>17</v>
      </c>
      <c r="G942" t="s">
        <v>49</v>
      </c>
      <c r="H942" s="2">
        <v>70</v>
      </c>
      <c r="I942" s="3">
        <v>3669</v>
      </c>
      <c r="J942" s="4">
        <v>11.98</v>
      </c>
      <c r="K942" s="2">
        <v>90</v>
      </c>
      <c r="L942" s="2">
        <v>3</v>
      </c>
      <c r="M942" s="3">
        <v>18560</v>
      </c>
      <c r="N942" t="str" cm="1">
        <f t="array" ref="N942">_xlfn.IFS(Table1_36[[#This Row],[Patient Satisfaction Score]]&gt;=83,"High",H942&lt;=75,"Low",TRUE,"Moderate")</f>
        <v>Low</v>
      </c>
      <c r="O942" t="str">
        <f t="shared" si="14"/>
        <v>Adult</v>
      </c>
    </row>
    <row r="943" spans="1:15">
      <c r="A943" t="s">
        <v>1011</v>
      </c>
      <c r="B943" t="s">
        <v>25</v>
      </c>
      <c r="C943" t="s">
        <v>26</v>
      </c>
      <c r="D943" t="s">
        <v>16</v>
      </c>
      <c r="E943" s="2">
        <v>31</v>
      </c>
      <c r="F943" t="s">
        <v>34</v>
      </c>
      <c r="G943" t="s">
        <v>70</v>
      </c>
      <c r="H943" s="2">
        <v>83</v>
      </c>
      <c r="I943" s="3">
        <v>1583</v>
      </c>
      <c r="J943" s="4">
        <v>6.04</v>
      </c>
      <c r="K943" s="2">
        <v>34</v>
      </c>
      <c r="L943" s="2">
        <v>4</v>
      </c>
      <c r="M943" s="3">
        <v>7586</v>
      </c>
      <c r="N943" t="str" cm="1">
        <f t="array" ref="N943">_xlfn.IFS(Table1_36[[#This Row],[Patient Satisfaction Score]]&gt;=83,"High",H943&lt;=75,"Low",TRUE,"Moderate")</f>
        <v>High</v>
      </c>
      <c r="O943" t="str">
        <f t="shared" si="14"/>
        <v>Adult</v>
      </c>
    </row>
    <row r="944" spans="1:15">
      <c r="A944" t="s">
        <v>1012</v>
      </c>
      <c r="B944" t="s">
        <v>44</v>
      </c>
      <c r="C944" t="s">
        <v>45</v>
      </c>
      <c r="D944" t="s">
        <v>27</v>
      </c>
      <c r="E944" s="2">
        <v>37</v>
      </c>
      <c r="F944" t="s">
        <v>17</v>
      </c>
      <c r="G944" t="s">
        <v>70</v>
      </c>
      <c r="H944" s="2">
        <v>70</v>
      </c>
      <c r="I944" s="3">
        <v>9938</v>
      </c>
      <c r="J944" s="4">
        <v>22.35</v>
      </c>
      <c r="K944" s="2">
        <v>105</v>
      </c>
      <c r="L944" s="2">
        <v>4</v>
      </c>
      <c r="M944" s="3">
        <v>48548</v>
      </c>
      <c r="N944" t="str" cm="1">
        <f t="array" ref="N944">_xlfn.IFS(Table1_36[[#This Row],[Patient Satisfaction Score]]&gt;=83,"High",H944&lt;=75,"Low",TRUE,"Moderate")</f>
        <v>Low</v>
      </c>
      <c r="O944" t="str">
        <f t="shared" si="14"/>
        <v>Adult</v>
      </c>
    </row>
    <row r="945" spans="1:15">
      <c r="A945" t="s">
        <v>1013</v>
      </c>
      <c r="B945" t="s">
        <v>143</v>
      </c>
      <c r="C945" t="s">
        <v>21</v>
      </c>
      <c r="D945" t="s">
        <v>27</v>
      </c>
      <c r="E945" s="2">
        <v>41</v>
      </c>
      <c r="F945" t="s">
        <v>22</v>
      </c>
      <c r="G945" t="s">
        <v>40</v>
      </c>
      <c r="H945" s="2">
        <v>74</v>
      </c>
      <c r="I945" s="3">
        <v>6558</v>
      </c>
      <c r="J945" s="4">
        <v>17.13</v>
      </c>
      <c r="K945" s="2">
        <v>77</v>
      </c>
      <c r="L945" s="2">
        <v>4</v>
      </c>
      <c r="M945" s="3">
        <v>32543</v>
      </c>
      <c r="N945" t="str" cm="1">
        <f t="array" ref="N945">_xlfn.IFS(Table1_36[[#This Row],[Patient Satisfaction Score]]&gt;=83,"High",H945&lt;=75,"Low",TRUE,"Moderate")</f>
        <v>Low</v>
      </c>
      <c r="O945" t="str">
        <f t="shared" si="14"/>
        <v>Adult</v>
      </c>
    </row>
    <row r="946" spans="1:15">
      <c r="A946" t="s">
        <v>1014</v>
      </c>
      <c r="B946" t="s">
        <v>60</v>
      </c>
      <c r="C946" t="s">
        <v>52</v>
      </c>
      <c r="D946" t="s">
        <v>27</v>
      </c>
      <c r="E946" s="2">
        <v>19</v>
      </c>
      <c r="F946" t="s">
        <v>34</v>
      </c>
      <c r="G946" t="s">
        <v>49</v>
      </c>
      <c r="H946" s="2">
        <v>69</v>
      </c>
      <c r="I946" s="3">
        <v>8786</v>
      </c>
      <c r="J946" s="4">
        <v>13.08</v>
      </c>
      <c r="K946" s="2">
        <v>109</v>
      </c>
      <c r="L946" s="2">
        <v>3</v>
      </c>
      <c r="M946" s="3">
        <v>38392</v>
      </c>
      <c r="N946" t="str" cm="1">
        <f t="array" ref="N946">_xlfn.IFS(Table1_36[[#This Row],[Patient Satisfaction Score]]&gt;=83,"High",H946&lt;=75,"Low",TRUE,"Moderate")</f>
        <v>Low</v>
      </c>
      <c r="O946" t="str">
        <f t="shared" si="14"/>
        <v>Adult</v>
      </c>
    </row>
    <row r="947" spans="1:15">
      <c r="A947" t="s">
        <v>1015</v>
      </c>
      <c r="B947" t="s">
        <v>54</v>
      </c>
      <c r="C947" t="s">
        <v>15</v>
      </c>
      <c r="D947" t="s">
        <v>27</v>
      </c>
      <c r="E947" s="2">
        <v>56</v>
      </c>
      <c r="F947" t="s">
        <v>34</v>
      </c>
      <c r="G947" t="s">
        <v>31</v>
      </c>
      <c r="H947" s="2">
        <v>81</v>
      </c>
      <c r="I947" s="3">
        <v>5016</v>
      </c>
      <c r="J947" s="4">
        <v>9.33</v>
      </c>
      <c r="K947" s="2">
        <v>67</v>
      </c>
      <c r="L947" s="2">
        <v>4</v>
      </c>
      <c r="M947" s="3">
        <v>20983</v>
      </c>
      <c r="N947" t="str" cm="1">
        <f t="array" ref="N947">_xlfn.IFS(Table1_36[[#This Row],[Patient Satisfaction Score]]&gt;=83,"High",H947&lt;=75,"Low",TRUE,"Moderate")</f>
        <v>Moderate</v>
      </c>
      <c r="O947" t="str">
        <f t="shared" si="14"/>
        <v>Adult</v>
      </c>
    </row>
    <row r="948" spans="1:15">
      <c r="A948" t="s">
        <v>1016</v>
      </c>
      <c r="B948" t="s">
        <v>88</v>
      </c>
      <c r="C948" t="s">
        <v>15</v>
      </c>
      <c r="D948" t="s">
        <v>16</v>
      </c>
      <c r="E948" s="2">
        <v>15</v>
      </c>
      <c r="F948" t="s">
        <v>34</v>
      </c>
      <c r="G948" t="s">
        <v>18</v>
      </c>
      <c r="H948" s="2">
        <v>74</v>
      </c>
      <c r="I948" s="3">
        <v>7189</v>
      </c>
      <c r="J948" s="4">
        <v>14.7</v>
      </c>
      <c r="K948" s="2">
        <v>58</v>
      </c>
      <c r="L948" s="2">
        <v>4</v>
      </c>
      <c r="M948" s="3">
        <v>38505</v>
      </c>
      <c r="N948" t="str" cm="1">
        <f t="array" ref="N948">_xlfn.IFS(Table1_36[[#This Row],[Patient Satisfaction Score]]&gt;=83,"High",H948&lt;=75,"Low",TRUE,"Moderate")</f>
        <v>Low</v>
      </c>
      <c r="O948" t="str">
        <f t="shared" si="14"/>
        <v>Pediatric</v>
      </c>
    </row>
    <row r="949" spans="1:15">
      <c r="A949" t="s">
        <v>1017</v>
      </c>
      <c r="B949" t="s">
        <v>36</v>
      </c>
      <c r="C949" t="s">
        <v>21</v>
      </c>
      <c r="D949" t="s">
        <v>27</v>
      </c>
      <c r="E949" s="2">
        <v>43</v>
      </c>
      <c r="F949" t="s">
        <v>17</v>
      </c>
      <c r="G949" t="s">
        <v>18</v>
      </c>
      <c r="H949" s="2">
        <v>71</v>
      </c>
      <c r="I949" s="3">
        <v>7743</v>
      </c>
      <c r="J949" s="4">
        <v>9.42</v>
      </c>
      <c r="K949" s="2">
        <v>118</v>
      </c>
      <c r="L949" s="2">
        <v>3</v>
      </c>
      <c r="M949" s="3">
        <v>39154</v>
      </c>
      <c r="N949" t="str" cm="1">
        <f t="array" ref="N949">_xlfn.IFS(Table1_36[[#This Row],[Patient Satisfaction Score]]&gt;=83,"High",H949&lt;=75,"Low",TRUE,"Moderate")</f>
        <v>Low</v>
      </c>
      <c r="O949" t="str">
        <f t="shared" si="14"/>
        <v>Adult</v>
      </c>
    </row>
    <row r="950" spans="1:15">
      <c r="A950" t="s">
        <v>1018</v>
      </c>
      <c r="B950" t="s">
        <v>143</v>
      </c>
      <c r="C950" t="s">
        <v>21</v>
      </c>
      <c r="D950" t="s">
        <v>16</v>
      </c>
      <c r="E950" s="2">
        <v>29</v>
      </c>
      <c r="F950" t="s">
        <v>17</v>
      </c>
      <c r="G950" t="s">
        <v>49</v>
      </c>
      <c r="H950" s="2">
        <v>75</v>
      </c>
      <c r="I950" s="3">
        <v>3571</v>
      </c>
      <c r="J950" s="4">
        <v>16.34</v>
      </c>
      <c r="K950" s="2">
        <v>80</v>
      </c>
      <c r="L950" s="2">
        <v>4</v>
      </c>
      <c r="M950" s="3">
        <v>13114</v>
      </c>
      <c r="N950" t="str" cm="1">
        <f t="array" ref="N950">_xlfn.IFS(Table1_36[[#This Row],[Patient Satisfaction Score]]&gt;=83,"High",H950&lt;=75,"Low",TRUE,"Moderate")</f>
        <v>Low</v>
      </c>
      <c r="O950" t="str">
        <f t="shared" si="14"/>
        <v>Adult</v>
      </c>
    </row>
    <row r="951" spans="1:15">
      <c r="A951" t="s">
        <v>1019</v>
      </c>
      <c r="B951" t="s">
        <v>20</v>
      </c>
      <c r="C951" t="s">
        <v>21</v>
      </c>
      <c r="D951" t="s">
        <v>27</v>
      </c>
      <c r="E951" s="2">
        <v>34</v>
      </c>
      <c r="F951" t="s">
        <v>17</v>
      </c>
      <c r="G951" t="s">
        <v>49</v>
      </c>
      <c r="H951" s="2">
        <v>85</v>
      </c>
      <c r="I951" s="3">
        <v>7983</v>
      </c>
      <c r="J951" s="4">
        <v>10.28</v>
      </c>
      <c r="K951" s="2">
        <v>65</v>
      </c>
      <c r="L951" s="2">
        <v>4</v>
      </c>
      <c r="M951" s="3">
        <v>21798</v>
      </c>
      <c r="N951" t="str" cm="1">
        <f t="array" ref="N951">_xlfn.IFS(Table1_36[[#This Row],[Patient Satisfaction Score]]&gt;=83,"High",H951&lt;=75,"Low",TRUE,"Moderate")</f>
        <v>High</v>
      </c>
      <c r="O951" t="str">
        <f t="shared" si="14"/>
        <v>Adult</v>
      </c>
    </row>
    <row r="952" spans="1:15">
      <c r="A952" t="s">
        <v>1020</v>
      </c>
      <c r="B952" t="s">
        <v>137</v>
      </c>
      <c r="C952" t="s">
        <v>26</v>
      </c>
      <c r="D952" t="s">
        <v>72</v>
      </c>
      <c r="E952" s="2">
        <v>37</v>
      </c>
      <c r="F952" t="s">
        <v>22</v>
      </c>
      <c r="G952" t="s">
        <v>23</v>
      </c>
      <c r="H952" s="2">
        <v>83</v>
      </c>
      <c r="I952" s="3">
        <v>2415</v>
      </c>
      <c r="J952" s="4">
        <v>7.4</v>
      </c>
      <c r="K952" s="2">
        <v>19</v>
      </c>
      <c r="L952" s="2">
        <v>4</v>
      </c>
      <c r="M952" s="3">
        <v>7111</v>
      </c>
      <c r="N952" t="str" cm="1">
        <f t="array" ref="N952">_xlfn.IFS(Table1_36[[#This Row],[Patient Satisfaction Score]]&gt;=83,"High",H952&lt;=75,"Low",TRUE,"Moderate")</f>
        <v>High</v>
      </c>
      <c r="O952" t="str">
        <f t="shared" si="14"/>
        <v>Adult</v>
      </c>
    </row>
    <row r="953" spans="1:15">
      <c r="A953" t="s">
        <v>1021</v>
      </c>
      <c r="B953" t="s">
        <v>58</v>
      </c>
      <c r="C953" t="s">
        <v>48</v>
      </c>
      <c r="D953" t="s">
        <v>27</v>
      </c>
      <c r="E953" s="2">
        <v>41</v>
      </c>
      <c r="F953" t="s">
        <v>22</v>
      </c>
      <c r="G953" t="s">
        <v>70</v>
      </c>
      <c r="H953" s="2">
        <v>71</v>
      </c>
      <c r="I953" s="3">
        <v>5607</v>
      </c>
      <c r="J953" s="4">
        <v>10.63</v>
      </c>
      <c r="K953" s="2">
        <v>68</v>
      </c>
      <c r="L953" s="2">
        <v>4</v>
      </c>
      <c r="M953" s="3">
        <v>23958</v>
      </c>
      <c r="N953" t="str" cm="1">
        <f t="array" ref="N953">_xlfn.IFS(Table1_36[[#This Row],[Patient Satisfaction Score]]&gt;=83,"High",H953&lt;=75,"Low",TRUE,"Moderate")</f>
        <v>Low</v>
      </c>
      <c r="O953" t="str">
        <f t="shared" si="14"/>
        <v>Adult</v>
      </c>
    </row>
    <row r="954" spans="1:15">
      <c r="A954" t="s">
        <v>1022</v>
      </c>
      <c r="B954" t="s">
        <v>68</v>
      </c>
      <c r="C954" t="s">
        <v>45</v>
      </c>
      <c r="D954" t="s">
        <v>27</v>
      </c>
      <c r="E954" s="2">
        <v>8</v>
      </c>
      <c r="F954" t="s">
        <v>34</v>
      </c>
      <c r="G954" t="s">
        <v>49</v>
      </c>
      <c r="H954" s="2">
        <v>74</v>
      </c>
      <c r="I954" s="3">
        <v>10866</v>
      </c>
      <c r="J954" s="4">
        <v>13.36</v>
      </c>
      <c r="K954" s="2">
        <v>107</v>
      </c>
      <c r="L954" s="2">
        <v>4</v>
      </c>
      <c r="M954" s="3">
        <v>30877</v>
      </c>
      <c r="N954" t="str" cm="1">
        <f t="array" ref="N954">_xlfn.IFS(Table1_36[[#This Row],[Patient Satisfaction Score]]&gt;=83,"High",H954&lt;=75,"Low",TRUE,"Moderate")</f>
        <v>Low</v>
      </c>
      <c r="O954" t="str">
        <f t="shared" si="14"/>
        <v>Pediatric</v>
      </c>
    </row>
    <row r="955" spans="1:15">
      <c r="A955" t="s">
        <v>1023</v>
      </c>
      <c r="B955" t="s">
        <v>84</v>
      </c>
      <c r="C955" t="s">
        <v>21</v>
      </c>
      <c r="D955" t="s">
        <v>16</v>
      </c>
      <c r="E955" s="2">
        <v>39</v>
      </c>
      <c r="F955" t="s">
        <v>17</v>
      </c>
      <c r="G955" t="s">
        <v>49</v>
      </c>
      <c r="H955" s="2">
        <v>74</v>
      </c>
      <c r="I955" s="3">
        <v>3816</v>
      </c>
      <c r="J955" s="4">
        <v>18.02</v>
      </c>
      <c r="K955" s="2">
        <v>105</v>
      </c>
      <c r="L955" s="2">
        <v>3</v>
      </c>
      <c r="M955" s="3">
        <v>16553</v>
      </c>
      <c r="N955" t="str" cm="1">
        <f t="array" ref="N955">_xlfn.IFS(Table1_36[[#This Row],[Patient Satisfaction Score]]&gt;=83,"High",H955&lt;=75,"Low",TRUE,"Moderate")</f>
        <v>Low</v>
      </c>
      <c r="O955" t="str">
        <f t="shared" si="14"/>
        <v>Adult</v>
      </c>
    </row>
    <row r="956" spans="1:15">
      <c r="A956" t="s">
        <v>1024</v>
      </c>
      <c r="B956" t="s">
        <v>135</v>
      </c>
      <c r="C956" t="s">
        <v>48</v>
      </c>
      <c r="D956" t="s">
        <v>16</v>
      </c>
      <c r="E956" s="2">
        <v>40</v>
      </c>
      <c r="F956" t="s">
        <v>34</v>
      </c>
      <c r="G956" t="s">
        <v>70</v>
      </c>
      <c r="H956" s="2">
        <v>81</v>
      </c>
      <c r="I956" s="3">
        <v>6482</v>
      </c>
      <c r="J956" s="4">
        <v>17.28</v>
      </c>
      <c r="K956" s="2">
        <v>46</v>
      </c>
      <c r="L956" s="2">
        <v>4</v>
      </c>
      <c r="M956" s="3">
        <v>32148</v>
      </c>
      <c r="N956" t="str" cm="1">
        <f t="array" ref="N956">_xlfn.IFS(Table1_36[[#This Row],[Patient Satisfaction Score]]&gt;=83,"High",H956&lt;=75,"Low",TRUE,"Moderate")</f>
        <v>Moderate</v>
      </c>
      <c r="O956" t="str">
        <f t="shared" si="14"/>
        <v>Adult</v>
      </c>
    </row>
    <row r="957" spans="1:15">
      <c r="A957" t="s">
        <v>1025</v>
      </c>
      <c r="B957" t="s">
        <v>54</v>
      </c>
      <c r="C957" t="s">
        <v>15</v>
      </c>
      <c r="D957" t="s">
        <v>27</v>
      </c>
      <c r="E957" s="2">
        <v>55</v>
      </c>
      <c r="F957" t="s">
        <v>17</v>
      </c>
      <c r="G957" t="s">
        <v>23</v>
      </c>
      <c r="H957" s="2">
        <v>66</v>
      </c>
      <c r="I957" s="3">
        <v>7661</v>
      </c>
      <c r="J957" s="4">
        <v>12.88</v>
      </c>
      <c r="K957" s="2">
        <v>109</v>
      </c>
      <c r="L957" s="2">
        <v>3</v>
      </c>
      <c r="M957" s="3">
        <v>37101</v>
      </c>
      <c r="N957" t="str" cm="1">
        <f t="array" ref="N957">_xlfn.IFS(Table1_36[[#This Row],[Patient Satisfaction Score]]&gt;=83,"High",H957&lt;=75,"Low",TRUE,"Moderate")</f>
        <v>Low</v>
      </c>
      <c r="O957" t="str">
        <f t="shared" si="14"/>
        <v>Adult</v>
      </c>
    </row>
    <row r="958" spans="1:15">
      <c r="A958" t="s">
        <v>1026</v>
      </c>
      <c r="B958" t="s">
        <v>97</v>
      </c>
      <c r="C958" t="s">
        <v>30</v>
      </c>
      <c r="D958" t="s">
        <v>16</v>
      </c>
      <c r="E958" s="2">
        <v>53</v>
      </c>
      <c r="F958" t="s">
        <v>22</v>
      </c>
      <c r="G958" t="s">
        <v>31</v>
      </c>
      <c r="H958" s="2">
        <v>83</v>
      </c>
      <c r="I958" s="3">
        <v>4245</v>
      </c>
      <c r="J958" s="4">
        <v>16.97</v>
      </c>
      <c r="K958" s="2">
        <v>82</v>
      </c>
      <c r="L958" s="2">
        <v>4</v>
      </c>
      <c r="M958" s="3">
        <v>11884</v>
      </c>
      <c r="N958" t="str" cm="1">
        <f t="array" ref="N958">_xlfn.IFS(Table1_36[[#This Row],[Patient Satisfaction Score]]&gt;=83,"High",H958&lt;=75,"Low",TRUE,"Moderate")</f>
        <v>High</v>
      </c>
      <c r="O958" t="str">
        <f t="shared" si="14"/>
        <v>Adult</v>
      </c>
    </row>
    <row r="959" spans="1:15">
      <c r="A959" t="s">
        <v>1027</v>
      </c>
      <c r="B959" t="s">
        <v>33</v>
      </c>
      <c r="C959" t="s">
        <v>26</v>
      </c>
      <c r="D959" t="s">
        <v>16</v>
      </c>
      <c r="E959" s="2">
        <v>56</v>
      </c>
      <c r="F959" t="s">
        <v>17</v>
      </c>
      <c r="G959" t="s">
        <v>70</v>
      </c>
      <c r="H959" s="2">
        <v>86</v>
      </c>
      <c r="I959" s="3">
        <v>3152</v>
      </c>
      <c r="J959" s="4">
        <v>0</v>
      </c>
      <c r="K959" s="2">
        <v>31</v>
      </c>
      <c r="L959" s="2">
        <v>5</v>
      </c>
      <c r="M959" s="3">
        <v>9071</v>
      </c>
      <c r="N959" t="str" cm="1">
        <f t="array" ref="N959">_xlfn.IFS(Table1_36[[#This Row],[Patient Satisfaction Score]]&gt;=83,"High",H959&lt;=75,"Low",TRUE,"Moderate")</f>
        <v>High</v>
      </c>
      <c r="O959" t="str">
        <f t="shared" si="14"/>
        <v>Adult</v>
      </c>
    </row>
    <row r="960" spans="1:15">
      <c r="A960" t="s">
        <v>1028</v>
      </c>
      <c r="B960" t="s">
        <v>29</v>
      </c>
      <c r="C960" t="s">
        <v>30</v>
      </c>
      <c r="D960" t="s">
        <v>16</v>
      </c>
      <c r="E960" s="2">
        <v>47</v>
      </c>
      <c r="F960" t="s">
        <v>17</v>
      </c>
      <c r="G960" t="s">
        <v>23</v>
      </c>
      <c r="H960" s="2">
        <v>60</v>
      </c>
      <c r="I960" s="3">
        <v>4684</v>
      </c>
      <c r="J960" s="4">
        <v>18.579999999999998</v>
      </c>
      <c r="K960" s="2">
        <v>95</v>
      </c>
      <c r="L960" s="2">
        <v>3</v>
      </c>
      <c r="M960" s="3">
        <v>18236</v>
      </c>
      <c r="N960" t="str" cm="1">
        <f t="array" ref="N960">_xlfn.IFS(Table1_36[[#This Row],[Patient Satisfaction Score]]&gt;=83,"High",H960&lt;=75,"Low",TRUE,"Moderate")</f>
        <v>Low</v>
      </c>
      <c r="O960" t="str">
        <f t="shared" si="14"/>
        <v>Adult</v>
      </c>
    </row>
    <row r="961" spans="1:15">
      <c r="A961" t="s">
        <v>1029</v>
      </c>
      <c r="B961" t="s">
        <v>68</v>
      </c>
      <c r="C961" t="s">
        <v>45</v>
      </c>
      <c r="D961" t="s">
        <v>16</v>
      </c>
      <c r="E961" s="2">
        <v>62</v>
      </c>
      <c r="F961" t="s">
        <v>22</v>
      </c>
      <c r="G961" t="s">
        <v>23</v>
      </c>
      <c r="H961" s="2">
        <v>79</v>
      </c>
      <c r="I961" s="3">
        <v>8644</v>
      </c>
      <c r="J961" s="4">
        <v>21.67</v>
      </c>
      <c r="K961" s="2">
        <v>60</v>
      </c>
      <c r="L961" s="2">
        <v>4</v>
      </c>
      <c r="M961" s="3">
        <v>42582</v>
      </c>
      <c r="N961" t="str" cm="1">
        <f t="array" ref="N961">_xlfn.IFS(Table1_36[[#This Row],[Patient Satisfaction Score]]&gt;=83,"High",H961&lt;=75,"Low",TRUE,"Moderate")</f>
        <v>Moderate</v>
      </c>
      <c r="O961" t="str">
        <f t="shared" si="14"/>
        <v>Adult</v>
      </c>
    </row>
    <row r="962" spans="1:15">
      <c r="A962" t="s">
        <v>1030</v>
      </c>
      <c r="B962" t="s">
        <v>137</v>
      </c>
      <c r="C962" t="s">
        <v>26</v>
      </c>
      <c r="D962" t="s">
        <v>27</v>
      </c>
      <c r="E962" s="2">
        <v>56</v>
      </c>
      <c r="F962" t="s">
        <v>17</v>
      </c>
      <c r="G962" t="s">
        <v>31</v>
      </c>
      <c r="H962" s="2">
        <v>80</v>
      </c>
      <c r="I962" s="3">
        <v>3270</v>
      </c>
      <c r="J962" s="4">
        <v>10.02</v>
      </c>
      <c r="K962" s="2">
        <v>54</v>
      </c>
      <c r="L962" s="2">
        <v>4</v>
      </c>
      <c r="M962" s="3">
        <v>16285</v>
      </c>
      <c r="N962" t="str" cm="1">
        <f t="array" ref="N962">_xlfn.IFS(Table1_36[[#This Row],[Patient Satisfaction Score]]&gt;=83,"High",H962&lt;=75,"Low",TRUE,"Moderate")</f>
        <v>Moderate</v>
      </c>
      <c r="O962" t="str">
        <f t="shared" ref="O962:O1001" si="15">IF(E962&lt;19,"Pediatric","Adult")</f>
        <v>Adult</v>
      </c>
    </row>
    <row r="963" spans="1:15">
      <c r="A963" t="s">
        <v>1031</v>
      </c>
      <c r="B963" t="s">
        <v>33</v>
      </c>
      <c r="C963" t="s">
        <v>26</v>
      </c>
      <c r="D963" t="s">
        <v>16</v>
      </c>
      <c r="E963" s="2">
        <v>34</v>
      </c>
      <c r="F963" t="s">
        <v>34</v>
      </c>
      <c r="G963" t="s">
        <v>70</v>
      </c>
      <c r="H963" s="2">
        <v>74</v>
      </c>
      <c r="I963" s="3">
        <v>2048</v>
      </c>
      <c r="J963" s="4">
        <v>0</v>
      </c>
      <c r="K963" s="2">
        <v>35</v>
      </c>
      <c r="L963" s="2">
        <v>4</v>
      </c>
      <c r="M963" s="3">
        <v>7060</v>
      </c>
      <c r="N963" t="str" cm="1">
        <f t="array" ref="N963">_xlfn.IFS(Table1_36[[#This Row],[Patient Satisfaction Score]]&gt;=83,"High",H963&lt;=75,"Low",TRUE,"Moderate")</f>
        <v>Low</v>
      </c>
      <c r="O963" t="str">
        <f t="shared" si="15"/>
        <v>Adult</v>
      </c>
    </row>
    <row r="964" spans="1:15">
      <c r="A964" t="s">
        <v>1032</v>
      </c>
      <c r="B964" t="s">
        <v>42</v>
      </c>
      <c r="C964" t="s">
        <v>39</v>
      </c>
      <c r="D964" t="s">
        <v>16</v>
      </c>
      <c r="E964" s="2">
        <v>15</v>
      </c>
      <c r="F964" t="s">
        <v>22</v>
      </c>
      <c r="G964" t="s">
        <v>49</v>
      </c>
      <c r="H964" s="2">
        <v>88</v>
      </c>
      <c r="I964" s="3">
        <v>2052</v>
      </c>
      <c r="J964" s="4">
        <v>4.7300000000000004</v>
      </c>
      <c r="K964" s="2">
        <v>52</v>
      </c>
      <c r="L964" s="2">
        <v>5</v>
      </c>
      <c r="M964" s="3">
        <v>11290</v>
      </c>
      <c r="N964" t="str" cm="1">
        <f t="array" ref="N964">_xlfn.IFS(Table1_36[[#This Row],[Patient Satisfaction Score]]&gt;=83,"High",H964&lt;=75,"Low",TRUE,"Moderate")</f>
        <v>High</v>
      </c>
      <c r="O964" t="str">
        <f t="shared" si="15"/>
        <v>Pediatric</v>
      </c>
    </row>
    <row r="965" spans="1:15">
      <c r="A965" t="s">
        <v>1033</v>
      </c>
      <c r="B965" t="s">
        <v>88</v>
      </c>
      <c r="C965" t="s">
        <v>15</v>
      </c>
      <c r="D965" t="s">
        <v>27</v>
      </c>
      <c r="E965" s="2">
        <v>22</v>
      </c>
      <c r="F965" t="s">
        <v>34</v>
      </c>
      <c r="G965" t="s">
        <v>18</v>
      </c>
      <c r="H965" s="2">
        <v>72</v>
      </c>
      <c r="I965" s="3">
        <v>5628</v>
      </c>
      <c r="J965" s="4">
        <v>18.62</v>
      </c>
      <c r="K965" s="2">
        <v>84</v>
      </c>
      <c r="L965" s="2">
        <v>4</v>
      </c>
      <c r="M965" s="3">
        <v>30326</v>
      </c>
      <c r="N965" t="str" cm="1">
        <f t="array" ref="N965">_xlfn.IFS(Table1_36[[#This Row],[Patient Satisfaction Score]]&gt;=83,"High",H965&lt;=75,"Low",TRUE,"Moderate")</f>
        <v>Low</v>
      </c>
      <c r="O965" t="str">
        <f t="shared" si="15"/>
        <v>Adult</v>
      </c>
    </row>
    <row r="966" spans="1:15">
      <c r="A966" t="s">
        <v>1034</v>
      </c>
      <c r="B966" t="s">
        <v>80</v>
      </c>
      <c r="C966" t="s">
        <v>15</v>
      </c>
      <c r="D966" t="s">
        <v>16</v>
      </c>
      <c r="E966" s="2">
        <v>42</v>
      </c>
      <c r="F966" t="s">
        <v>22</v>
      </c>
      <c r="G966" t="s">
        <v>70</v>
      </c>
      <c r="H966" s="2">
        <v>69</v>
      </c>
      <c r="I966" s="3">
        <v>7959</v>
      </c>
      <c r="J966" s="4">
        <v>21.61</v>
      </c>
      <c r="K966" s="2">
        <v>107</v>
      </c>
      <c r="L966" s="2">
        <v>4</v>
      </c>
      <c r="M966" s="3">
        <v>41787</v>
      </c>
      <c r="N966" t="str" cm="1">
        <f t="array" ref="N966">_xlfn.IFS(Table1_36[[#This Row],[Patient Satisfaction Score]]&gt;=83,"High",H966&lt;=75,"Low",TRUE,"Moderate")</f>
        <v>Low</v>
      </c>
      <c r="O966" t="str">
        <f t="shared" si="15"/>
        <v>Adult</v>
      </c>
    </row>
    <row r="967" spans="1:15">
      <c r="A967" t="s">
        <v>1035</v>
      </c>
      <c r="B967" t="s">
        <v>135</v>
      </c>
      <c r="C967" t="s">
        <v>48</v>
      </c>
      <c r="D967" t="s">
        <v>27</v>
      </c>
      <c r="E967" s="2">
        <v>58</v>
      </c>
      <c r="F967" t="s">
        <v>22</v>
      </c>
      <c r="G967" t="s">
        <v>23</v>
      </c>
      <c r="H967" s="2">
        <v>85</v>
      </c>
      <c r="I967" s="3">
        <v>2412</v>
      </c>
      <c r="J967" s="4">
        <v>7.64</v>
      </c>
      <c r="K967" s="2">
        <v>73</v>
      </c>
      <c r="L967" s="2">
        <v>4</v>
      </c>
      <c r="M967" s="3">
        <v>10710</v>
      </c>
      <c r="N967" t="str" cm="1">
        <f t="array" ref="N967">_xlfn.IFS(Table1_36[[#This Row],[Patient Satisfaction Score]]&gt;=83,"High",H967&lt;=75,"Low",TRUE,"Moderate")</f>
        <v>High</v>
      </c>
      <c r="O967" t="str">
        <f t="shared" si="15"/>
        <v>Adult</v>
      </c>
    </row>
    <row r="968" spans="1:15">
      <c r="A968" t="s">
        <v>1036</v>
      </c>
      <c r="B968" t="s">
        <v>78</v>
      </c>
      <c r="C968" t="s">
        <v>15</v>
      </c>
      <c r="D968" t="s">
        <v>27</v>
      </c>
      <c r="E968" s="2">
        <v>42</v>
      </c>
      <c r="F968" t="s">
        <v>22</v>
      </c>
      <c r="G968" t="s">
        <v>18</v>
      </c>
      <c r="H968" s="2">
        <v>81</v>
      </c>
      <c r="I968" s="3">
        <v>10000</v>
      </c>
      <c r="J968" s="4">
        <v>14.12</v>
      </c>
      <c r="K968" s="2">
        <v>58</v>
      </c>
      <c r="L968" s="2">
        <v>5</v>
      </c>
      <c r="M968" s="3">
        <v>31905</v>
      </c>
      <c r="N968" t="str" cm="1">
        <f t="array" ref="N968">_xlfn.IFS(Table1_36[[#This Row],[Patient Satisfaction Score]]&gt;=83,"High",H968&lt;=75,"Low",TRUE,"Moderate")</f>
        <v>Moderate</v>
      </c>
      <c r="O968" t="str">
        <f t="shared" si="15"/>
        <v>Adult</v>
      </c>
    </row>
    <row r="969" spans="1:15">
      <c r="A969" t="s">
        <v>1037</v>
      </c>
      <c r="B969" t="s">
        <v>54</v>
      </c>
      <c r="C969" t="s">
        <v>39</v>
      </c>
      <c r="D969" t="s">
        <v>27</v>
      </c>
      <c r="E969" s="2">
        <v>18</v>
      </c>
      <c r="F969" t="s">
        <v>17</v>
      </c>
      <c r="G969" t="s">
        <v>70</v>
      </c>
      <c r="H969" s="2">
        <v>88</v>
      </c>
      <c r="I969" s="3">
        <v>2608</v>
      </c>
      <c r="J969" s="4">
        <v>8.18</v>
      </c>
      <c r="K969" s="2">
        <v>40</v>
      </c>
      <c r="L969" s="2">
        <v>4</v>
      </c>
      <c r="M969" s="3">
        <v>7730</v>
      </c>
      <c r="N969" t="str" cm="1">
        <f t="array" ref="N969">_xlfn.IFS(Table1_36[[#This Row],[Patient Satisfaction Score]]&gt;=83,"High",H969&lt;=75,"Low",TRUE,"Moderate")</f>
        <v>High</v>
      </c>
      <c r="O969" t="str">
        <f t="shared" si="15"/>
        <v>Pediatric</v>
      </c>
    </row>
    <row r="970" spans="1:15">
      <c r="A970" t="s">
        <v>1038</v>
      </c>
      <c r="B970" t="s">
        <v>150</v>
      </c>
      <c r="C970" t="s">
        <v>48</v>
      </c>
      <c r="D970" t="s">
        <v>16</v>
      </c>
      <c r="E970" s="2">
        <v>39</v>
      </c>
      <c r="F970" t="s">
        <v>34</v>
      </c>
      <c r="G970" t="s">
        <v>49</v>
      </c>
      <c r="H970" s="2">
        <v>90</v>
      </c>
      <c r="I970" s="3">
        <v>7913</v>
      </c>
      <c r="J970" s="4">
        <v>12.41</v>
      </c>
      <c r="K970" s="2">
        <v>44</v>
      </c>
      <c r="L970" s="2">
        <v>4</v>
      </c>
      <c r="M970" s="3">
        <v>36907</v>
      </c>
      <c r="N970" t="str" cm="1">
        <f t="array" ref="N970">_xlfn.IFS(Table1_36[[#This Row],[Patient Satisfaction Score]]&gt;=83,"High",H970&lt;=75,"Low",TRUE,"Moderate")</f>
        <v>High</v>
      </c>
      <c r="O970" t="str">
        <f t="shared" si="15"/>
        <v>Adult</v>
      </c>
    </row>
    <row r="971" spans="1:15">
      <c r="A971" t="s">
        <v>1039</v>
      </c>
      <c r="B971" t="s">
        <v>42</v>
      </c>
      <c r="C971" t="s">
        <v>39</v>
      </c>
      <c r="D971" t="s">
        <v>27</v>
      </c>
      <c r="E971" s="2">
        <v>4</v>
      </c>
      <c r="F971" t="s">
        <v>22</v>
      </c>
      <c r="G971" t="s">
        <v>70</v>
      </c>
      <c r="H971" s="2">
        <v>78</v>
      </c>
      <c r="I971" s="3">
        <v>3308</v>
      </c>
      <c r="J971" s="4">
        <v>14.2</v>
      </c>
      <c r="K971" s="2">
        <v>35</v>
      </c>
      <c r="L971" s="2">
        <v>4</v>
      </c>
      <c r="M971" s="3">
        <v>10896</v>
      </c>
      <c r="N971" t="str" cm="1">
        <f t="array" ref="N971">_xlfn.IFS(Table1_36[[#This Row],[Patient Satisfaction Score]]&gt;=83,"High",H971&lt;=75,"Low",TRUE,"Moderate")</f>
        <v>Moderate</v>
      </c>
      <c r="O971" t="str">
        <f t="shared" si="15"/>
        <v>Pediatric</v>
      </c>
    </row>
    <row r="972" spans="1:15">
      <c r="A972" t="s">
        <v>1040</v>
      </c>
      <c r="B972" t="s">
        <v>185</v>
      </c>
      <c r="C972" t="s">
        <v>52</v>
      </c>
      <c r="D972" t="s">
        <v>16</v>
      </c>
      <c r="E972" s="2">
        <v>9</v>
      </c>
      <c r="F972" t="s">
        <v>22</v>
      </c>
      <c r="G972" t="s">
        <v>70</v>
      </c>
      <c r="H972" s="2">
        <v>78</v>
      </c>
      <c r="I972" s="3">
        <v>5936</v>
      </c>
      <c r="J972" s="4">
        <v>14.23</v>
      </c>
      <c r="K972" s="2">
        <v>114</v>
      </c>
      <c r="L972" s="2">
        <v>4</v>
      </c>
      <c r="M972" s="3">
        <v>20198</v>
      </c>
      <c r="N972" t="str" cm="1">
        <f t="array" ref="N972">_xlfn.IFS(Table1_36[[#This Row],[Patient Satisfaction Score]]&gt;=83,"High",H972&lt;=75,"Low",TRUE,"Moderate")</f>
        <v>Moderate</v>
      </c>
      <c r="O972" t="str">
        <f t="shared" si="15"/>
        <v>Pediatric</v>
      </c>
    </row>
    <row r="973" spans="1:15">
      <c r="A973" t="s">
        <v>1041</v>
      </c>
      <c r="B973" t="s">
        <v>129</v>
      </c>
      <c r="C973" t="s">
        <v>21</v>
      </c>
      <c r="D973" t="s">
        <v>16</v>
      </c>
      <c r="E973" s="2">
        <v>53</v>
      </c>
      <c r="F973" t="s">
        <v>34</v>
      </c>
      <c r="G973" t="s">
        <v>40</v>
      </c>
      <c r="H973" s="2">
        <v>81</v>
      </c>
      <c r="I973" s="3">
        <v>7759</v>
      </c>
      <c r="J973" s="4">
        <v>8.1999999999999993</v>
      </c>
      <c r="K973" s="2">
        <v>89</v>
      </c>
      <c r="L973" s="2">
        <v>4</v>
      </c>
      <c r="M973" s="3">
        <v>21831</v>
      </c>
      <c r="N973" t="str" cm="1">
        <f t="array" ref="N973">_xlfn.IFS(Table1_36[[#This Row],[Patient Satisfaction Score]]&gt;=83,"High",H973&lt;=75,"Low",TRUE,"Moderate")</f>
        <v>Moderate</v>
      </c>
      <c r="O973" t="str">
        <f t="shared" si="15"/>
        <v>Adult</v>
      </c>
    </row>
    <row r="974" spans="1:15">
      <c r="A974" t="s">
        <v>1042</v>
      </c>
      <c r="B974" t="s">
        <v>47</v>
      </c>
      <c r="C974" t="s">
        <v>48</v>
      </c>
      <c r="D974" t="s">
        <v>27</v>
      </c>
      <c r="E974" s="2">
        <v>58</v>
      </c>
      <c r="F974" t="s">
        <v>22</v>
      </c>
      <c r="G974" t="s">
        <v>70</v>
      </c>
      <c r="H974" s="2">
        <v>77</v>
      </c>
      <c r="I974" s="3">
        <v>4528</v>
      </c>
      <c r="J974" s="4">
        <v>20.79</v>
      </c>
      <c r="K974" s="2">
        <v>94</v>
      </c>
      <c r="L974" s="2">
        <v>4</v>
      </c>
      <c r="M974" s="3">
        <v>20564</v>
      </c>
      <c r="N974" t="str" cm="1">
        <f t="array" ref="N974">_xlfn.IFS(Table1_36[[#This Row],[Patient Satisfaction Score]]&gt;=83,"High",H974&lt;=75,"Low",TRUE,"Moderate")</f>
        <v>Moderate</v>
      </c>
      <c r="O974" t="str">
        <f t="shared" si="15"/>
        <v>Adult</v>
      </c>
    </row>
    <row r="975" spans="1:15">
      <c r="A975" t="s">
        <v>1043</v>
      </c>
      <c r="B975" t="s">
        <v>20</v>
      </c>
      <c r="C975" t="s">
        <v>21</v>
      </c>
      <c r="D975" t="s">
        <v>16</v>
      </c>
      <c r="E975" s="2">
        <v>1</v>
      </c>
      <c r="F975" t="s">
        <v>34</v>
      </c>
      <c r="G975" t="s">
        <v>31</v>
      </c>
      <c r="H975" s="2">
        <v>70</v>
      </c>
      <c r="I975" s="3">
        <v>6579</v>
      </c>
      <c r="J975" s="4">
        <v>8.51</v>
      </c>
      <c r="K975" s="2">
        <v>127</v>
      </c>
      <c r="L975" s="2">
        <v>3</v>
      </c>
      <c r="M975" s="3">
        <v>39028</v>
      </c>
      <c r="N975" t="str" cm="1">
        <f t="array" ref="N975">_xlfn.IFS(Table1_36[[#This Row],[Patient Satisfaction Score]]&gt;=83,"High",H975&lt;=75,"Low",TRUE,"Moderate")</f>
        <v>Low</v>
      </c>
      <c r="O975" t="str">
        <f t="shared" si="15"/>
        <v>Pediatric</v>
      </c>
    </row>
    <row r="976" spans="1:15">
      <c r="A976" t="s">
        <v>1044</v>
      </c>
      <c r="B976" t="s">
        <v>20</v>
      </c>
      <c r="C976" t="s">
        <v>21</v>
      </c>
      <c r="D976" t="s">
        <v>27</v>
      </c>
      <c r="E976" s="2">
        <v>31</v>
      </c>
      <c r="F976" t="s">
        <v>34</v>
      </c>
      <c r="G976" t="s">
        <v>40</v>
      </c>
      <c r="H976" s="2">
        <v>76</v>
      </c>
      <c r="I976" s="3">
        <v>6985</v>
      </c>
      <c r="J976" s="4">
        <v>20.82</v>
      </c>
      <c r="K976" s="2">
        <v>49</v>
      </c>
      <c r="L976" s="2">
        <v>4</v>
      </c>
      <c r="M976" s="3">
        <v>31442</v>
      </c>
      <c r="N976" t="str" cm="1">
        <f t="array" ref="N976">_xlfn.IFS(Table1_36[[#This Row],[Patient Satisfaction Score]]&gt;=83,"High",H976&lt;=75,"Low",TRUE,"Moderate")</f>
        <v>Moderate</v>
      </c>
      <c r="O976" t="str">
        <f t="shared" si="15"/>
        <v>Adult</v>
      </c>
    </row>
    <row r="977" spans="1:15">
      <c r="A977" t="s">
        <v>1045</v>
      </c>
      <c r="B977" t="s">
        <v>97</v>
      </c>
      <c r="C977" t="s">
        <v>30</v>
      </c>
      <c r="D977" t="s">
        <v>27</v>
      </c>
      <c r="E977" s="2">
        <v>28</v>
      </c>
      <c r="F977" t="s">
        <v>22</v>
      </c>
      <c r="G977" t="s">
        <v>23</v>
      </c>
      <c r="H977" s="2">
        <v>73</v>
      </c>
      <c r="I977" s="3">
        <v>3005</v>
      </c>
      <c r="J977" s="4">
        <v>16.59</v>
      </c>
      <c r="K977" s="2">
        <v>95</v>
      </c>
      <c r="L977" s="2">
        <v>4</v>
      </c>
      <c r="M977" s="3">
        <v>13693</v>
      </c>
      <c r="N977" t="str" cm="1">
        <f t="array" ref="N977">_xlfn.IFS(Table1_36[[#This Row],[Patient Satisfaction Score]]&gt;=83,"High",H977&lt;=75,"Low",TRUE,"Moderate")</f>
        <v>Low</v>
      </c>
      <c r="O977" t="str">
        <f t="shared" si="15"/>
        <v>Adult</v>
      </c>
    </row>
    <row r="978" spans="1:15">
      <c r="A978" t="s">
        <v>1046</v>
      </c>
      <c r="B978" t="s">
        <v>54</v>
      </c>
      <c r="C978" t="s">
        <v>15</v>
      </c>
      <c r="D978" t="s">
        <v>27</v>
      </c>
      <c r="E978" s="2">
        <v>37</v>
      </c>
      <c r="F978" t="s">
        <v>22</v>
      </c>
      <c r="G978" t="s">
        <v>70</v>
      </c>
      <c r="H978" s="2">
        <v>69</v>
      </c>
      <c r="I978" s="3">
        <v>5461</v>
      </c>
      <c r="J978" s="4">
        <v>23.19</v>
      </c>
      <c r="K978" s="2">
        <v>84</v>
      </c>
      <c r="L978" s="2">
        <v>3</v>
      </c>
      <c r="M978" s="3">
        <v>26153</v>
      </c>
      <c r="N978" t="str" cm="1">
        <f t="array" ref="N978">_xlfn.IFS(Table1_36[[#This Row],[Patient Satisfaction Score]]&gt;=83,"High",H978&lt;=75,"Low",TRUE,"Moderate")</f>
        <v>Low</v>
      </c>
      <c r="O978" t="str">
        <f t="shared" si="15"/>
        <v>Adult</v>
      </c>
    </row>
    <row r="979" spans="1:15">
      <c r="A979" t="s">
        <v>1047</v>
      </c>
      <c r="B979" t="s">
        <v>14</v>
      </c>
      <c r="C979" t="s">
        <v>15</v>
      </c>
      <c r="D979" t="s">
        <v>27</v>
      </c>
      <c r="E979" s="2">
        <v>20</v>
      </c>
      <c r="F979" t="s">
        <v>34</v>
      </c>
      <c r="G979" t="s">
        <v>23</v>
      </c>
      <c r="H979" s="2">
        <v>77</v>
      </c>
      <c r="I979" s="3">
        <v>7872</v>
      </c>
      <c r="J979" s="4">
        <v>23.24</v>
      </c>
      <c r="K979" s="2">
        <v>78</v>
      </c>
      <c r="L979" s="2">
        <v>4</v>
      </c>
      <c r="M979" s="3">
        <v>22848</v>
      </c>
      <c r="N979" t="str" cm="1">
        <f t="array" ref="N979">_xlfn.IFS(Table1_36[[#This Row],[Patient Satisfaction Score]]&gt;=83,"High",H979&lt;=75,"Low",TRUE,"Moderate")</f>
        <v>Moderate</v>
      </c>
      <c r="O979" t="str">
        <f t="shared" si="15"/>
        <v>Adult</v>
      </c>
    </row>
    <row r="980" spans="1:15">
      <c r="A980" t="s">
        <v>1048</v>
      </c>
      <c r="B980" t="s">
        <v>187</v>
      </c>
      <c r="C980" t="s">
        <v>30</v>
      </c>
      <c r="D980" t="s">
        <v>16</v>
      </c>
      <c r="E980" s="2">
        <v>34</v>
      </c>
      <c r="F980" t="s">
        <v>34</v>
      </c>
      <c r="G980" t="s">
        <v>49</v>
      </c>
      <c r="H980" s="2">
        <v>64</v>
      </c>
      <c r="I980" s="3">
        <v>2611</v>
      </c>
      <c r="J980" s="4">
        <v>24.14</v>
      </c>
      <c r="K980" s="2">
        <v>146</v>
      </c>
      <c r="L980" s="2">
        <v>3</v>
      </c>
      <c r="M980" s="3">
        <v>15320</v>
      </c>
      <c r="N980" t="str" cm="1">
        <f t="array" ref="N980">_xlfn.IFS(Table1_36[[#This Row],[Patient Satisfaction Score]]&gt;=83,"High",H980&lt;=75,"Low",TRUE,"Moderate")</f>
        <v>Low</v>
      </c>
      <c r="O980" t="str">
        <f t="shared" si="15"/>
        <v>Adult</v>
      </c>
    </row>
    <row r="981" spans="1:15">
      <c r="A981" t="s">
        <v>1049</v>
      </c>
      <c r="B981" t="s">
        <v>47</v>
      </c>
      <c r="C981" t="s">
        <v>48</v>
      </c>
      <c r="D981" t="s">
        <v>27</v>
      </c>
      <c r="E981" s="2">
        <v>39</v>
      </c>
      <c r="F981" t="s">
        <v>17</v>
      </c>
      <c r="G981" t="s">
        <v>31</v>
      </c>
      <c r="H981" s="2">
        <v>72</v>
      </c>
      <c r="I981" s="3">
        <v>5512</v>
      </c>
      <c r="J981" s="4">
        <v>5.65</v>
      </c>
      <c r="K981" s="2">
        <v>84</v>
      </c>
      <c r="L981" s="2">
        <v>4</v>
      </c>
      <c r="M981" s="3">
        <v>14074</v>
      </c>
      <c r="N981" t="str" cm="1">
        <f t="array" ref="N981">_xlfn.IFS(Table1_36[[#This Row],[Patient Satisfaction Score]]&gt;=83,"High",H981&lt;=75,"Low",TRUE,"Moderate")</f>
        <v>Low</v>
      </c>
      <c r="O981" t="str">
        <f t="shared" si="15"/>
        <v>Adult</v>
      </c>
    </row>
    <row r="982" spans="1:15">
      <c r="A982" t="s">
        <v>1050</v>
      </c>
      <c r="B982" t="s">
        <v>168</v>
      </c>
      <c r="C982" t="s">
        <v>45</v>
      </c>
      <c r="D982" t="s">
        <v>27</v>
      </c>
      <c r="E982" s="2">
        <v>30</v>
      </c>
      <c r="F982" t="s">
        <v>22</v>
      </c>
      <c r="G982" t="s">
        <v>49</v>
      </c>
      <c r="H982" s="2">
        <v>79</v>
      </c>
      <c r="I982" s="3">
        <v>6743</v>
      </c>
      <c r="J982" s="4">
        <v>16.14</v>
      </c>
      <c r="K982" s="2">
        <v>76</v>
      </c>
      <c r="L982" s="2">
        <v>4</v>
      </c>
      <c r="M982" s="3">
        <v>18868</v>
      </c>
      <c r="N982" t="str" cm="1">
        <f t="array" ref="N982">_xlfn.IFS(Table1_36[[#This Row],[Patient Satisfaction Score]]&gt;=83,"High",H982&lt;=75,"Low",TRUE,"Moderate")</f>
        <v>Moderate</v>
      </c>
      <c r="O982" t="str">
        <f t="shared" si="15"/>
        <v>Adult</v>
      </c>
    </row>
    <row r="983" spans="1:15">
      <c r="A983" t="s">
        <v>1051</v>
      </c>
      <c r="B983" t="s">
        <v>135</v>
      </c>
      <c r="C983" t="s">
        <v>48</v>
      </c>
      <c r="D983" t="s">
        <v>27</v>
      </c>
      <c r="E983" s="2">
        <v>71</v>
      </c>
      <c r="F983" t="s">
        <v>22</v>
      </c>
      <c r="G983" t="s">
        <v>49</v>
      </c>
      <c r="H983" s="2">
        <v>77</v>
      </c>
      <c r="I983" s="3">
        <v>6172</v>
      </c>
      <c r="J983" s="4">
        <v>11.66</v>
      </c>
      <c r="K983" s="2">
        <v>100</v>
      </c>
      <c r="L983" s="2">
        <v>4</v>
      </c>
      <c r="M983" s="3">
        <v>31972</v>
      </c>
      <c r="N983" t="str" cm="1">
        <f t="array" ref="N983">_xlfn.IFS(Table1_36[[#This Row],[Patient Satisfaction Score]]&gt;=83,"High",H983&lt;=75,"Low",TRUE,"Moderate")</f>
        <v>Moderate</v>
      </c>
      <c r="O983" t="str">
        <f t="shared" si="15"/>
        <v>Adult</v>
      </c>
    </row>
    <row r="984" spans="1:15">
      <c r="A984" t="s">
        <v>1052</v>
      </c>
      <c r="B984" t="s">
        <v>95</v>
      </c>
      <c r="C984" t="s">
        <v>52</v>
      </c>
      <c r="D984" t="s">
        <v>27</v>
      </c>
      <c r="E984" s="2">
        <v>45</v>
      </c>
      <c r="F984" t="s">
        <v>17</v>
      </c>
      <c r="G984" t="s">
        <v>40</v>
      </c>
      <c r="H984" s="2">
        <v>80</v>
      </c>
      <c r="I984" s="3">
        <v>6955</v>
      </c>
      <c r="J984" s="4">
        <v>11.8</v>
      </c>
      <c r="K984" s="2">
        <v>62</v>
      </c>
      <c r="L984" s="2">
        <v>4</v>
      </c>
      <c r="M984" s="3">
        <v>28795</v>
      </c>
      <c r="N984" t="str" cm="1">
        <f t="array" ref="N984">_xlfn.IFS(Table1_36[[#This Row],[Patient Satisfaction Score]]&gt;=83,"High",H984&lt;=75,"Low",TRUE,"Moderate")</f>
        <v>Moderate</v>
      </c>
      <c r="O984" t="str">
        <f t="shared" si="15"/>
        <v>Adult</v>
      </c>
    </row>
    <row r="985" spans="1:15">
      <c r="A985" t="s">
        <v>1053</v>
      </c>
      <c r="B985" t="s">
        <v>51</v>
      </c>
      <c r="C985" t="s">
        <v>52</v>
      </c>
      <c r="D985" t="s">
        <v>72</v>
      </c>
      <c r="E985" s="2">
        <v>19</v>
      </c>
      <c r="F985" t="s">
        <v>17</v>
      </c>
      <c r="G985" t="s">
        <v>40</v>
      </c>
      <c r="H985" s="2">
        <v>75</v>
      </c>
      <c r="I985" s="3">
        <v>6832</v>
      </c>
      <c r="J985" s="4">
        <v>6.89</v>
      </c>
      <c r="K985" s="2">
        <v>84</v>
      </c>
      <c r="L985" s="2">
        <v>3</v>
      </c>
      <c r="M985" s="3">
        <v>40327</v>
      </c>
      <c r="N985" t="str" cm="1">
        <f t="array" ref="N985">_xlfn.IFS(Table1_36[[#This Row],[Patient Satisfaction Score]]&gt;=83,"High",H985&lt;=75,"Low",TRUE,"Moderate")</f>
        <v>Low</v>
      </c>
      <c r="O985" t="str">
        <f t="shared" si="15"/>
        <v>Adult</v>
      </c>
    </row>
    <row r="986" spans="1:15">
      <c r="A986" t="s">
        <v>1054</v>
      </c>
      <c r="B986" t="s">
        <v>25</v>
      </c>
      <c r="C986" t="s">
        <v>26</v>
      </c>
      <c r="D986" t="s">
        <v>16</v>
      </c>
      <c r="E986" s="2">
        <v>54</v>
      </c>
      <c r="F986" t="s">
        <v>34</v>
      </c>
      <c r="G986" t="s">
        <v>49</v>
      </c>
      <c r="H986" s="2">
        <v>90</v>
      </c>
      <c r="I986" s="3">
        <v>2381</v>
      </c>
      <c r="J986" s="4">
        <v>6.87</v>
      </c>
      <c r="K986" s="2">
        <v>30</v>
      </c>
      <c r="L986" s="2">
        <v>4</v>
      </c>
      <c r="M986" s="3">
        <v>11890</v>
      </c>
      <c r="N986" t="str" cm="1">
        <f t="array" ref="N986">_xlfn.IFS(Table1_36[[#This Row],[Patient Satisfaction Score]]&gt;=83,"High",H986&lt;=75,"Low",TRUE,"Moderate")</f>
        <v>High</v>
      </c>
      <c r="O986" t="str">
        <f t="shared" si="15"/>
        <v>Adult</v>
      </c>
    </row>
    <row r="987" spans="1:15">
      <c r="A987" t="s">
        <v>1055</v>
      </c>
      <c r="B987" t="s">
        <v>95</v>
      </c>
      <c r="C987" t="s">
        <v>52</v>
      </c>
      <c r="D987" t="s">
        <v>27</v>
      </c>
      <c r="E987" s="2">
        <v>22</v>
      </c>
      <c r="F987" t="s">
        <v>22</v>
      </c>
      <c r="G987" t="s">
        <v>23</v>
      </c>
      <c r="H987" s="2">
        <v>73</v>
      </c>
      <c r="I987" s="3">
        <v>7870</v>
      </c>
      <c r="J987" s="4">
        <v>17.2</v>
      </c>
      <c r="K987" s="2">
        <v>103</v>
      </c>
      <c r="L987" s="2">
        <v>4</v>
      </c>
      <c r="M987" s="3">
        <v>31364</v>
      </c>
      <c r="N987" t="str" cm="1">
        <f t="array" ref="N987">_xlfn.IFS(Table1_36[[#This Row],[Patient Satisfaction Score]]&gt;=83,"High",H987&lt;=75,"Low",TRUE,"Moderate")</f>
        <v>Low</v>
      </c>
      <c r="O987" t="str">
        <f t="shared" si="15"/>
        <v>Adult</v>
      </c>
    </row>
    <row r="988" spans="1:15">
      <c r="A988" t="s">
        <v>1056</v>
      </c>
      <c r="B988" t="s">
        <v>78</v>
      </c>
      <c r="C988" t="s">
        <v>15</v>
      </c>
      <c r="D988" t="s">
        <v>27</v>
      </c>
      <c r="E988" s="2">
        <v>40</v>
      </c>
      <c r="F988" t="s">
        <v>22</v>
      </c>
      <c r="G988" t="s">
        <v>49</v>
      </c>
      <c r="H988" s="2">
        <v>87</v>
      </c>
      <c r="I988" s="3">
        <v>6421</v>
      </c>
      <c r="J988" s="4">
        <v>16.13</v>
      </c>
      <c r="K988" s="2">
        <v>61</v>
      </c>
      <c r="L988" s="2">
        <v>4</v>
      </c>
      <c r="M988" s="3">
        <v>31335</v>
      </c>
      <c r="N988" t="str" cm="1">
        <f t="array" ref="N988">_xlfn.IFS(Table1_36[[#This Row],[Patient Satisfaction Score]]&gt;=83,"High",H988&lt;=75,"Low",TRUE,"Moderate")</f>
        <v>High</v>
      </c>
      <c r="O988" t="str">
        <f t="shared" si="15"/>
        <v>Adult</v>
      </c>
    </row>
    <row r="989" spans="1:15">
      <c r="A989" t="s">
        <v>1057</v>
      </c>
      <c r="B989" t="s">
        <v>25</v>
      </c>
      <c r="C989" t="s">
        <v>39</v>
      </c>
      <c r="D989" t="s">
        <v>72</v>
      </c>
      <c r="E989" s="2">
        <v>6</v>
      </c>
      <c r="F989" t="s">
        <v>34</v>
      </c>
      <c r="G989" t="s">
        <v>18</v>
      </c>
      <c r="H989" s="2">
        <v>85</v>
      </c>
      <c r="I989" s="3">
        <v>3024</v>
      </c>
      <c r="J989" s="4">
        <v>6.63</v>
      </c>
      <c r="K989" s="2">
        <v>64</v>
      </c>
      <c r="L989" s="2">
        <v>5</v>
      </c>
      <c r="M989" s="3">
        <v>10988</v>
      </c>
      <c r="N989" t="str" cm="1">
        <f t="array" ref="N989">_xlfn.IFS(Table1_36[[#This Row],[Patient Satisfaction Score]]&gt;=83,"High",H989&lt;=75,"Low",TRUE,"Moderate")</f>
        <v>High</v>
      </c>
      <c r="O989" t="str">
        <f t="shared" si="15"/>
        <v>Pediatric</v>
      </c>
    </row>
    <row r="990" spans="1:15">
      <c r="A990" t="s">
        <v>1058</v>
      </c>
      <c r="B990" t="s">
        <v>185</v>
      </c>
      <c r="C990" t="s">
        <v>52</v>
      </c>
      <c r="D990" t="s">
        <v>16</v>
      </c>
      <c r="E990" s="2">
        <v>65</v>
      </c>
      <c r="F990" t="s">
        <v>22</v>
      </c>
      <c r="G990" t="s">
        <v>23</v>
      </c>
      <c r="H990" s="2">
        <v>79</v>
      </c>
      <c r="I990" s="3">
        <v>10791</v>
      </c>
      <c r="J990" s="4">
        <v>17.440000000000001</v>
      </c>
      <c r="K990" s="2">
        <v>78</v>
      </c>
      <c r="L990" s="2">
        <v>4</v>
      </c>
      <c r="M990" s="3">
        <v>42011</v>
      </c>
      <c r="N990" t="str" cm="1">
        <f t="array" ref="N990">_xlfn.IFS(Table1_36[[#This Row],[Patient Satisfaction Score]]&gt;=83,"High",H990&lt;=75,"Low",TRUE,"Moderate")</f>
        <v>Moderate</v>
      </c>
      <c r="O990" t="str">
        <f t="shared" si="15"/>
        <v>Adult</v>
      </c>
    </row>
    <row r="991" spans="1:15">
      <c r="A991" t="s">
        <v>1059</v>
      </c>
      <c r="B991" t="s">
        <v>135</v>
      </c>
      <c r="C991" t="s">
        <v>48</v>
      </c>
      <c r="D991" t="s">
        <v>27</v>
      </c>
      <c r="E991" s="2">
        <v>73</v>
      </c>
      <c r="F991" t="s">
        <v>17</v>
      </c>
      <c r="G991" t="s">
        <v>49</v>
      </c>
      <c r="H991" s="2">
        <v>84</v>
      </c>
      <c r="I991" s="3">
        <v>4341</v>
      </c>
      <c r="J991" s="4">
        <v>5.76</v>
      </c>
      <c r="K991" s="2">
        <v>76</v>
      </c>
      <c r="L991" s="2">
        <v>4</v>
      </c>
      <c r="M991" s="3">
        <v>17130</v>
      </c>
      <c r="N991" t="str" cm="1">
        <f t="array" ref="N991">_xlfn.IFS(Table1_36[[#This Row],[Patient Satisfaction Score]]&gt;=83,"High",H991&lt;=75,"Low",TRUE,"Moderate")</f>
        <v>High</v>
      </c>
      <c r="O991" t="str">
        <f t="shared" si="15"/>
        <v>Adult</v>
      </c>
    </row>
    <row r="992" spans="1:15">
      <c r="A992" t="s">
        <v>1060</v>
      </c>
      <c r="B992" t="s">
        <v>78</v>
      </c>
      <c r="C992" t="s">
        <v>15</v>
      </c>
      <c r="D992" t="s">
        <v>27</v>
      </c>
      <c r="E992" s="2">
        <v>78</v>
      </c>
      <c r="F992" t="s">
        <v>17</v>
      </c>
      <c r="G992" t="s">
        <v>49</v>
      </c>
      <c r="H992" s="2">
        <v>83</v>
      </c>
      <c r="I992" s="3">
        <v>7206</v>
      </c>
      <c r="J992" s="4">
        <v>13.28</v>
      </c>
      <c r="K992" s="2">
        <v>67</v>
      </c>
      <c r="L992" s="2">
        <v>4</v>
      </c>
      <c r="M992" s="3">
        <v>22315</v>
      </c>
      <c r="N992" t="str" cm="1">
        <f t="array" ref="N992">_xlfn.IFS(Table1_36[[#This Row],[Patient Satisfaction Score]]&gt;=83,"High",H992&lt;=75,"Low",TRUE,"Moderate")</f>
        <v>High</v>
      </c>
      <c r="O992" t="str">
        <f t="shared" si="15"/>
        <v>Adult</v>
      </c>
    </row>
    <row r="993" spans="1:15">
      <c r="A993" t="s">
        <v>1061</v>
      </c>
      <c r="B993" t="s">
        <v>47</v>
      </c>
      <c r="C993" t="s">
        <v>48</v>
      </c>
      <c r="D993" t="s">
        <v>16</v>
      </c>
      <c r="E993" s="2">
        <v>50</v>
      </c>
      <c r="F993" t="s">
        <v>22</v>
      </c>
      <c r="G993" t="s">
        <v>40</v>
      </c>
      <c r="H993" s="2">
        <v>80</v>
      </c>
      <c r="I993" s="3">
        <v>5952</v>
      </c>
      <c r="J993" s="4">
        <v>16.14</v>
      </c>
      <c r="K993" s="2">
        <v>89</v>
      </c>
      <c r="L993" s="2">
        <v>4</v>
      </c>
      <c r="M993" s="3">
        <v>33626</v>
      </c>
      <c r="N993" t="str" cm="1">
        <f t="array" ref="N993">_xlfn.IFS(Table1_36[[#This Row],[Patient Satisfaction Score]]&gt;=83,"High",H993&lt;=75,"Low",TRUE,"Moderate")</f>
        <v>Moderate</v>
      </c>
      <c r="O993" t="str">
        <f t="shared" si="15"/>
        <v>Adult</v>
      </c>
    </row>
    <row r="994" spans="1:15">
      <c r="A994" t="s">
        <v>1062</v>
      </c>
      <c r="B994" t="s">
        <v>168</v>
      </c>
      <c r="C994" t="s">
        <v>45</v>
      </c>
      <c r="D994" t="s">
        <v>16</v>
      </c>
      <c r="E994" s="2">
        <v>10</v>
      </c>
      <c r="F994" t="s">
        <v>17</v>
      </c>
      <c r="G994" t="s">
        <v>40</v>
      </c>
      <c r="H994" s="2">
        <v>74</v>
      </c>
      <c r="I994" s="3">
        <v>6177</v>
      </c>
      <c r="J994" s="4">
        <v>11.03</v>
      </c>
      <c r="K994" s="2">
        <v>87</v>
      </c>
      <c r="L994" s="2">
        <v>3</v>
      </c>
      <c r="M994" s="3">
        <v>34058</v>
      </c>
      <c r="N994" t="str" cm="1">
        <f t="array" ref="N994">_xlfn.IFS(Table1_36[[#This Row],[Patient Satisfaction Score]]&gt;=83,"High",H994&lt;=75,"Low",TRUE,"Moderate")</f>
        <v>Low</v>
      </c>
      <c r="O994" t="str">
        <f t="shared" si="15"/>
        <v>Pediatric</v>
      </c>
    </row>
    <row r="995" spans="1:15">
      <c r="A995" t="s">
        <v>1063</v>
      </c>
      <c r="B995" t="s">
        <v>168</v>
      </c>
      <c r="C995" t="s">
        <v>45</v>
      </c>
      <c r="D995" t="s">
        <v>16</v>
      </c>
      <c r="E995" s="2">
        <v>49</v>
      </c>
      <c r="F995" t="s">
        <v>17</v>
      </c>
      <c r="G995" t="s">
        <v>70</v>
      </c>
      <c r="H995" s="2">
        <v>77</v>
      </c>
      <c r="I995" s="3">
        <v>8122</v>
      </c>
      <c r="J995" s="4">
        <v>12.9</v>
      </c>
      <c r="K995" s="2">
        <v>85</v>
      </c>
      <c r="L995" s="2">
        <v>4</v>
      </c>
      <c r="M995" s="3">
        <v>42148</v>
      </c>
      <c r="N995" t="str" cm="1">
        <f t="array" ref="N995">_xlfn.IFS(Table1_36[[#This Row],[Patient Satisfaction Score]]&gt;=83,"High",H995&lt;=75,"Low",TRUE,"Moderate")</f>
        <v>Moderate</v>
      </c>
      <c r="O995" t="str">
        <f t="shared" si="15"/>
        <v>Adult</v>
      </c>
    </row>
    <row r="996" spans="1:15">
      <c r="A996" t="s">
        <v>1064</v>
      </c>
      <c r="B996" t="s">
        <v>80</v>
      </c>
      <c r="C996" t="s">
        <v>15</v>
      </c>
      <c r="D996" t="s">
        <v>27</v>
      </c>
      <c r="E996" s="2">
        <v>39</v>
      </c>
      <c r="F996" t="s">
        <v>22</v>
      </c>
      <c r="G996" t="s">
        <v>18</v>
      </c>
      <c r="H996" s="2">
        <v>82</v>
      </c>
      <c r="I996" s="3">
        <v>4281</v>
      </c>
      <c r="J996" s="4">
        <v>6.46</v>
      </c>
      <c r="K996" s="2">
        <v>92</v>
      </c>
      <c r="L996" s="2">
        <v>4</v>
      </c>
      <c r="M996" s="3">
        <v>18390</v>
      </c>
      <c r="N996" t="str" cm="1">
        <f t="array" ref="N996">_xlfn.IFS(Table1_36[[#This Row],[Patient Satisfaction Score]]&gt;=83,"High",H996&lt;=75,"Low",TRUE,"Moderate")</f>
        <v>Moderate</v>
      </c>
      <c r="O996" t="str">
        <f t="shared" si="15"/>
        <v>Adult</v>
      </c>
    </row>
    <row r="997" spans="1:15">
      <c r="A997" t="s">
        <v>1065</v>
      </c>
      <c r="B997" t="s">
        <v>62</v>
      </c>
      <c r="C997" t="s">
        <v>52</v>
      </c>
      <c r="D997" t="s">
        <v>27</v>
      </c>
      <c r="E997" s="2">
        <v>63</v>
      </c>
      <c r="F997" t="s">
        <v>34</v>
      </c>
      <c r="G997" t="s">
        <v>49</v>
      </c>
      <c r="H997" s="2">
        <v>78</v>
      </c>
      <c r="I997" s="3">
        <v>7996</v>
      </c>
      <c r="J997" s="4">
        <v>13.95</v>
      </c>
      <c r="K997" s="2">
        <v>88</v>
      </c>
      <c r="L997" s="2">
        <v>4</v>
      </c>
      <c r="M997" s="3">
        <v>35181</v>
      </c>
      <c r="N997" t="str" cm="1">
        <f t="array" ref="N997">_xlfn.IFS(Table1_36[[#This Row],[Patient Satisfaction Score]]&gt;=83,"High",H997&lt;=75,"Low",TRUE,"Moderate")</f>
        <v>Moderate</v>
      </c>
      <c r="O997" t="str">
        <f t="shared" si="15"/>
        <v>Adult</v>
      </c>
    </row>
    <row r="998" spans="1:15">
      <c r="A998" t="s">
        <v>1066</v>
      </c>
      <c r="B998" t="s">
        <v>64</v>
      </c>
      <c r="C998" t="s">
        <v>30</v>
      </c>
      <c r="D998" t="s">
        <v>27</v>
      </c>
      <c r="E998" s="2">
        <v>2</v>
      </c>
      <c r="F998" t="s">
        <v>17</v>
      </c>
      <c r="G998" t="s">
        <v>70</v>
      </c>
      <c r="H998" s="2">
        <v>79</v>
      </c>
      <c r="I998" s="3">
        <v>4994</v>
      </c>
      <c r="J998" s="4">
        <v>19.13</v>
      </c>
      <c r="K998" s="2">
        <v>118</v>
      </c>
      <c r="L998" s="2">
        <v>4</v>
      </c>
      <c r="M998" s="3">
        <v>27538</v>
      </c>
      <c r="N998" t="str" cm="1">
        <f t="array" ref="N998">_xlfn.IFS(Table1_36[[#This Row],[Patient Satisfaction Score]]&gt;=83,"High",H998&lt;=75,"Low",TRUE,"Moderate")</f>
        <v>Moderate</v>
      </c>
      <c r="O998" t="str">
        <f t="shared" si="15"/>
        <v>Pediatric</v>
      </c>
    </row>
    <row r="999" spans="1:15">
      <c r="A999" t="s">
        <v>1067</v>
      </c>
      <c r="B999" t="s">
        <v>38</v>
      </c>
      <c r="C999" t="s">
        <v>39</v>
      </c>
      <c r="D999" t="s">
        <v>16</v>
      </c>
      <c r="E999" s="2">
        <v>7</v>
      </c>
      <c r="F999" t="s">
        <v>17</v>
      </c>
      <c r="G999" t="s">
        <v>70</v>
      </c>
      <c r="H999" s="2">
        <v>92</v>
      </c>
      <c r="I999" s="3">
        <v>4006</v>
      </c>
      <c r="J999" s="4">
        <v>4.71</v>
      </c>
      <c r="K999" s="2">
        <v>36</v>
      </c>
      <c r="L999" s="2">
        <v>4</v>
      </c>
      <c r="M999" s="3">
        <v>22318</v>
      </c>
      <c r="N999" t="str" cm="1">
        <f t="array" ref="N999">_xlfn.IFS(Table1_36[[#This Row],[Patient Satisfaction Score]]&gt;=83,"High",H999&lt;=75,"Low",TRUE,"Moderate")</f>
        <v>High</v>
      </c>
      <c r="O999" t="str">
        <f t="shared" si="15"/>
        <v>Pediatric</v>
      </c>
    </row>
    <row r="1000" spans="1:15">
      <c r="A1000" t="s">
        <v>1068</v>
      </c>
      <c r="B1000" t="s">
        <v>25</v>
      </c>
      <c r="C1000" t="s">
        <v>39</v>
      </c>
      <c r="D1000" t="s">
        <v>27</v>
      </c>
      <c r="E1000" s="2">
        <v>13</v>
      </c>
      <c r="F1000" t="s">
        <v>22</v>
      </c>
      <c r="G1000" t="s">
        <v>40</v>
      </c>
      <c r="H1000" s="2">
        <v>84</v>
      </c>
      <c r="I1000" s="3">
        <v>3721</v>
      </c>
      <c r="J1000" s="4">
        <v>8.0399999999999991</v>
      </c>
      <c r="K1000" s="2">
        <v>56</v>
      </c>
      <c r="L1000" s="2">
        <v>4</v>
      </c>
      <c r="M1000" s="3">
        <v>12910</v>
      </c>
      <c r="N1000" t="str" cm="1">
        <f t="array" ref="N1000">_xlfn.IFS(Table1_36[[#This Row],[Patient Satisfaction Score]]&gt;=83,"High",H1000&lt;=75,"Low",TRUE,"Moderate")</f>
        <v>High</v>
      </c>
      <c r="O1000" t="str">
        <f t="shared" si="15"/>
        <v>Pediatric</v>
      </c>
    </row>
    <row r="1001" spans="1:15">
      <c r="A1001" t="s">
        <v>1069</v>
      </c>
      <c r="B1001" t="s">
        <v>143</v>
      </c>
      <c r="C1001" t="s">
        <v>21</v>
      </c>
      <c r="D1001" t="s">
        <v>16</v>
      </c>
      <c r="E1001" s="2">
        <v>36</v>
      </c>
      <c r="F1001" t="s">
        <v>17</v>
      </c>
      <c r="G1001" t="s">
        <v>18</v>
      </c>
      <c r="H1001" s="2">
        <v>64</v>
      </c>
      <c r="I1001" s="3">
        <v>7953</v>
      </c>
      <c r="J1001" s="4">
        <v>19.79</v>
      </c>
      <c r="K1001" s="2">
        <v>104</v>
      </c>
      <c r="L1001" s="2">
        <v>3</v>
      </c>
      <c r="M1001" s="3">
        <v>42400</v>
      </c>
      <c r="N1001" t="str" cm="1">
        <f t="array" ref="N1001">_xlfn.IFS(Table1_36[[#This Row],[Patient Satisfaction Score]]&gt;=83,"High",H1001&lt;=75,"Low",TRUE,"Moderate")</f>
        <v>Low</v>
      </c>
      <c r="O1001" t="str">
        <f t="shared" si="15"/>
        <v>Adult</v>
      </c>
    </row>
    <row r="1002" spans="1:15">
      <c r="A1002" t="s">
        <v>1070</v>
      </c>
      <c r="G1002" t="s">
        <v>1095</v>
      </c>
      <c r="H1002"/>
      <c r="I1002" s="3">
        <f>SUM(I2:I1001)</f>
        <v>5690406</v>
      </c>
      <c r="J1002"/>
      <c r="K1002"/>
      <c r="M1002" s="46">
        <f>SUBTOTAL(109,Table1_36[Revenue Generated])</f>
        <v>23956217</v>
      </c>
    </row>
    <row r="1003" spans="1:15">
      <c r="L1003"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AG1003"/>
  <sheetViews>
    <sheetView topLeftCell="V1" workbookViewId="0">
      <pane ySplit="1" topLeftCell="A2" activePane="bottomLeft" state="frozen"/>
      <selection pane="bottomLeft" activeCell="AG24" sqref="AG24"/>
    </sheetView>
  </sheetViews>
  <sheetFormatPr defaultColWidth="15.6640625" defaultRowHeight="14.4"/>
  <cols>
    <col min="1" max="4" width="15.6640625" customWidth="1"/>
    <col min="5" max="5" width="8.6640625" customWidth="1"/>
    <col min="6" max="7" width="15.6640625" customWidth="1"/>
    <col min="8" max="8" width="15.6640625" style="2" customWidth="1"/>
    <col min="9" max="9" width="15.6640625" style="3" customWidth="1"/>
    <col min="10" max="10" width="15.6640625" style="4" customWidth="1"/>
    <col min="11" max="11" width="15.6640625" style="2" customWidth="1"/>
    <col min="12" max="12" width="15.6640625" customWidth="1"/>
    <col min="13" max="13" width="15.6640625" style="3" customWidth="1"/>
    <col min="14" max="15" width="21" customWidth="1"/>
    <col min="16" max="16" width="7.44140625" customWidth="1"/>
    <col min="17" max="17" width="22.109375" customWidth="1"/>
    <col min="18" max="18" width="21" customWidth="1"/>
    <col min="19" max="19" width="5.33203125" customWidth="1"/>
    <col min="20" max="20" width="38" customWidth="1"/>
    <col min="21" max="21" width="21" customWidth="1"/>
    <col min="22" max="22" width="6.21875" customWidth="1"/>
    <col min="23" max="26" width="15.6640625" customWidth="1"/>
    <col min="27" max="27" width="11.109375" customWidth="1"/>
    <col min="28" max="16383" width="15.6640625" customWidth="1"/>
  </cols>
  <sheetData>
    <row r="1" spans="1:33" s="1" customFormat="1" ht="43.2">
      <c r="A1" s="1" t="s">
        <v>0</v>
      </c>
      <c r="B1" s="1" t="s">
        <v>1</v>
      </c>
      <c r="C1" s="1" t="s">
        <v>2</v>
      </c>
      <c r="D1" s="1" t="s">
        <v>1076</v>
      </c>
      <c r="E1" s="1" t="s">
        <v>1077</v>
      </c>
      <c r="F1" s="1" t="s">
        <v>1078</v>
      </c>
      <c r="G1" s="1" t="s">
        <v>1079</v>
      </c>
      <c r="H1" s="5" t="s">
        <v>1080</v>
      </c>
      <c r="I1" s="6" t="s">
        <v>1081</v>
      </c>
      <c r="J1" s="7" t="s">
        <v>1082</v>
      </c>
      <c r="K1" s="8" t="s">
        <v>1083</v>
      </c>
      <c r="L1" s="1" t="s">
        <v>1084</v>
      </c>
      <c r="M1" s="9" t="s">
        <v>1085</v>
      </c>
      <c r="N1" s="1" t="s">
        <v>1086</v>
      </c>
      <c r="O1" s="1" t="s">
        <v>1115</v>
      </c>
      <c r="W1" s="10" t="s">
        <v>2</v>
      </c>
      <c r="X1" s="11" t="s">
        <v>1087</v>
      </c>
      <c r="Y1" s="11" t="s">
        <v>1088</v>
      </c>
      <c r="Z1" s="12" t="s">
        <v>1089</v>
      </c>
      <c r="AB1" s="13" t="s">
        <v>2</v>
      </c>
      <c r="AC1" s="14" t="s">
        <v>1090</v>
      </c>
      <c r="AD1" s="14" t="s">
        <v>1071</v>
      </c>
      <c r="AE1" s="14" t="s">
        <v>1072</v>
      </c>
      <c r="AF1" s="14" t="s">
        <v>1073</v>
      </c>
      <c r="AG1" s="14" t="s">
        <v>1074</v>
      </c>
    </row>
    <row r="2" spans="1:33">
      <c r="A2" t="s">
        <v>975</v>
      </c>
      <c r="B2" t="s">
        <v>103</v>
      </c>
      <c r="C2" t="s">
        <v>26</v>
      </c>
      <c r="D2" t="s">
        <v>16</v>
      </c>
      <c r="E2" s="2">
        <v>1</v>
      </c>
      <c r="F2" t="s">
        <v>17</v>
      </c>
      <c r="G2" t="s">
        <v>70</v>
      </c>
      <c r="H2" s="2">
        <v>91</v>
      </c>
      <c r="I2" s="3">
        <v>1430</v>
      </c>
      <c r="J2" s="4">
        <v>4.42</v>
      </c>
      <c r="K2" s="2">
        <v>68</v>
      </c>
      <c r="L2" s="2">
        <v>5</v>
      </c>
      <c r="M2" s="3">
        <v>4672</v>
      </c>
      <c r="N2" t="str" cm="1">
        <f t="array" ref="N2">_xlfn.IFS(Table1_3[[#This Row],[Patient Satisfaction Score]]&gt;=83,"High",H2&lt;=75,"Low",TRUE,"Moderate")</f>
        <v>High</v>
      </c>
      <c r="O2" t="str">
        <f t="shared" ref="O2:O65" si="0">IF(E2&lt;19,"Pediatric","Adult")</f>
        <v>Pediatric</v>
      </c>
      <c r="Q2" s="1"/>
      <c r="R2" s="1"/>
      <c r="T2" s="1"/>
      <c r="U2" s="1"/>
      <c r="W2" s="15" t="s">
        <v>52</v>
      </c>
      <c r="X2" s="15">
        <v>110</v>
      </c>
      <c r="Y2" s="15">
        <v>5</v>
      </c>
      <c r="Z2" s="16">
        <v>22</v>
      </c>
      <c r="AB2" s="17" t="s">
        <v>15</v>
      </c>
      <c r="AC2" s="18">
        <v>133</v>
      </c>
      <c r="AD2" s="18">
        <v>82.218045112781994</v>
      </c>
      <c r="AE2" s="18">
        <v>4129265</v>
      </c>
      <c r="AF2" s="18">
        <v>15.673909774436099</v>
      </c>
      <c r="AG2" s="18">
        <v>7154.4210526315801</v>
      </c>
    </row>
    <row r="3" spans="1:33">
      <c r="A3" t="s">
        <v>991</v>
      </c>
      <c r="B3" t="s">
        <v>25</v>
      </c>
      <c r="C3" t="s">
        <v>26</v>
      </c>
      <c r="D3" t="s">
        <v>16</v>
      </c>
      <c r="E3" s="2">
        <v>1</v>
      </c>
      <c r="F3" t="s">
        <v>17</v>
      </c>
      <c r="G3" t="s">
        <v>31</v>
      </c>
      <c r="H3" s="2">
        <v>86</v>
      </c>
      <c r="I3" s="3">
        <v>2879</v>
      </c>
      <c r="J3" s="4">
        <v>6.07</v>
      </c>
      <c r="K3" s="2">
        <v>36</v>
      </c>
      <c r="L3" s="2">
        <v>4</v>
      </c>
      <c r="M3" s="3">
        <v>8616</v>
      </c>
      <c r="N3" t="str" cm="1">
        <f t="array" ref="N3">_xlfn.IFS(Table1_3[[#This Row],[Patient Satisfaction Score]]&gt;=83,"High",H3&lt;=75,"Low",TRUE,"Moderate")</f>
        <v>High</v>
      </c>
      <c r="O3" t="str">
        <f t="shared" si="0"/>
        <v>Pediatric</v>
      </c>
      <c r="Q3" s="15" t="s">
        <v>1097</v>
      </c>
      <c r="R3" s="15">
        <f>COUNTBLANK(A2:M1001)</f>
        <v>0</v>
      </c>
      <c r="T3" s="15" t="s">
        <v>1104</v>
      </c>
      <c r="U3" s="24">
        <f>SUM(I2:I1001)</f>
        <v>5690406</v>
      </c>
      <c r="W3" s="15" t="s">
        <v>30</v>
      </c>
      <c r="X3" s="15">
        <v>119</v>
      </c>
      <c r="Y3" s="15">
        <v>5</v>
      </c>
      <c r="Z3" s="16">
        <v>23.8</v>
      </c>
      <c r="AB3" s="17" t="s">
        <v>30</v>
      </c>
      <c r="AC3" s="18">
        <v>119</v>
      </c>
      <c r="AD3" s="18">
        <v>108.596638655462</v>
      </c>
      <c r="AE3" s="18">
        <v>1767111</v>
      </c>
      <c r="AF3" s="18">
        <v>18.413025210084001</v>
      </c>
      <c r="AG3" s="18">
        <v>3531.12605042017</v>
      </c>
    </row>
    <row r="4" spans="1:33">
      <c r="A4" t="s">
        <v>712</v>
      </c>
      <c r="B4" t="s">
        <v>135</v>
      </c>
      <c r="C4" t="s">
        <v>48</v>
      </c>
      <c r="D4" t="s">
        <v>27</v>
      </c>
      <c r="E4" s="2">
        <v>1</v>
      </c>
      <c r="F4" t="s">
        <v>22</v>
      </c>
      <c r="G4" t="s">
        <v>40</v>
      </c>
      <c r="H4" s="2">
        <v>77</v>
      </c>
      <c r="I4" s="3">
        <v>6354</v>
      </c>
      <c r="J4" s="4">
        <v>8.89</v>
      </c>
      <c r="K4" s="2">
        <v>115</v>
      </c>
      <c r="L4" s="2">
        <v>4</v>
      </c>
      <c r="M4" s="3">
        <v>29807</v>
      </c>
      <c r="N4" t="str" cm="1">
        <f t="array" ref="N4">_xlfn.IFS(Table1_3[[#This Row],[Patient Satisfaction Score]]&gt;=83,"High",H4&lt;=75,"Low",TRUE,"Moderate")</f>
        <v>Moderate</v>
      </c>
      <c r="O4" t="str">
        <f t="shared" si="0"/>
        <v>Pediatric</v>
      </c>
      <c r="Q4" s="15" t="s">
        <v>1096</v>
      </c>
      <c r="R4" s="15">
        <v>0</v>
      </c>
      <c r="T4" s="15" t="s">
        <v>1105</v>
      </c>
      <c r="U4" s="24">
        <f>SUM(M2:M1001)</f>
        <v>23956217</v>
      </c>
      <c r="W4" s="15" t="s">
        <v>48</v>
      </c>
      <c r="X4" s="15">
        <v>122</v>
      </c>
      <c r="Y4" s="15">
        <v>5</v>
      </c>
      <c r="Z4" s="16">
        <v>24.4</v>
      </c>
      <c r="AB4" s="17" t="s">
        <v>45</v>
      </c>
      <c r="AC4" s="18">
        <v>134</v>
      </c>
      <c r="AD4" s="18">
        <v>92.865671641790996</v>
      </c>
      <c r="AE4" s="18">
        <v>5071782</v>
      </c>
      <c r="AF4" s="18">
        <v>17.097164179104499</v>
      </c>
      <c r="AG4" s="18">
        <v>9032.4701492537297</v>
      </c>
    </row>
    <row r="5" spans="1:33">
      <c r="A5" t="s">
        <v>512</v>
      </c>
      <c r="B5" t="s">
        <v>60</v>
      </c>
      <c r="C5" t="s">
        <v>52</v>
      </c>
      <c r="D5" t="s">
        <v>16</v>
      </c>
      <c r="E5" s="2">
        <v>1</v>
      </c>
      <c r="F5" t="s">
        <v>22</v>
      </c>
      <c r="G5" t="s">
        <v>70</v>
      </c>
      <c r="H5" s="2">
        <v>82</v>
      </c>
      <c r="I5" s="3">
        <v>8725</v>
      </c>
      <c r="J5" s="4">
        <v>10.07</v>
      </c>
      <c r="K5" s="2">
        <v>66</v>
      </c>
      <c r="L5" s="2">
        <v>4</v>
      </c>
      <c r="M5" s="3">
        <v>43639</v>
      </c>
      <c r="N5" t="str" cm="1">
        <f t="array" ref="N5">_xlfn.IFS(Table1_3[[#This Row],[Patient Satisfaction Score]]&gt;=83,"High",H5&lt;=75,"Low",TRUE,"Moderate")</f>
        <v>Moderate</v>
      </c>
      <c r="O5" t="str">
        <f t="shared" si="0"/>
        <v>Pediatric</v>
      </c>
      <c r="Q5" s="15" t="s">
        <v>1098</v>
      </c>
      <c r="R5" s="42">
        <f>COUNTA(_xlfn.UNIQUE(B2:B1001))</f>
        <v>37</v>
      </c>
      <c r="T5" s="15" t="s">
        <v>1120</v>
      </c>
      <c r="U5" s="16">
        <f>AVERAGE(H2:H1001)</f>
        <v>78.698999999999998</v>
      </c>
      <c r="W5" s="15" t="s">
        <v>21</v>
      </c>
      <c r="X5" s="15">
        <v>128</v>
      </c>
      <c r="Y5" s="15">
        <v>5</v>
      </c>
      <c r="Z5" s="16">
        <v>25.6</v>
      </c>
      <c r="AB5" s="17" t="s">
        <v>21</v>
      </c>
      <c r="AC5" s="18">
        <v>128</v>
      </c>
      <c r="AD5" s="18">
        <v>88.15625</v>
      </c>
      <c r="AE5" s="18">
        <v>3490702</v>
      </c>
      <c r="AF5" s="18">
        <v>15.223125</v>
      </c>
      <c r="AG5" s="18">
        <v>6468.28125</v>
      </c>
    </row>
    <row r="6" spans="1:33">
      <c r="A6" t="s">
        <v>695</v>
      </c>
      <c r="B6" t="s">
        <v>95</v>
      </c>
      <c r="C6" t="s">
        <v>52</v>
      </c>
      <c r="D6" t="s">
        <v>16</v>
      </c>
      <c r="E6" s="2">
        <v>1</v>
      </c>
      <c r="F6" t="s">
        <v>17</v>
      </c>
      <c r="G6" t="s">
        <v>31</v>
      </c>
      <c r="H6" s="2">
        <v>76</v>
      </c>
      <c r="I6" s="3">
        <v>7390</v>
      </c>
      <c r="J6" s="4">
        <v>16.190000000000001</v>
      </c>
      <c r="K6" s="2">
        <v>61</v>
      </c>
      <c r="L6" s="2">
        <v>3</v>
      </c>
      <c r="M6" s="3">
        <v>41638</v>
      </c>
      <c r="N6" t="str" cm="1">
        <f t="array" ref="N6">_xlfn.IFS(Table1_3[[#This Row],[Patient Satisfaction Score]]&gt;=83,"High",H6&lt;=75,"Low",TRUE,"Moderate")</f>
        <v>Moderate</v>
      </c>
      <c r="O6" t="str">
        <f t="shared" si="0"/>
        <v>Pediatric</v>
      </c>
      <c r="Q6" s="15" t="s">
        <v>1111</v>
      </c>
      <c r="R6" s="15">
        <f>COUNTIF(D2:D1001,"Female")</f>
        <v>464</v>
      </c>
      <c r="T6" s="15" t="s">
        <v>1106</v>
      </c>
      <c r="U6" s="16">
        <f>AVERAGE(K2:K1001)</f>
        <v>78.465999999999994</v>
      </c>
      <c r="W6" s="15" t="s">
        <v>39</v>
      </c>
      <c r="X6" s="15">
        <v>129</v>
      </c>
      <c r="Y6" s="15">
        <v>5</v>
      </c>
      <c r="Z6" s="16">
        <v>25.8</v>
      </c>
      <c r="AB6" s="17" t="s">
        <v>52</v>
      </c>
      <c r="AC6" s="18">
        <v>110</v>
      </c>
      <c r="AD6" s="18">
        <v>78.272727272727295</v>
      </c>
      <c r="AE6" s="18">
        <v>3549146</v>
      </c>
      <c r="AF6" s="18">
        <v>14.236090909090899</v>
      </c>
      <c r="AG6" s="18">
        <v>7779.8090909090897</v>
      </c>
    </row>
    <row r="7" spans="1:33">
      <c r="A7" t="s">
        <v>782</v>
      </c>
      <c r="B7" t="s">
        <v>95</v>
      </c>
      <c r="C7" t="s">
        <v>52</v>
      </c>
      <c r="D7" t="s">
        <v>27</v>
      </c>
      <c r="E7" s="2">
        <v>1</v>
      </c>
      <c r="F7" t="s">
        <v>34</v>
      </c>
      <c r="G7" t="s">
        <v>18</v>
      </c>
      <c r="H7" s="2">
        <v>65</v>
      </c>
      <c r="I7" s="3">
        <v>7101</v>
      </c>
      <c r="J7" s="4">
        <v>15.92</v>
      </c>
      <c r="K7" s="2">
        <v>69</v>
      </c>
      <c r="L7" s="2">
        <v>4</v>
      </c>
      <c r="M7" s="3">
        <v>33288</v>
      </c>
      <c r="N7" t="str" cm="1">
        <f t="array" ref="N7">_xlfn.IFS(Table1_3[[#This Row],[Patient Satisfaction Score]]&gt;=83,"High",H7&lt;=75,"Low",TRUE,"Moderate")</f>
        <v>Low</v>
      </c>
      <c r="O7" t="str">
        <f t="shared" si="0"/>
        <v>Pediatric</v>
      </c>
      <c r="Q7" s="15" t="s">
        <v>1112</v>
      </c>
      <c r="R7" s="15">
        <f>COUNTIF(D2:D1001,"Male")</f>
        <v>493</v>
      </c>
      <c r="T7" s="15" t="s">
        <v>1094</v>
      </c>
      <c r="U7" s="16">
        <f>AVERAGE(I2:I1001)</f>
        <v>5690.4059999999999</v>
      </c>
      <c r="W7" s="15" t="s">
        <v>15</v>
      </c>
      <c r="X7" s="15">
        <v>133</v>
      </c>
      <c r="Y7" s="15">
        <v>5</v>
      </c>
      <c r="Z7" s="16">
        <v>26.6</v>
      </c>
      <c r="AB7" s="17" t="s">
        <v>48</v>
      </c>
      <c r="AC7" s="18">
        <v>122</v>
      </c>
      <c r="AD7" s="18">
        <v>75.729508196721298</v>
      </c>
      <c r="AE7" s="18">
        <v>3055281</v>
      </c>
      <c r="AF7" s="18">
        <v>12.8856557377049</v>
      </c>
      <c r="AG7" s="18">
        <v>5930</v>
      </c>
    </row>
    <row r="8" spans="1:33">
      <c r="A8" t="s">
        <v>1043</v>
      </c>
      <c r="B8" t="s">
        <v>20</v>
      </c>
      <c r="C8" t="s">
        <v>21</v>
      </c>
      <c r="D8" t="s">
        <v>16</v>
      </c>
      <c r="E8" s="2">
        <v>1</v>
      </c>
      <c r="F8" t="s">
        <v>34</v>
      </c>
      <c r="G8" t="s">
        <v>31</v>
      </c>
      <c r="H8" s="2">
        <v>70</v>
      </c>
      <c r="I8" s="3">
        <v>6579</v>
      </c>
      <c r="J8" s="4">
        <v>8.51</v>
      </c>
      <c r="K8" s="2">
        <v>127</v>
      </c>
      <c r="L8" s="2">
        <v>3</v>
      </c>
      <c r="M8" s="3">
        <v>39028</v>
      </c>
      <c r="N8" t="str" cm="1">
        <f t="array" ref="N8">_xlfn.IFS(Table1_3[[#This Row],[Patient Satisfaction Score]]&gt;=83,"High",H8&lt;=75,"Low",TRUE,"Moderate")</f>
        <v>Low</v>
      </c>
      <c r="O8" t="str">
        <f t="shared" si="0"/>
        <v>Pediatric</v>
      </c>
      <c r="Q8" s="15" t="s">
        <v>1113</v>
      </c>
      <c r="R8" s="15">
        <f>COUNTIF(D2:D1001,"OTHER")</f>
        <v>43</v>
      </c>
      <c r="T8" s="15" t="s">
        <v>1107</v>
      </c>
      <c r="U8" s="16">
        <f>AVERAGE(L2:L1001)</f>
        <v>3.915</v>
      </c>
      <c r="W8" s="15" t="s">
        <v>45</v>
      </c>
      <c r="X8" s="15">
        <v>134</v>
      </c>
      <c r="Y8" s="15">
        <v>5</v>
      </c>
      <c r="Z8" s="16">
        <v>26.8</v>
      </c>
      <c r="AB8" s="17" t="s">
        <v>39</v>
      </c>
      <c r="AC8" s="18">
        <v>129</v>
      </c>
      <c r="AD8" s="18">
        <v>57.356589147286797</v>
      </c>
      <c r="AE8" s="18">
        <v>1616504</v>
      </c>
      <c r="AF8" s="18">
        <v>7.8837209302325597</v>
      </c>
      <c r="AG8" s="18">
        <v>3036.0232558139501</v>
      </c>
    </row>
    <row r="9" spans="1:33">
      <c r="A9" t="s">
        <v>364</v>
      </c>
      <c r="B9" t="s">
        <v>44</v>
      </c>
      <c r="C9" t="s">
        <v>45</v>
      </c>
      <c r="D9" t="s">
        <v>16</v>
      </c>
      <c r="E9" s="2">
        <v>1</v>
      </c>
      <c r="F9" t="s">
        <v>22</v>
      </c>
      <c r="G9" t="s">
        <v>40</v>
      </c>
      <c r="H9" s="2">
        <v>73</v>
      </c>
      <c r="I9" s="3">
        <v>12240</v>
      </c>
      <c r="J9" s="4">
        <v>21.96</v>
      </c>
      <c r="K9" s="2">
        <v>98</v>
      </c>
      <c r="L9" s="2">
        <v>3</v>
      </c>
      <c r="M9" s="3">
        <v>40964</v>
      </c>
      <c r="N9" t="str" cm="1">
        <f t="array" ref="N9">_xlfn.IFS(Table1_3[[#This Row],[Patient Satisfaction Score]]&gt;=83,"High",H9&lt;=75,"Low",TRUE,"Moderate")</f>
        <v>Low</v>
      </c>
      <c r="O9" t="str">
        <f t="shared" si="0"/>
        <v>Pediatric</v>
      </c>
      <c r="Q9" s="15" t="s">
        <v>1116</v>
      </c>
      <c r="R9" s="15">
        <f>COUNTIF(O2:O1001,"Pediatric")</f>
        <v>220</v>
      </c>
      <c r="T9" s="15" t="s">
        <v>1109</v>
      </c>
      <c r="U9" s="15">
        <f>SUBTOTAL(1,J2:J1001)</f>
        <v>13.293350000000014</v>
      </c>
      <c r="W9" s="15" t="s">
        <v>26</v>
      </c>
      <c r="X9" s="15">
        <v>125</v>
      </c>
      <c r="Y9" s="15">
        <v>4</v>
      </c>
      <c r="Z9" s="16">
        <v>31.25</v>
      </c>
      <c r="AB9" s="17" t="s">
        <v>26</v>
      </c>
      <c r="AC9" s="18">
        <v>125</v>
      </c>
      <c r="AD9" s="18">
        <v>45.055999999999997</v>
      </c>
      <c r="AE9" s="18">
        <v>1276426</v>
      </c>
      <c r="AF9" s="18">
        <v>4.9837600000000002</v>
      </c>
      <c r="AG9" s="18">
        <v>2475.8960000000002</v>
      </c>
    </row>
    <row r="10" spans="1:33">
      <c r="A10" t="s">
        <v>405</v>
      </c>
      <c r="B10" t="s">
        <v>74</v>
      </c>
      <c r="C10" t="s">
        <v>45</v>
      </c>
      <c r="D10" t="s">
        <v>27</v>
      </c>
      <c r="E10" s="2">
        <v>1</v>
      </c>
      <c r="F10" t="s">
        <v>34</v>
      </c>
      <c r="G10" t="s">
        <v>49</v>
      </c>
      <c r="H10" s="2">
        <v>76</v>
      </c>
      <c r="I10" s="3">
        <v>10947</v>
      </c>
      <c r="J10" s="4">
        <v>20.98</v>
      </c>
      <c r="K10" s="2">
        <v>98</v>
      </c>
      <c r="L10" s="2">
        <v>4</v>
      </c>
      <c r="M10" s="3">
        <v>53980</v>
      </c>
      <c r="N10" t="str" cm="1">
        <f t="array" ref="N10">_xlfn.IFS(Table1_3[[#This Row],[Patient Satisfaction Score]]&gt;=83,"High",H10&lt;=75,"Low",TRUE,"Moderate")</f>
        <v>Moderate</v>
      </c>
      <c r="O10" t="str">
        <f t="shared" si="0"/>
        <v>Pediatric</v>
      </c>
      <c r="Q10" s="15" t="s">
        <v>1099</v>
      </c>
      <c r="R10" s="29">
        <f>COUNTIF(O2:O1001,"Adult")</f>
        <v>780</v>
      </c>
      <c r="W10" s="10" t="s">
        <v>1075</v>
      </c>
      <c r="X10" s="10">
        <f>SUM(X2:X9)</f>
        <v>1000</v>
      </c>
      <c r="Y10" s="43">
        <f>SUM(Y2:Y9)</f>
        <v>39</v>
      </c>
      <c r="Z10" s="19">
        <f>X10/Y10</f>
        <v>25.641025641025642</v>
      </c>
      <c r="AB10" s="13" t="s">
        <v>1075</v>
      </c>
      <c r="AC10" s="20">
        <v>1000</v>
      </c>
      <c r="AD10" s="20">
        <v>78.465999999999994</v>
      </c>
      <c r="AE10" s="20">
        <v>23956217</v>
      </c>
      <c r="AF10" s="20">
        <v>13.29335</v>
      </c>
      <c r="AG10" s="20">
        <v>5690.4059999999999</v>
      </c>
    </row>
    <row r="11" spans="1:33">
      <c r="A11" t="s">
        <v>932</v>
      </c>
      <c r="B11" t="s">
        <v>68</v>
      </c>
      <c r="C11" t="s">
        <v>45</v>
      </c>
      <c r="D11" t="s">
        <v>27</v>
      </c>
      <c r="E11" s="2">
        <v>1</v>
      </c>
      <c r="F11" t="s">
        <v>22</v>
      </c>
      <c r="G11" t="s">
        <v>31</v>
      </c>
      <c r="H11" s="2">
        <v>83</v>
      </c>
      <c r="I11" s="3">
        <v>8458</v>
      </c>
      <c r="J11" s="4">
        <v>14.47</v>
      </c>
      <c r="K11" s="2">
        <v>84</v>
      </c>
      <c r="L11" s="2">
        <v>5</v>
      </c>
      <c r="M11" s="3">
        <v>29618</v>
      </c>
      <c r="N11" t="str" cm="1">
        <f t="array" ref="N11">_xlfn.IFS(Table1_3[[#This Row],[Patient Satisfaction Score]]&gt;=83,"High",H11&lt;=75,"Low",TRUE,"Moderate")</f>
        <v>High</v>
      </c>
      <c r="O11" t="str">
        <f t="shared" si="0"/>
        <v>Pediatric</v>
      </c>
      <c r="Q11" s="15" t="s">
        <v>1101</v>
      </c>
      <c r="R11" s="29">
        <f>COUNTIF(F2:F1001,"Medicaid")</f>
        <v>341</v>
      </c>
      <c r="AG11" s="21"/>
    </row>
    <row r="12" spans="1:33">
      <c r="A12" t="s">
        <v>410</v>
      </c>
      <c r="B12" t="s">
        <v>187</v>
      </c>
      <c r="C12" t="s">
        <v>30</v>
      </c>
      <c r="D12" t="s">
        <v>16</v>
      </c>
      <c r="E12" s="2">
        <v>1</v>
      </c>
      <c r="F12" t="s">
        <v>17</v>
      </c>
      <c r="G12" t="s">
        <v>31</v>
      </c>
      <c r="H12" s="2">
        <v>75</v>
      </c>
      <c r="I12" s="3">
        <v>3164</v>
      </c>
      <c r="J12" s="4">
        <v>14.55</v>
      </c>
      <c r="K12" s="2">
        <v>131</v>
      </c>
      <c r="L12" s="2">
        <v>4</v>
      </c>
      <c r="M12" s="3">
        <v>15359</v>
      </c>
      <c r="N12" t="str" cm="1">
        <f t="array" ref="N12">_xlfn.IFS(Table1_3[[#This Row],[Patient Satisfaction Score]]&gt;=83,"High",H12&lt;=75,"Low",TRUE,"Moderate")</f>
        <v>Low</v>
      </c>
      <c r="O12" t="str">
        <f t="shared" si="0"/>
        <v>Pediatric</v>
      </c>
      <c r="Q12" s="15" t="s">
        <v>1100</v>
      </c>
      <c r="R12" s="15">
        <f>COUNTIF(F2:F1001,"Private")</f>
        <v>328</v>
      </c>
      <c r="X12" s="27" t="s">
        <v>1118</v>
      </c>
    </row>
    <row r="13" spans="1:33">
      <c r="A13" t="s">
        <v>926</v>
      </c>
      <c r="B13" t="s">
        <v>29</v>
      </c>
      <c r="C13" t="s">
        <v>30</v>
      </c>
      <c r="D13" t="s">
        <v>27</v>
      </c>
      <c r="E13" s="2">
        <v>1</v>
      </c>
      <c r="F13" t="s">
        <v>34</v>
      </c>
      <c r="G13" t="s">
        <v>70</v>
      </c>
      <c r="H13" s="2">
        <v>64</v>
      </c>
      <c r="I13" s="3">
        <v>2929</v>
      </c>
      <c r="J13" s="4">
        <v>18.7</v>
      </c>
      <c r="K13" s="2">
        <v>123</v>
      </c>
      <c r="L13" s="2">
        <v>3</v>
      </c>
      <c r="M13" s="3">
        <v>17441</v>
      </c>
      <c r="N13" t="str" cm="1">
        <f t="array" ref="N13">_xlfn.IFS(Table1_3[[#This Row],[Patient Satisfaction Score]]&gt;=83,"High",H13&lt;=75,"Low",TRUE,"Moderate")</f>
        <v>Low</v>
      </c>
      <c r="O13" t="str">
        <f t="shared" si="0"/>
        <v>Pediatric</v>
      </c>
      <c r="Q13" s="15" t="s">
        <v>1114</v>
      </c>
      <c r="R13" s="15">
        <f>COUNTIF(F2:F1001,"Medicare")</f>
        <v>331</v>
      </c>
      <c r="W13">
        <v>1</v>
      </c>
      <c r="X13" t="s">
        <v>1091</v>
      </c>
    </row>
    <row r="14" spans="1:33">
      <c r="A14" t="s">
        <v>686</v>
      </c>
      <c r="B14" t="s">
        <v>14</v>
      </c>
      <c r="C14" t="s">
        <v>15</v>
      </c>
      <c r="D14" t="s">
        <v>27</v>
      </c>
      <c r="E14" s="2">
        <v>1</v>
      </c>
      <c r="F14" t="s">
        <v>34</v>
      </c>
      <c r="G14" t="s">
        <v>18</v>
      </c>
      <c r="H14" s="2">
        <v>72</v>
      </c>
      <c r="I14" s="3">
        <v>7341</v>
      </c>
      <c r="J14" s="4">
        <v>11.64</v>
      </c>
      <c r="K14" s="2">
        <v>96</v>
      </c>
      <c r="L14" s="2">
        <v>3</v>
      </c>
      <c r="M14" s="3">
        <v>28757</v>
      </c>
      <c r="N14" t="str" cm="1">
        <f t="array" ref="N14">_xlfn.IFS(Table1_3[[#This Row],[Patient Satisfaction Score]]&gt;=83,"High",H14&lt;=75,"Low",TRUE,"Moderate")</f>
        <v>Low</v>
      </c>
      <c r="O14" t="str">
        <f t="shared" si="0"/>
        <v>Pediatric</v>
      </c>
      <c r="W14">
        <v>2</v>
      </c>
      <c r="X14" t="s">
        <v>1092</v>
      </c>
    </row>
    <row r="15" spans="1:33" ht="15" thickBot="1">
      <c r="A15" t="s">
        <v>398</v>
      </c>
      <c r="B15" t="s">
        <v>66</v>
      </c>
      <c r="C15" t="s">
        <v>39</v>
      </c>
      <c r="D15" t="s">
        <v>27</v>
      </c>
      <c r="E15" s="2">
        <v>1</v>
      </c>
      <c r="F15" t="s">
        <v>17</v>
      </c>
      <c r="G15" t="s">
        <v>40</v>
      </c>
      <c r="H15" s="2">
        <v>88</v>
      </c>
      <c r="I15" s="3">
        <v>3262</v>
      </c>
      <c r="J15" s="4">
        <v>9.6199999999999992</v>
      </c>
      <c r="K15" s="2">
        <v>63</v>
      </c>
      <c r="L15" s="2">
        <v>4</v>
      </c>
      <c r="M15" s="3">
        <v>16958</v>
      </c>
      <c r="N15" t="str" cm="1">
        <f t="array" ref="N15">_xlfn.IFS(Table1_3[[#This Row],[Patient Satisfaction Score]]&gt;=83,"High",H15&lt;=75,"Low",TRUE,"Moderate")</f>
        <v>High</v>
      </c>
      <c r="O15" t="str">
        <f t="shared" si="0"/>
        <v>Pediatric</v>
      </c>
      <c r="W15">
        <v>3</v>
      </c>
      <c r="X15" t="s">
        <v>1117</v>
      </c>
      <c r="Z15">
        <v>10</v>
      </c>
    </row>
    <row r="16" spans="1:33">
      <c r="A16" t="s">
        <v>1066</v>
      </c>
      <c r="B16" t="s">
        <v>64</v>
      </c>
      <c r="C16" t="s">
        <v>30</v>
      </c>
      <c r="D16" t="s">
        <v>27</v>
      </c>
      <c r="E16" s="2">
        <v>2</v>
      </c>
      <c r="F16" t="s">
        <v>17</v>
      </c>
      <c r="G16" t="s">
        <v>70</v>
      </c>
      <c r="H16" s="2">
        <v>79</v>
      </c>
      <c r="I16" s="3">
        <v>4994</v>
      </c>
      <c r="J16" s="4">
        <v>19.13</v>
      </c>
      <c r="K16" s="2">
        <v>118</v>
      </c>
      <c r="L16" s="2">
        <v>4</v>
      </c>
      <c r="M16" s="3">
        <v>27538</v>
      </c>
      <c r="N16" t="str" cm="1">
        <f t="array" ref="N16">_xlfn.IFS(Table1_3[[#This Row],[Patient Satisfaction Score]]&gt;=83,"High",H16&lt;=75,"Low",TRUE,"Moderate")</f>
        <v>Moderate</v>
      </c>
      <c r="O16" t="str">
        <f t="shared" si="0"/>
        <v>Pediatric</v>
      </c>
      <c r="Q16" s="30" t="s">
        <v>1102</v>
      </c>
      <c r="R16" s="31"/>
      <c r="S16" s="32"/>
      <c r="T16" s="33"/>
      <c r="W16">
        <v>4</v>
      </c>
      <c r="X16" t="s">
        <v>1093</v>
      </c>
    </row>
    <row r="17" spans="1:25">
      <c r="A17" t="s">
        <v>286</v>
      </c>
      <c r="B17" t="s">
        <v>42</v>
      </c>
      <c r="C17" t="s">
        <v>39</v>
      </c>
      <c r="D17" t="s">
        <v>27</v>
      </c>
      <c r="E17" s="2">
        <v>2</v>
      </c>
      <c r="F17" t="s">
        <v>22</v>
      </c>
      <c r="G17" t="s">
        <v>40</v>
      </c>
      <c r="H17" s="2">
        <v>89</v>
      </c>
      <c r="I17" s="3">
        <v>3925</v>
      </c>
      <c r="J17" s="4">
        <v>16.02</v>
      </c>
      <c r="K17" s="2">
        <v>63</v>
      </c>
      <c r="L17" s="2">
        <v>5</v>
      </c>
      <c r="M17" s="3">
        <v>19105</v>
      </c>
      <c r="N17" t="str" cm="1">
        <f t="array" ref="N17">_xlfn.IFS(Table1_3[[#This Row],[Patient Satisfaction Score]]&gt;=83,"High",H17&lt;=75,"Low",TRUE,"Moderate")</f>
        <v>High</v>
      </c>
      <c r="O17" t="str">
        <f t="shared" si="0"/>
        <v>Pediatric</v>
      </c>
      <c r="Q17" s="34" t="s">
        <v>2</v>
      </c>
      <c r="R17" s="25" t="s">
        <v>1103</v>
      </c>
      <c r="S17" s="15"/>
      <c r="T17" s="35" t="s">
        <v>1121</v>
      </c>
      <c r="W17">
        <v>5</v>
      </c>
      <c r="X17" s="28" t="s">
        <v>1119</v>
      </c>
    </row>
    <row r="18" spans="1:25">
      <c r="A18" t="s">
        <v>911</v>
      </c>
      <c r="B18" t="s">
        <v>66</v>
      </c>
      <c r="C18" t="s">
        <v>39</v>
      </c>
      <c r="D18" t="s">
        <v>27</v>
      </c>
      <c r="E18" s="2">
        <v>2</v>
      </c>
      <c r="F18" t="s">
        <v>34</v>
      </c>
      <c r="G18" t="s">
        <v>23</v>
      </c>
      <c r="H18" s="2">
        <v>78</v>
      </c>
      <c r="I18" s="3">
        <v>2828</v>
      </c>
      <c r="J18" s="4">
        <v>10.57</v>
      </c>
      <c r="K18" s="2">
        <v>67</v>
      </c>
      <c r="L18" s="2">
        <v>4</v>
      </c>
      <c r="M18" s="3">
        <v>7504</v>
      </c>
      <c r="N18" t="str" cm="1">
        <f t="array" ref="N18">_xlfn.IFS(Table1_3[[#This Row],[Patient Satisfaction Score]]&gt;=83,"High",H18&lt;=75,"Low",TRUE,"Moderate")</f>
        <v>Moderate</v>
      </c>
      <c r="O18" t="str">
        <f t="shared" si="0"/>
        <v>Pediatric</v>
      </c>
      <c r="Q18" s="36" t="s">
        <v>52</v>
      </c>
      <c r="R18" s="15">
        <f>COUNTIF(C2:C1001,"Oncology")</f>
        <v>110</v>
      </c>
      <c r="S18" s="15"/>
      <c r="T18" s="37">
        <f>SUMIF(C2:C1001,"Oncology",M2:M1001)</f>
        <v>3549146</v>
      </c>
    </row>
    <row r="19" spans="1:25">
      <c r="A19" t="s">
        <v>492</v>
      </c>
      <c r="B19" t="s">
        <v>135</v>
      </c>
      <c r="C19" t="s">
        <v>48</v>
      </c>
      <c r="D19" t="s">
        <v>16</v>
      </c>
      <c r="E19" s="2">
        <v>3</v>
      </c>
      <c r="F19" t="s">
        <v>34</v>
      </c>
      <c r="G19" t="s">
        <v>40</v>
      </c>
      <c r="H19" s="2">
        <v>75</v>
      </c>
      <c r="I19" s="3">
        <v>5655</v>
      </c>
      <c r="J19" s="4">
        <v>13.15</v>
      </c>
      <c r="K19" s="2">
        <v>109</v>
      </c>
      <c r="L19" s="2">
        <v>4</v>
      </c>
      <c r="M19" s="3">
        <v>18837</v>
      </c>
      <c r="N19" t="str" cm="1">
        <f t="array" ref="N19">_xlfn.IFS(Table1_3[[#This Row],[Patient Satisfaction Score]]&gt;=83,"High",H19&lt;=75,"Low",TRUE,"Moderate")</f>
        <v>Low</v>
      </c>
      <c r="O19" t="str">
        <f t="shared" si="0"/>
        <v>Pediatric</v>
      </c>
      <c r="Q19" s="36" t="s">
        <v>30</v>
      </c>
      <c r="R19" s="15">
        <f>COUNTIF(C2:C1001,"Emergency")</f>
        <v>119</v>
      </c>
      <c r="S19" s="15"/>
      <c r="T19" s="38">
        <f>SUMIF(C2:C1001,"Emergency",M2:M1001)</f>
        <v>1767111</v>
      </c>
    </row>
    <row r="20" spans="1:25">
      <c r="A20" t="s">
        <v>812</v>
      </c>
      <c r="B20" t="s">
        <v>143</v>
      </c>
      <c r="C20" t="s">
        <v>21</v>
      </c>
      <c r="D20" t="s">
        <v>16</v>
      </c>
      <c r="E20" s="2">
        <v>3</v>
      </c>
      <c r="F20" t="s">
        <v>17</v>
      </c>
      <c r="G20" t="s">
        <v>23</v>
      </c>
      <c r="H20" s="2">
        <v>80</v>
      </c>
      <c r="I20" s="3">
        <v>7958</v>
      </c>
      <c r="J20" s="4">
        <v>14.25</v>
      </c>
      <c r="K20" s="2">
        <v>89</v>
      </c>
      <c r="L20" s="2">
        <v>4</v>
      </c>
      <c r="M20" s="3">
        <v>25563</v>
      </c>
      <c r="N20" t="str" cm="1">
        <f t="array" ref="N20">_xlfn.IFS(Table1_3[[#This Row],[Patient Satisfaction Score]]&gt;=83,"High",H20&lt;=75,"Low",TRUE,"Moderate")</f>
        <v>Moderate</v>
      </c>
      <c r="O20" t="str">
        <f t="shared" si="0"/>
        <v>Pediatric</v>
      </c>
      <c r="Q20" s="36" t="s">
        <v>48</v>
      </c>
      <c r="R20" s="15">
        <f>COUNTIF(C2:C1001,"Orthopedics")</f>
        <v>122</v>
      </c>
      <c r="S20" s="15"/>
      <c r="T20" s="38">
        <f>SUMIF(C2:C1001,"Orthopedics",M2:M1001)</f>
        <v>3055281</v>
      </c>
    </row>
    <row r="21" spans="1:25">
      <c r="A21" t="s">
        <v>289</v>
      </c>
      <c r="B21" t="s">
        <v>66</v>
      </c>
      <c r="C21" t="s">
        <v>39</v>
      </c>
      <c r="D21" t="s">
        <v>16</v>
      </c>
      <c r="E21" s="2">
        <v>3</v>
      </c>
      <c r="F21" t="s">
        <v>22</v>
      </c>
      <c r="G21" t="s">
        <v>40</v>
      </c>
      <c r="H21" s="2">
        <v>95</v>
      </c>
      <c r="I21" s="3">
        <v>3113</v>
      </c>
      <c r="J21" s="4">
        <v>10.31</v>
      </c>
      <c r="K21" s="2">
        <v>32</v>
      </c>
      <c r="L21" s="2">
        <v>4</v>
      </c>
      <c r="M21" s="3">
        <v>16342</v>
      </c>
      <c r="N21" t="str" cm="1">
        <f t="array" ref="N21">_xlfn.IFS(Table1_3[[#This Row],[Patient Satisfaction Score]]&gt;=83,"High",H21&lt;=75,"Low",TRUE,"Moderate")</f>
        <v>High</v>
      </c>
      <c r="O21" t="str">
        <f t="shared" si="0"/>
        <v>Pediatric</v>
      </c>
      <c r="Q21" s="36" t="s">
        <v>21</v>
      </c>
      <c r="R21" s="15">
        <f>COUNTIF(C2:C1001,"Neurology")</f>
        <v>128</v>
      </c>
      <c r="S21" s="15"/>
      <c r="T21" s="38">
        <f>SUMIF(C2:C1001,"Neurology",M2:M1001)</f>
        <v>3490702</v>
      </c>
    </row>
    <row r="22" spans="1:25">
      <c r="A22" t="s">
        <v>347</v>
      </c>
      <c r="B22" t="s">
        <v>54</v>
      </c>
      <c r="C22" t="s">
        <v>39</v>
      </c>
      <c r="D22" t="s">
        <v>27</v>
      </c>
      <c r="E22" s="2">
        <v>3</v>
      </c>
      <c r="F22" t="s">
        <v>22</v>
      </c>
      <c r="G22" t="s">
        <v>31</v>
      </c>
      <c r="H22" s="2">
        <v>85</v>
      </c>
      <c r="I22" s="3">
        <v>3943</v>
      </c>
      <c r="J22" s="4">
        <v>9</v>
      </c>
      <c r="K22" s="2">
        <v>36</v>
      </c>
      <c r="L22" s="2">
        <v>5</v>
      </c>
      <c r="M22" s="3">
        <v>14029</v>
      </c>
      <c r="N22" t="str" cm="1">
        <f t="array" ref="N22">_xlfn.IFS(Table1_3[[#This Row],[Patient Satisfaction Score]]&gt;=83,"High",H22&lt;=75,"Low",TRUE,"Moderate")</f>
        <v>High</v>
      </c>
      <c r="O22" t="str">
        <f t="shared" si="0"/>
        <v>Pediatric</v>
      </c>
      <c r="Q22" s="36" t="s">
        <v>39</v>
      </c>
      <c r="R22" s="15">
        <f>COUNTIF(C2:C1001,"Pediatrics")</f>
        <v>129</v>
      </c>
      <c r="S22" s="15"/>
      <c r="T22" s="38">
        <f>SUMIF(C2:C1001,"Pediatrics",M2:M1001)</f>
        <v>1616504</v>
      </c>
      <c r="Y22" t="s">
        <v>1110</v>
      </c>
    </row>
    <row r="23" spans="1:25">
      <c r="A23" t="s">
        <v>400</v>
      </c>
      <c r="B23" t="s">
        <v>66</v>
      </c>
      <c r="C23" t="s">
        <v>39</v>
      </c>
      <c r="D23" t="s">
        <v>27</v>
      </c>
      <c r="E23" s="2">
        <v>3</v>
      </c>
      <c r="F23" t="s">
        <v>34</v>
      </c>
      <c r="G23" t="s">
        <v>70</v>
      </c>
      <c r="H23" s="2">
        <v>79</v>
      </c>
      <c r="I23" s="3">
        <v>2594</v>
      </c>
      <c r="J23" s="4">
        <v>8.14</v>
      </c>
      <c r="K23" s="2">
        <v>50</v>
      </c>
      <c r="L23" s="2">
        <v>4</v>
      </c>
      <c r="M23" s="3">
        <v>8576</v>
      </c>
      <c r="N23" t="str" cm="1">
        <f t="array" ref="N23">_xlfn.IFS(Table1_3[[#This Row],[Patient Satisfaction Score]]&gt;=83,"High",H23&lt;=75,"Low",TRUE,"Moderate")</f>
        <v>Moderate</v>
      </c>
      <c r="O23" t="str">
        <f t="shared" si="0"/>
        <v>Pediatric</v>
      </c>
      <c r="Q23" s="36" t="s">
        <v>15</v>
      </c>
      <c r="R23" s="15">
        <f>COUNTIF(C2:C1001,"Cardiology")</f>
        <v>133</v>
      </c>
      <c r="S23" s="15"/>
      <c r="T23" s="38">
        <f>SUMIF(C2:C1001,"Cardiology",M2:M1001)</f>
        <v>4129265</v>
      </c>
    </row>
    <row r="24" spans="1:25">
      <c r="A24" t="s">
        <v>640</v>
      </c>
      <c r="B24" t="s">
        <v>25</v>
      </c>
      <c r="C24" t="s">
        <v>39</v>
      </c>
      <c r="D24" t="s">
        <v>27</v>
      </c>
      <c r="E24" s="2">
        <v>3</v>
      </c>
      <c r="F24" t="s">
        <v>17</v>
      </c>
      <c r="G24" t="s">
        <v>40</v>
      </c>
      <c r="H24" s="2">
        <v>85</v>
      </c>
      <c r="I24" s="3">
        <v>1893</v>
      </c>
      <c r="J24" s="4">
        <v>4.4400000000000004</v>
      </c>
      <c r="K24" s="2">
        <v>63</v>
      </c>
      <c r="L24" s="2">
        <v>4</v>
      </c>
      <c r="M24" s="3">
        <v>7972</v>
      </c>
      <c r="N24" t="str" cm="1">
        <f t="array" ref="N24">_xlfn.IFS(Table1_3[[#This Row],[Patient Satisfaction Score]]&gt;=83,"High",H24&lt;=75,"Low",TRUE,"Moderate")</f>
        <v>High</v>
      </c>
      <c r="O24" t="str">
        <f t="shared" si="0"/>
        <v>Pediatric</v>
      </c>
      <c r="Q24" s="36" t="s">
        <v>45</v>
      </c>
      <c r="R24" s="15">
        <f>COUNTIF(C2:C1001,"General Surgery")</f>
        <v>134</v>
      </c>
      <c r="S24" s="15"/>
      <c r="T24" s="38">
        <f>SUMIF(C2:C1001,"General Surgery",M2:M1001)</f>
        <v>5071782</v>
      </c>
    </row>
    <row r="25" spans="1:25">
      <c r="A25" t="s">
        <v>708</v>
      </c>
      <c r="B25" t="s">
        <v>97</v>
      </c>
      <c r="C25" t="s">
        <v>30</v>
      </c>
      <c r="D25" t="s">
        <v>27</v>
      </c>
      <c r="E25" s="2">
        <v>4</v>
      </c>
      <c r="F25" t="s">
        <v>34</v>
      </c>
      <c r="G25" t="s">
        <v>23</v>
      </c>
      <c r="H25" s="2">
        <v>78</v>
      </c>
      <c r="I25" s="3">
        <v>3325</v>
      </c>
      <c r="J25" s="4">
        <v>11.31</v>
      </c>
      <c r="K25" s="2">
        <v>110</v>
      </c>
      <c r="L25" s="2">
        <v>4</v>
      </c>
      <c r="M25" s="3">
        <v>9548</v>
      </c>
      <c r="N25" t="str" cm="1">
        <f t="array" ref="N25">_xlfn.IFS(Table1_3[[#This Row],[Patient Satisfaction Score]]&gt;=83,"High",H25&lt;=75,"Low",TRUE,"Moderate")</f>
        <v>Moderate</v>
      </c>
      <c r="O25" t="str">
        <f t="shared" si="0"/>
        <v>Pediatric</v>
      </c>
      <c r="Q25" s="36" t="s">
        <v>26</v>
      </c>
      <c r="R25" s="15">
        <f>COUNTIF(C2:C1001,"Radiology")</f>
        <v>125</v>
      </c>
      <c r="S25" s="15"/>
      <c r="T25" s="38">
        <f>SUMIF(C2:C1001,"Radiology",M2:M1001)</f>
        <v>1276426</v>
      </c>
    </row>
    <row r="26" spans="1:25" ht="15" thickBot="1">
      <c r="A26" t="s">
        <v>343</v>
      </c>
      <c r="B26" t="s">
        <v>66</v>
      </c>
      <c r="C26" t="s">
        <v>39</v>
      </c>
      <c r="D26" t="s">
        <v>27</v>
      </c>
      <c r="E26" s="2">
        <v>4</v>
      </c>
      <c r="F26" t="s">
        <v>22</v>
      </c>
      <c r="G26" t="s">
        <v>40</v>
      </c>
      <c r="H26" s="2">
        <v>93</v>
      </c>
      <c r="I26" s="3">
        <v>2022</v>
      </c>
      <c r="J26" s="4">
        <v>13.09</v>
      </c>
      <c r="K26" s="2">
        <v>36</v>
      </c>
      <c r="L26" s="2">
        <v>4</v>
      </c>
      <c r="M26" s="3">
        <v>6049</v>
      </c>
      <c r="N26" t="str" cm="1">
        <f t="array" ref="N26">_xlfn.IFS(Table1_3[[#This Row],[Patient Satisfaction Score]]&gt;=83,"High",H26&lt;=75,"Low",TRUE,"Moderate")</f>
        <v>High</v>
      </c>
      <c r="O26" t="str">
        <f t="shared" si="0"/>
        <v>Pediatric</v>
      </c>
      <c r="Q26" s="39" t="s">
        <v>1070</v>
      </c>
      <c r="R26" s="40">
        <f>SUM(R18:R25)</f>
        <v>1000</v>
      </c>
      <c r="S26" s="40"/>
      <c r="T26" s="41">
        <f>SUM(T18:T25)</f>
        <v>23956217</v>
      </c>
    </row>
    <row r="27" spans="1:25">
      <c r="A27" t="s">
        <v>409</v>
      </c>
      <c r="B27" t="s">
        <v>38</v>
      </c>
      <c r="C27" t="s">
        <v>39</v>
      </c>
      <c r="D27" t="s">
        <v>16</v>
      </c>
      <c r="E27" s="2">
        <v>4</v>
      </c>
      <c r="F27" t="s">
        <v>22</v>
      </c>
      <c r="G27" t="s">
        <v>49</v>
      </c>
      <c r="H27" s="2">
        <v>79</v>
      </c>
      <c r="I27" s="3">
        <v>4091</v>
      </c>
      <c r="J27" s="4">
        <v>8.16</v>
      </c>
      <c r="K27" s="2">
        <v>86</v>
      </c>
      <c r="L27" s="2">
        <v>4</v>
      </c>
      <c r="M27" s="3">
        <v>21682</v>
      </c>
      <c r="N27" t="str" cm="1">
        <f t="array" ref="N27">_xlfn.IFS(Table1_3[[#This Row],[Patient Satisfaction Score]]&gt;=83,"High",H27&lt;=75,"Low",TRUE,"Moderate")</f>
        <v>Moderate</v>
      </c>
      <c r="O27" t="str">
        <f t="shared" si="0"/>
        <v>Pediatric</v>
      </c>
    </row>
    <row r="28" spans="1:25">
      <c r="A28" t="s">
        <v>443</v>
      </c>
      <c r="B28" t="s">
        <v>54</v>
      </c>
      <c r="C28" t="s">
        <v>39</v>
      </c>
      <c r="D28" t="s">
        <v>16</v>
      </c>
      <c r="E28" s="2">
        <v>4</v>
      </c>
      <c r="F28" t="s">
        <v>22</v>
      </c>
      <c r="G28" t="s">
        <v>18</v>
      </c>
      <c r="H28" s="2">
        <v>95</v>
      </c>
      <c r="I28" s="3">
        <v>2972</v>
      </c>
      <c r="J28" s="4">
        <v>4.9400000000000004</v>
      </c>
      <c r="K28" s="2">
        <v>65</v>
      </c>
      <c r="L28" s="2">
        <v>5</v>
      </c>
      <c r="M28" s="3">
        <v>14593</v>
      </c>
      <c r="N28" t="str" cm="1">
        <f t="array" ref="N28">_xlfn.IFS(Table1_3[[#This Row],[Patient Satisfaction Score]]&gt;=83,"High",H28&lt;=75,"Low",TRUE,"Moderate")</f>
        <v>High</v>
      </c>
      <c r="O28" t="str">
        <f t="shared" si="0"/>
        <v>Pediatric</v>
      </c>
      <c r="Q28" s="25" t="s">
        <v>1108</v>
      </c>
      <c r="R28" s="25" t="s">
        <v>1103</v>
      </c>
    </row>
    <row r="29" spans="1:25">
      <c r="A29" t="s">
        <v>489</v>
      </c>
      <c r="B29" t="s">
        <v>54</v>
      </c>
      <c r="C29" t="s">
        <v>39</v>
      </c>
      <c r="D29" t="s">
        <v>16</v>
      </c>
      <c r="E29" s="2">
        <v>4</v>
      </c>
      <c r="F29" t="s">
        <v>34</v>
      </c>
      <c r="G29" t="s">
        <v>18</v>
      </c>
      <c r="H29" s="2">
        <v>85</v>
      </c>
      <c r="I29" s="3">
        <v>2606</v>
      </c>
      <c r="J29" s="4">
        <v>5.07</v>
      </c>
      <c r="K29" s="2">
        <v>59</v>
      </c>
      <c r="L29" s="2">
        <v>5</v>
      </c>
      <c r="M29" s="3">
        <v>10768</v>
      </c>
      <c r="N29" t="str" cm="1">
        <f t="array" ref="N29">_xlfn.IFS(Table1_3[[#This Row],[Patient Satisfaction Score]]&gt;=83,"High",H29&lt;=75,"Low",TRUE,"Moderate")</f>
        <v>High</v>
      </c>
      <c r="O29" t="str">
        <f t="shared" si="0"/>
        <v>Pediatric</v>
      </c>
      <c r="Q29" s="15"/>
      <c r="R29" s="15"/>
    </row>
    <row r="30" spans="1:25">
      <c r="A30" t="s">
        <v>769</v>
      </c>
      <c r="B30" t="s">
        <v>42</v>
      </c>
      <c r="C30" t="s">
        <v>39</v>
      </c>
      <c r="D30" t="s">
        <v>27</v>
      </c>
      <c r="E30" s="2">
        <v>4</v>
      </c>
      <c r="F30" t="s">
        <v>22</v>
      </c>
      <c r="G30" t="s">
        <v>40</v>
      </c>
      <c r="H30" s="2">
        <v>90</v>
      </c>
      <c r="I30" s="3">
        <v>3468</v>
      </c>
      <c r="J30" s="4">
        <v>4.13</v>
      </c>
      <c r="K30" s="2">
        <v>34</v>
      </c>
      <c r="L30" s="2">
        <v>5</v>
      </c>
      <c r="M30" s="3">
        <v>10212</v>
      </c>
      <c r="N30" t="str" cm="1">
        <f t="array" ref="N30">_xlfn.IFS(Table1_3[[#This Row],[Patient Satisfaction Score]]&gt;=83,"High",H30&lt;=75,"Low",TRUE,"Moderate")</f>
        <v>High</v>
      </c>
      <c r="O30" t="str">
        <f t="shared" si="0"/>
        <v>Pediatric</v>
      </c>
      <c r="Q30" s="26" t="s">
        <v>18</v>
      </c>
      <c r="R30" s="15">
        <f>COUNTIF(G2:G1001,"Routine Checkup")</f>
        <v>173</v>
      </c>
    </row>
    <row r="31" spans="1:25">
      <c r="A31" t="s">
        <v>1039</v>
      </c>
      <c r="B31" t="s">
        <v>42</v>
      </c>
      <c r="C31" t="s">
        <v>39</v>
      </c>
      <c r="D31" t="s">
        <v>27</v>
      </c>
      <c r="E31" s="2">
        <v>4</v>
      </c>
      <c r="F31" t="s">
        <v>22</v>
      </c>
      <c r="G31" t="s">
        <v>70</v>
      </c>
      <c r="H31" s="2">
        <v>78</v>
      </c>
      <c r="I31" s="3">
        <v>3308</v>
      </c>
      <c r="J31" s="4">
        <v>14.2</v>
      </c>
      <c r="K31" s="2">
        <v>35</v>
      </c>
      <c r="L31" s="2">
        <v>4</v>
      </c>
      <c r="M31" s="3">
        <v>10896</v>
      </c>
      <c r="N31" t="str" cm="1">
        <f t="array" ref="N31">_xlfn.IFS(Table1_3[[#This Row],[Patient Satisfaction Score]]&gt;=83,"High",H31&lt;=75,"Low",TRUE,"Moderate")</f>
        <v>Moderate</v>
      </c>
      <c r="O31" t="str">
        <f t="shared" si="0"/>
        <v>Pediatric</v>
      </c>
      <c r="Q31" s="26" t="s">
        <v>31</v>
      </c>
      <c r="R31" s="15">
        <f>COUNTIF(G2:G1001,"Specialist Consultation")</f>
        <v>153</v>
      </c>
    </row>
    <row r="32" spans="1:25">
      <c r="A32" t="s">
        <v>520</v>
      </c>
      <c r="B32" t="s">
        <v>60</v>
      </c>
      <c r="C32" t="s">
        <v>52</v>
      </c>
      <c r="D32" t="s">
        <v>16</v>
      </c>
      <c r="E32" s="2">
        <v>5</v>
      </c>
      <c r="F32" t="s">
        <v>34</v>
      </c>
      <c r="G32" t="s">
        <v>18</v>
      </c>
      <c r="H32" s="2">
        <v>80</v>
      </c>
      <c r="I32" s="3">
        <v>7702</v>
      </c>
      <c r="J32" s="4">
        <v>15.24</v>
      </c>
      <c r="K32" s="2">
        <v>57</v>
      </c>
      <c r="L32" s="2">
        <v>4</v>
      </c>
      <c r="M32" s="3">
        <v>33113</v>
      </c>
      <c r="N32" t="str" cm="1">
        <f t="array" ref="N32">_xlfn.IFS(Table1_3[[#This Row],[Patient Satisfaction Score]]&gt;=83,"High",H32&lt;=75,"Low",TRUE,"Moderate")</f>
        <v>Moderate</v>
      </c>
      <c r="O32" t="str">
        <f t="shared" si="0"/>
        <v>Pediatric</v>
      </c>
      <c r="Q32" s="26" t="s">
        <v>49</v>
      </c>
      <c r="R32" s="15">
        <f>COUNTIF(G2:G1001,"Therapy")</f>
        <v>179</v>
      </c>
    </row>
    <row r="33" spans="1:18">
      <c r="A33" t="s">
        <v>856</v>
      </c>
      <c r="B33" t="s">
        <v>38</v>
      </c>
      <c r="C33" t="s">
        <v>39</v>
      </c>
      <c r="D33" t="s">
        <v>27</v>
      </c>
      <c r="E33" s="2">
        <v>5</v>
      </c>
      <c r="F33" t="s">
        <v>17</v>
      </c>
      <c r="G33" t="s">
        <v>31</v>
      </c>
      <c r="H33" s="2">
        <v>78</v>
      </c>
      <c r="I33" s="3">
        <v>3100</v>
      </c>
      <c r="J33" s="4">
        <v>12.65</v>
      </c>
      <c r="K33" s="2">
        <v>67</v>
      </c>
      <c r="L33" s="2">
        <v>4</v>
      </c>
      <c r="M33" s="3">
        <v>12073</v>
      </c>
      <c r="N33" t="str" cm="1">
        <f t="array" ref="N33">_xlfn.IFS(Table1_3[[#This Row],[Patient Satisfaction Score]]&gt;=83,"High",H33&lt;=75,"Low",TRUE,"Moderate")</f>
        <v>Moderate</v>
      </c>
      <c r="O33" t="str">
        <f t="shared" si="0"/>
        <v>Pediatric</v>
      </c>
      <c r="Q33" s="26" t="s">
        <v>70</v>
      </c>
      <c r="R33" s="15">
        <f>COUNTIF(G2:G1001,"Surgery")</f>
        <v>160</v>
      </c>
    </row>
    <row r="34" spans="1:18">
      <c r="A34" t="s">
        <v>1007</v>
      </c>
      <c r="B34" t="s">
        <v>38</v>
      </c>
      <c r="C34" t="s">
        <v>39</v>
      </c>
      <c r="D34" t="s">
        <v>16</v>
      </c>
      <c r="E34" s="2">
        <v>5</v>
      </c>
      <c r="F34" t="s">
        <v>22</v>
      </c>
      <c r="G34" t="s">
        <v>31</v>
      </c>
      <c r="H34" s="2">
        <v>86</v>
      </c>
      <c r="I34" s="3">
        <v>2779</v>
      </c>
      <c r="J34" s="4">
        <v>6.16</v>
      </c>
      <c r="K34" s="2">
        <v>57</v>
      </c>
      <c r="L34" s="2">
        <v>4</v>
      </c>
      <c r="M34" s="3">
        <v>13374</v>
      </c>
      <c r="N34" t="str" cm="1">
        <f t="array" ref="N34">_xlfn.IFS(Table1_3[[#This Row],[Patient Satisfaction Score]]&gt;=83,"High",H34&lt;=75,"Low",TRUE,"Moderate")</f>
        <v>High</v>
      </c>
      <c r="O34" t="str">
        <f t="shared" si="0"/>
        <v>Pediatric</v>
      </c>
      <c r="Q34" s="26" t="s">
        <v>40</v>
      </c>
      <c r="R34" s="15">
        <f>COUNTIF(G2:G1001,"Diagnostics")</f>
        <v>170</v>
      </c>
    </row>
    <row r="35" spans="1:18">
      <c r="A35" t="s">
        <v>394</v>
      </c>
      <c r="B35" t="s">
        <v>78</v>
      </c>
      <c r="C35" t="s">
        <v>15</v>
      </c>
      <c r="D35" t="s">
        <v>16</v>
      </c>
      <c r="E35" s="2">
        <v>5</v>
      </c>
      <c r="F35" t="s">
        <v>34</v>
      </c>
      <c r="G35" t="s">
        <v>23</v>
      </c>
      <c r="H35" s="2">
        <v>73</v>
      </c>
      <c r="I35" s="3">
        <v>5304</v>
      </c>
      <c r="J35" s="4">
        <v>18.920000000000002</v>
      </c>
      <c r="K35" s="2">
        <v>102</v>
      </c>
      <c r="L35" s="2">
        <v>3</v>
      </c>
      <c r="M35" s="3">
        <v>17359</v>
      </c>
      <c r="N35" t="str" cm="1">
        <f t="array" ref="N35">_xlfn.IFS(Table1_3[[#This Row],[Patient Satisfaction Score]]&gt;=83,"High",H35&lt;=75,"Low",TRUE,"Moderate")</f>
        <v>Low</v>
      </c>
      <c r="O35" t="str">
        <f t="shared" si="0"/>
        <v>Pediatric</v>
      </c>
      <c r="Q35" s="26" t="s">
        <v>23</v>
      </c>
      <c r="R35" s="15">
        <f>COUNTIF(G2:G1001,"Emergency Care")</f>
        <v>165</v>
      </c>
    </row>
    <row r="36" spans="1:18">
      <c r="A36" t="s">
        <v>138</v>
      </c>
      <c r="B36" t="s">
        <v>84</v>
      </c>
      <c r="C36" t="s">
        <v>21</v>
      </c>
      <c r="D36" t="s">
        <v>27</v>
      </c>
      <c r="E36" s="2">
        <v>6</v>
      </c>
      <c r="F36" t="s">
        <v>34</v>
      </c>
      <c r="G36" t="s">
        <v>49</v>
      </c>
      <c r="H36" s="2">
        <v>72</v>
      </c>
      <c r="I36" s="3">
        <v>6535</v>
      </c>
      <c r="J36" s="4">
        <v>15.51</v>
      </c>
      <c r="K36" s="2">
        <v>108</v>
      </c>
      <c r="L36" s="2">
        <v>4</v>
      </c>
      <c r="M36" s="3">
        <v>19833</v>
      </c>
      <c r="N36" t="str" cm="1">
        <f t="array" ref="N36">_xlfn.IFS(Table1_3[[#This Row],[Patient Satisfaction Score]]&gt;=83,"High",H36&lt;=75,"Low",TRUE,"Moderate")</f>
        <v>Low</v>
      </c>
      <c r="O36" t="str">
        <f t="shared" si="0"/>
        <v>Pediatric</v>
      </c>
      <c r="Q36" s="26"/>
      <c r="R36" s="15">
        <f>SUM(R30:R35)</f>
        <v>1000</v>
      </c>
    </row>
    <row r="37" spans="1:18">
      <c r="A37" t="s">
        <v>63</v>
      </c>
      <c r="B37" t="s">
        <v>64</v>
      </c>
      <c r="C37" t="s">
        <v>30</v>
      </c>
      <c r="D37" t="s">
        <v>27</v>
      </c>
      <c r="E37" s="2">
        <v>6</v>
      </c>
      <c r="F37" t="s">
        <v>17</v>
      </c>
      <c r="G37" t="s">
        <v>18</v>
      </c>
      <c r="H37" s="2">
        <v>66</v>
      </c>
      <c r="I37" s="3">
        <v>3542</v>
      </c>
      <c r="J37" s="4">
        <v>27.85</v>
      </c>
      <c r="K37" s="2">
        <v>109</v>
      </c>
      <c r="L37" s="2">
        <v>3</v>
      </c>
      <c r="M37" s="3">
        <v>10651</v>
      </c>
      <c r="N37" t="str" cm="1">
        <f t="array" ref="N37">_xlfn.IFS(Table1_3[[#This Row],[Patient Satisfaction Score]]&gt;=83,"High",H37&lt;=75,"Low",TRUE,"Moderate")</f>
        <v>Low</v>
      </c>
      <c r="O37" t="str">
        <f t="shared" si="0"/>
        <v>Pediatric</v>
      </c>
    </row>
    <row r="38" spans="1:18">
      <c r="A38" t="s">
        <v>178</v>
      </c>
      <c r="B38" t="s">
        <v>25</v>
      </c>
      <c r="C38" t="s">
        <v>39</v>
      </c>
      <c r="D38" t="s">
        <v>16</v>
      </c>
      <c r="E38" s="2">
        <v>6</v>
      </c>
      <c r="F38" t="s">
        <v>17</v>
      </c>
      <c r="G38" t="s">
        <v>18</v>
      </c>
      <c r="H38" s="2">
        <v>79</v>
      </c>
      <c r="I38" s="3">
        <v>2623</v>
      </c>
      <c r="J38" s="4">
        <v>15.25</v>
      </c>
      <c r="K38" s="2">
        <v>95</v>
      </c>
      <c r="L38" s="2">
        <v>4</v>
      </c>
      <c r="M38" s="3">
        <v>13896</v>
      </c>
      <c r="N38" t="str" cm="1">
        <f t="array" ref="N38">_xlfn.IFS(Table1_3[[#This Row],[Patient Satisfaction Score]]&gt;=83,"High",H38&lt;=75,"Low",TRUE,"Moderate")</f>
        <v>Moderate</v>
      </c>
      <c r="O38" t="str">
        <f t="shared" si="0"/>
        <v>Pediatric</v>
      </c>
    </row>
    <row r="39" spans="1:18">
      <c r="A39" t="s">
        <v>434</v>
      </c>
      <c r="B39" t="s">
        <v>25</v>
      </c>
      <c r="C39" t="s">
        <v>39</v>
      </c>
      <c r="D39" t="s">
        <v>27</v>
      </c>
      <c r="E39" s="2">
        <v>6</v>
      </c>
      <c r="F39" t="s">
        <v>17</v>
      </c>
      <c r="G39" t="s">
        <v>23</v>
      </c>
      <c r="H39" s="2">
        <v>82</v>
      </c>
      <c r="I39" s="3">
        <v>3329</v>
      </c>
      <c r="J39" s="4">
        <v>6.98</v>
      </c>
      <c r="K39" s="2">
        <v>70</v>
      </c>
      <c r="L39" s="2">
        <v>4</v>
      </c>
      <c r="M39" s="3">
        <v>12452</v>
      </c>
      <c r="N39" t="str" cm="1">
        <f t="array" ref="N39">_xlfn.IFS(Table1_3[[#This Row],[Patient Satisfaction Score]]&gt;=83,"High",H39&lt;=75,"Low",TRUE,"Moderate")</f>
        <v>Moderate</v>
      </c>
      <c r="O39" t="str">
        <f t="shared" si="0"/>
        <v>Pediatric</v>
      </c>
    </row>
    <row r="40" spans="1:18">
      <c r="A40" t="s">
        <v>580</v>
      </c>
      <c r="B40" t="s">
        <v>25</v>
      </c>
      <c r="C40" t="s">
        <v>39</v>
      </c>
      <c r="D40" t="s">
        <v>16</v>
      </c>
      <c r="E40" s="2">
        <v>6</v>
      </c>
      <c r="F40" t="s">
        <v>17</v>
      </c>
      <c r="G40" t="s">
        <v>40</v>
      </c>
      <c r="H40" s="2">
        <v>85</v>
      </c>
      <c r="I40" s="3">
        <v>3306</v>
      </c>
      <c r="J40" s="4">
        <v>15.74</v>
      </c>
      <c r="K40" s="2">
        <v>49</v>
      </c>
      <c r="L40" s="2">
        <v>4</v>
      </c>
      <c r="M40" s="3">
        <v>9106</v>
      </c>
      <c r="N40" t="str" cm="1">
        <f t="array" ref="N40">_xlfn.IFS(Table1_3[[#This Row],[Patient Satisfaction Score]]&gt;=83,"High",H40&lt;=75,"Low",TRUE,"Moderate")</f>
        <v>High</v>
      </c>
      <c r="O40" t="str">
        <f t="shared" si="0"/>
        <v>Pediatric</v>
      </c>
    </row>
    <row r="41" spans="1:18">
      <c r="A41" t="s">
        <v>874</v>
      </c>
      <c r="B41" t="s">
        <v>54</v>
      </c>
      <c r="C41" t="s">
        <v>39</v>
      </c>
      <c r="D41" t="s">
        <v>16</v>
      </c>
      <c r="E41" s="2">
        <v>6</v>
      </c>
      <c r="F41" t="s">
        <v>17</v>
      </c>
      <c r="G41" t="s">
        <v>40</v>
      </c>
      <c r="H41" s="2">
        <v>81</v>
      </c>
      <c r="I41" s="3">
        <v>2898</v>
      </c>
      <c r="J41" s="4">
        <v>14.55</v>
      </c>
      <c r="K41" s="2">
        <v>49</v>
      </c>
      <c r="L41" s="2">
        <v>4</v>
      </c>
      <c r="M41" s="3">
        <v>15556</v>
      </c>
      <c r="N41" t="str" cm="1">
        <f t="array" ref="N41">_xlfn.IFS(Table1_3[[#This Row],[Patient Satisfaction Score]]&gt;=83,"High",H41&lt;=75,"Low",TRUE,"Moderate")</f>
        <v>Moderate</v>
      </c>
      <c r="O41" t="str">
        <f t="shared" si="0"/>
        <v>Pediatric</v>
      </c>
    </row>
    <row r="42" spans="1:18">
      <c r="A42" t="s">
        <v>1057</v>
      </c>
      <c r="B42" t="s">
        <v>25</v>
      </c>
      <c r="C42" t="s">
        <v>39</v>
      </c>
      <c r="D42" t="s">
        <v>72</v>
      </c>
      <c r="E42" s="2">
        <v>6</v>
      </c>
      <c r="F42" t="s">
        <v>34</v>
      </c>
      <c r="G42" t="s">
        <v>18</v>
      </c>
      <c r="H42" s="2">
        <v>85</v>
      </c>
      <c r="I42" s="3">
        <v>3024</v>
      </c>
      <c r="J42" s="4">
        <v>6.63</v>
      </c>
      <c r="K42" s="2">
        <v>64</v>
      </c>
      <c r="L42" s="2">
        <v>5</v>
      </c>
      <c r="M42" s="3">
        <v>10988</v>
      </c>
      <c r="N42" t="str" cm="1">
        <f t="array" ref="N42">_xlfn.IFS(Table1_3[[#This Row],[Patient Satisfaction Score]]&gt;=83,"High",H42&lt;=75,"Low",TRUE,"Moderate")</f>
        <v>High</v>
      </c>
      <c r="O42" t="str">
        <f t="shared" si="0"/>
        <v>Pediatric</v>
      </c>
    </row>
    <row r="43" spans="1:18">
      <c r="A43" t="s">
        <v>479</v>
      </c>
      <c r="B43" t="s">
        <v>137</v>
      </c>
      <c r="C43" t="s">
        <v>26</v>
      </c>
      <c r="D43" t="s">
        <v>16</v>
      </c>
      <c r="E43" s="2">
        <v>7</v>
      </c>
      <c r="F43" t="s">
        <v>34</v>
      </c>
      <c r="G43" t="s">
        <v>49</v>
      </c>
      <c r="H43" s="2">
        <v>93</v>
      </c>
      <c r="I43" s="3">
        <v>1907</v>
      </c>
      <c r="J43" s="4">
        <v>0</v>
      </c>
      <c r="K43" s="2">
        <v>37</v>
      </c>
      <c r="L43" s="2">
        <v>5</v>
      </c>
      <c r="M43" s="3">
        <v>9220</v>
      </c>
      <c r="N43" t="str" cm="1">
        <f t="array" ref="N43">_xlfn.IFS(Table1_3[[#This Row],[Patient Satisfaction Score]]&gt;=83,"High",H43&lt;=75,"Low",TRUE,"Moderate")</f>
        <v>High</v>
      </c>
      <c r="O43" t="str">
        <f t="shared" si="0"/>
        <v>Pediatric</v>
      </c>
    </row>
    <row r="44" spans="1:18">
      <c r="A44" t="s">
        <v>931</v>
      </c>
      <c r="B44" t="s">
        <v>62</v>
      </c>
      <c r="C44" t="s">
        <v>52</v>
      </c>
      <c r="D44" t="s">
        <v>27</v>
      </c>
      <c r="E44" s="2">
        <v>7</v>
      </c>
      <c r="F44" t="s">
        <v>34</v>
      </c>
      <c r="G44" t="s">
        <v>40</v>
      </c>
      <c r="H44" s="2">
        <v>71</v>
      </c>
      <c r="I44" s="3">
        <v>6575</v>
      </c>
      <c r="J44" s="4">
        <v>16.510000000000002</v>
      </c>
      <c r="K44" s="2">
        <v>88</v>
      </c>
      <c r="L44" s="2">
        <v>4</v>
      </c>
      <c r="M44" s="3">
        <v>26005</v>
      </c>
      <c r="N44" t="str" cm="1">
        <f t="array" ref="N44">_xlfn.IFS(Table1_3[[#This Row],[Patient Satisfaction Score]]&gt;=83,"High",H44&lt;=75,"Low",TRUE,"Moderate")</f>
        <v>Low</v>
      </c>
      <c r="O44" t="str">
        <f t="shared" si="0"/>
        <v>Pediatric</v>
      </c>
    </row>
    <row r="45" spans="1:18">
      <c r="A45" t="s">
        <v>448</v>
      </c>
      <c r="B45" t="s">
        <v>143</v>
      </c>
      <c r="C45" t="s">
        <v>21</v>
      </c>
      <c r="D45" t="s">
        <v>27</v>
      </c>
      <c r="E45" s="2">
        <v>7</v>
      </c>
      <c r="F45" t="s">
        <v>17</v>
      </c>
      <c r="G45" t="s">
        <v>23</v>
      </c>
      <c r="H45" s="2">
        <v>74</v>
      </c>
      <c r="I45" s="3">
        <v>5674</v>
      </c>
      <c r="J45" s="4">
        <v>10.24</v>
      </c>
      <c r="K45" s="2">
        <v>102</v>
      </c>
      <c r="L45" s="2">
        <v>4</v>
      </c>
      <c r="M45" s="3">
        <v>21524</v>
      </c>
      <c r="N45" t="str" cm="1">
        <f t="array" ref="N45">_xlfn.IFS(Table1_3[[#This Row],[Patient Satisfaction Score]]&gt;=83,"High",H45&lt;=75,"Low",TRUE,"Moderate")</f>
        <v>Low</v>
      </c>
      <c r="O45" t="str">
        <f t="shared" si="0"/>
        <v>Pediatric</v>
      </c>
    </row>
    <row r="46" spans="1:18">
      <c r="A46" t="s">
        <v>864</v>
      </c>
      <c r="B46" t="s">
        <v>56</v>
      </c>
      <c r="C46" t="s">
        <v>45</v>
      </c>
      <c r="D46" t="s">
        <v>16</v>
      </c>
      <c r="E46" s="2">
        <v>7</v>
      </c>
      <c r="F46" t="s">
        <v>17</v>
      </c>
      <c r="G46" t="s">
        <v>40</v>
      </c>
      <c r="H46" s="2">
        <v>77</v>
      </c>
      <c r="I46" s="3">
        <v>6862</v>
      </c>
      <c r="J46" s="4">
        <v>15.41</v>
      </c>
      <c r="K46" s="2">
        <v>101</v>
      </c>
      <c r="L46" s="2">
        <v>4</v>
      </c>
      <c r="M46" s="3">
        <v>29237</v>
      </c>
      <c r="N46" t="str" cm="1">
        <f t="array" ref="N46">_xlfn.IFS(Table1_3[[#This Row],[Patient Satisfaction Score]]&gt;=83,"High",H46&lt;=75,"Low",TRUE,"Moderate")</f>
        <v>Moderate</v>
      </c>
      <c r="O46" t="str">
        <f t="shared" si="0"/>
        <v>Pediatric</v>
      </c>
    </row>
    <row r="47" spans="1:18">
      <c r="A47" t="s">
        <v>162</v>
      </c>
      <c r="B47" t="s">
        <v>54</v>
      </c>
      <c r="C47" t="s">
        <v>39</v>
      </c>
      <c r="D47" t="s">
        <v>27</v>
      </c>
      <c r="E47" s="2">
        <v>7</v>
      </c>
      <c r="F47" t="s">
        <v>22</v>
      </c>
      <c r="G47" t="s">
        <v>18</v>
      </c>
      <c r="H47" s="2">
        <v>79</v>
      </c>
      <c r="I47" s="3">
        <v>2593</v>
      </c>
      <c r="J47" s="4">
        <v>8.6</v>
      </c>
      <c r="K47" s="2">
        <v>63</v>
      </c>
      <c r="L47" s="2">
        <v>4</v>
      </c>
      <c r="M47" s="3">
        <v>14632</v>
      </c>
      <c r="N47" t="str" cm="1">
        <f t="array" ref="N47">_xlfn.IFS(Table1_3[[#This Row],[Patient Satisfaction Score]]&gt;=83,"High",H47&lt;=75,"Low",TRUE,"Moderate")</f>
        <v>Moderate</v>
      </c>
      <c r="O47" t="str">
        <f t="shared" si="0"/>
        <v>Pediatric</v>
      </c>
    </row>
    <row r="48" spans="1:18">
      <c r="A48" t="s">
        <v>208</v>
      </c>
      <c r="B48" t="s">
        <v>66</v>
      </c>
      <c r="C48" t="s">
        <v>39</v>
      </c>
      <c r="D48" t="s">
        <v>16</v>
      </c>
      <c r="E48" s="2">
        <v>7</v>
      </c>
      <c r="F48" t="s">
        <v>17</v>
      </c>
      <c r="G48" t="s">
        <v>40</v>
      </c>
      <c r="H48" s="2">
        <v>85</v>
      </c>
      <c r="I48" s="3">
        <v>3341</v>
      </c>
      <c r="J48" s="4">
        <v>9.7899999999999991</v>
      </c>
      <c r="K48" s="2">
        <v>69</v>
      </c>
      <c r="L48" s="2">
        <v>5</v>
      </c>
      <c r="M48" s="3">
        <v>9887</v>
      </c>
      <c r="N48" t="str" cm="1">
        <f t="array" ref="N48">_xlfn.IFS(Table1_3[[#This Row],[Patient Satisfaction Score]]&gt;=83,"High",H48&lt;=75,"Low",TRUE,"Moderate")</f>
        <v>High</v>
      </c>
      <c r="O48" t="str">
        <f t="shared" si="0"/>
        <v>Pediatric</v>
      </c>
    </row>
    <row r="49" spans="1:15">
      <c r="A49" t="s">
        <v>278</v>
      </c>
      <c r="B49" t="s">
        <v>54</v>
      </c>
      <c r="C49" t="s">
        <v>39</v>
      </c>
      <c r="D49" t="s">
        <v>27</v>
      </c>
      <c r="E49" s="2">
        <v>7</v>
      </c>
      <c r="F49" t="s">
        <v>22</v>
      </c>
      <c r="G49" t="s">
        <v>70</v>
      </c>
      <c r="H49" s="2">
        <v>80</v>
      </c>
      <c r="I49" s="3">
        <v>3397</v>
      </c>
      <c r="J49" s="4">
        <v>12.69</v>
      </c>
      <c r="K49" s="2">
        <v>74</v>
      </c>
      <c r="L49" s="2">
        <v>3</v>
      </c>
      <c r="M49" s="3">
        <v>20199</v>
      </c>
      <c r="N49" t="str" cm="1">
        <f t="array" ref="N49">_xlfn.IFS(Table1_3[[#This Row],[Patient Satisfaction Score]]&gt;=83,"High",H49&lt;=75,"Low",TRUE,"Moderate")</f>
        <v>Moderate</v>
      </c>
      <c r="O49" t="str">
        <f t="shared" si="0"/>
        <v>Pediatric</v>
      </c>
    </row>
    <row r="50" spans="1:15">
      <c r="A50" t="s">
        <v>295</v>
      </c>
      <c r="B50" t="s">
        <v>38</v>
      </c>
      <c r="C50" t="s">
        <v>39</v>
      </c>
      <c r="D50" t="s">
        <v>27</v>
      </c>
      <c r="E50" s="2">
        <v>7</v>
      </c>
      <c r="F50" t="s">
        <v>17</v>
      </c>
      <c r="G50" t="s">
        <v>18</v>
      </c>
      <c r="H50" s="2">
        <v>84</v>
      </c>
      <c r="I50" s="3">
        <v>2495</v>
      </c>
      <c r="J50" s="4">
        <v>4.3099999999999996</v>
      </c>
      <c r="K50" s="2">
        <v>55</v>
      </c>
      <c r="L50" s="2">
        <v>5</v>
      </c>
      <c r="M50" s="3">
        <v>13020</v>
      </c>
      <c r="N50" t="str" cm="1">
        <f t="array" ref="N50">_xlfn.IFS(Table1_3[[#This Row],[Patient Satisfaction Score]]&gt;=83,"High",H50&lt;=75,"Low",TRUE,"Moderate")</f>
        <v>High</v>
      </c>
      <c r="O50" t="str">
        <f t="shared" si="0"/>
        <v>Pediatric</v>
      </c>
    </row>
    <row r="51" spans="1:15">
      <c r="A51" t="s">
        <v>420</v>
      </c>
      <c r="B51" t="s">
        <v>25</v>
      </c>
      <c r="C51" t="s">
        <v>39</v>
      </c>
      <c r="D51" t="s">
        <v>27</v>
      </c>
      <c r="E51" s="2">
        <v>7</v>
      </c>
      <c r="F51" t="s">
        <v>34</v>
      </c>
      <c r="G51" t="s">
        <v>70</v>
      </c>
      <c r="H51" s="2">
        <v>91</v>
      </c>
      <c r="I51" s="3">
        <v>3234</v>
      </c>
      <c r="J51" s="4">
        <v>2.69</v>
      </c>
      <c r="K51" s="2">
        <v>66</v>
      </c>
      <c r="L51" s="2">
        <v>5</v>
      </c>
      <c r="M51" s="3">
        <v>12704</v>
      </c>
      <c r="N51" t="str" cm="1">
        <f t="array" ref="N51">_xlfn.IFS(Table1_3[[#This Row],[Patient Satisfaction Score]]&gt;=83,"High",H51&lt;=75,"Low",TRUE,"Moderate")</f>
        <v>High</v>
      </c>
      <c r="O51" t="str">
        <f t="shared" si="0"/>
        <v>Pediatric</v>
      </c>
    </row>
    <row r="52" spans="1:15">
      <c r="A52" t="s">
        <v>643</v>
      </c>
      <c r="B52" t="s">
        <v>54</v>
      </c>
      <c r="C52" t="s">
        <v>39</v>
      </c>
      <c r="D52" t="s">
        <v>16</v>
      </c>
      <c r="E52" s="2">
        <v>7</v>
      </c>
      <c r="F52" t="s">
        <v>22</v>
      </c>
      <c r="G52" t="s">
        <v>31</v>
      </c>
      <c r="H52" s="2">
        <v>77</v>
      </c>
      <c r="I52" s="3">
        <v>2667</v>
      </c>
      <c r="J52" s="4">
        <v>15.76</v>
      </c>
      <c r="K52" s="2">
        <v>48</v>
      </c>
      <c r="L52" s="2">
        <v>4</v>
      </c>
      <c r="M52" s="3">
        <v>12592</v>
      </c>
      <c r="N52" t="str" cm="1">
        <f t="array" ref="N52">_xlfn.IFS(Table1_3[[#This Row],[Patient Satisfaction Score]]&gt;=83,"High",H52&lt;=75,"Low",TRUE,"Moderate")</f>
        <v>Moderate</v>
      </c>
      <c r="O52" t="str">
        <f t="shared" si="0"/>
        <v>Pediatric</v>
      </c>
    </row>
    <row r="53" spans="1:15">
      <c r="A53" t="s">
        <v>731</v>
      </c>
      <c r="B53" t="s">
        <v>38</v>
      </c>
      <c r="C53" t="s">
        <v>39</v>
      </c>
      <c r="D53" t="s">
        <v>16</v>
      </c>
      <c r="E53" s="2">
        <v>7</v>
      </c>
      <c r="F53" t="s">
        <v>34</v>
      </c>
      <c r="G53" t="s">
        <v>31</v>
      </c>
      <c r="H53" s="2">
        <v>85</v>
      </c>
      <c r="I53" s="3">
        <v>2970</v>
      </c>
      <c r="J53" s="4">
        <v>9.9600000000000009</v>
      </c>
      <c r="K53" s="2">
        <v>45</v>
      </c>
      <c r="L53" s="2">
        <v>4</v>
      </c>
      <c r="M53" s="3">
        <v>10559</v>
      </c>
      <c r="N53" t="str" cm="1">
        <f t="array" ref="N53">_xlfn.IFS(Table1_3[[#This Row],[Patient Satisfaction Score]]&gt;=83,"High",H53&lt;=75,"Low",TRUE,"Moderate")</f>
        <v>High</v>
      </c>
      <c r="O53" t="str">
        <f t="shared" si="0"/>
        <v>Pediatric</v>
      </c>
    </row>
    <row r="54" spans="1:15">
      <c r="A54" t="s">
        <v>779</v>
      </c>
      <c r="B54" t="s">
        <v>66</v>
      </c>
      <c r="C54" t="s">
        <v>39</v>
      </c>
      <c r="D54" t="s">
        <v>16</v>
      </c>
      <c r="E54" s="2">
        <v>7</v>
      </c>
      <c r="F54" t="s">
        <v>17</v>
      </c>
      <c r="G54" t="s">
        <v>70</v>
      </c>
      <c r="H54" s="2">
        <v>78</v>
      </c>
      <c r="I54" s="3">
        <v>3603</v>
      </c>
      <c r="J54" s="4">
        <v>13.13</v>
      </c>
      <c r="K54" s="2">
        <v>66</v>
      </c>
      <c r="L54" s="2">
        <v>4</v>
      </c>
      <c r="M54" s="3">
        <v>10440</v>
      </c>
      <c r="N54" t="str" cm="1">
        <f t="array" ref="N54">_xlfn.IFS(Table1_3[[#This Row],[Patient Satisfaction Score]]&gt;=83,"High",H54&lt;=75,"Low",TRUE,"Moderate")</f>
        <v>Moderate</v>
      </c>
      <c r="O54" t="str">
        <f t="shared" si="0"/>
        <v>Pediatric</v>
      </c>
    </row>
    <row r="55" spans="1:15">
      <c r="A55" t="s">
        <v>836</v>
      </c>
      <c r="B55" t="s">
        <v>25</v>
      </c>
      <c r="C55" t="s">
        <v>39</v>
      </c>
      <c r="D55" t="s">
        <v>27</v>
      </c>
      <c r="E55" s="2">
        <v>7</v>
      </c>
      <c r="F55" t="s">
        <v>34</v>
      </c>
      <c r="G55" t="s">
        <v>31</v>
      </c>
      <c r="H55" s="2">
        <v>96</v>
      </c>
      <c r="I55" s="3">
        <v>2691</v>
      </c>
      <c r="J55" s="4">
        <v>3.2</v>
      </c>
      <c r="K55" s="2">
        <v>49</v>
      </c>
      <c r="L55" s="2">
        <v>5</v>
      </c>
      <c r="M55" s="3">
        <v>7793</v>
      </c>
      <c r="N55" t="str" cm="1">
        <f t="array" ref="N55">_xlfn.IFS(Table1_3[[#This Row],[Patient Satisfaction Score]]&gt;=83,"High",H55&lt;=75,"Low",TRUE,"Moderate")</f>
        <v>High</v>
      </c>
      <c r="O55" t="str">
        <f t="shared" si="0"/>
        <v>Pediatric</v>
      </c>
    </row>
    <row r="56" spans="1:15">
      <c r="A56" t="s">
        <v>922</v>
      </c>
      <c r="B56" t="s">
        <v>38</v>
      </c>
      <c r="C56" t="s">
        <v>39</v>
      </c>
      <c r="D56" t="s">
        <v>27</v>
      </c>
      <c r="E56" s="2">
        <v>7</v>
      </c>
      <c r="F56" t="s">
        <v>17</v>
      </c>
      <c r="G56" t="s">
        <v>70</v>
      </c>
      <c r="H56" s="2">
        <v>89</v>
      </c>
      <c r="I56" s="3">
        <v>2024</v>
      </c>
      <c r="J56" s="4">
        <v>0</v>
      </c>
      <c r="K56" s="2">
        <v>61</v>
      </c>
      <c r="L56" s="2">
        <v>5</v>
      </c>
      <c r="M56" s="3">
        <v>7392</v>
      </c>
      <c r="N56" t="str" cm="1">
        <f t="array" ref="N56">_xlfn.IFS(Table1_3[[#This Row],[Patient Satisfaction Score]]&gt;=83,"High",H56&lt;=75,"Low",TRUE,"Moderate")</f>
        <v>High</v>
      </c>
      <c r="O56" t="str">
        <f t="shared" si="0"/>
        <v>Pediatric</v>
      </c>
    </row>
    <row r="57" spans="1:15">
      <c r="A57" t="s">
        <v>992</v>
      </c>
      <c r="B57" t="s">
        <v>54</v>
      </c>
      <c r="C57" t="s">
        <v>39</v>
      </c>
      <c r="D57" t="s">
        <v>27</v>
      </c>
      <c r="E57" s="2">
        <v>7</v>
      </c>
      <c r="F57" t="s">
        <v>34</v>
      </c>
      <c r="G57" t="s">
        <v>40</v>
      </c>
      <c r="H57" s="2">
        <v>78</v>
      </c>
      <c r="I57" s="3">
        <v>2905</v>
      </c>
      <c r="J57" s="4">
        <v>9.23</v>
      </c>
      <c r="K57" s="2">
        <v>75</v>
      </c>
      <c r="L57" s="2">
        <v>4</v>
      </c>
      <c r="M57" s="3">
        <v>16349</v>
      </c>
      <c r="N57" t="str" cm="1">
        <f t="array" ref="N57">_xlfn.IFS(Table1_3[[#This Row],[Patient Satisfaction Score]]&gt;=83,"High",H57&lt;=75,"Low",TRUE,"Moderate")</f>
        <v>Moderate</v>
      </c>
      <c r="O57" t="str">
        <f t="shared" si="0"/>
        <v>Pediatric</v>
      </c>
    </row>
    <row r="58" spans="1:15">
      <c r="A58" t="s">
        <v>1067</v>
      </c>
      <c r="B58" t="s">
        <v>38</v>
      </c>
      <c r="C58" t="s">
        <v>39</v>
      </c>
      <c r="D58" t="s">
        <v>16</v>
      </c>
      <c r="E58" s="2">
        <v>7</v>
      </c>
      <c r="F58" t="s">
        <v>17</v>
      </c>
      <c r="G58" t="s">
        <v>70</v>
      </c>
      <c r="H58" s="2">
        <v>92</v>
      </c>
      <c r="I58" s="3">
        <v>4006</v>
      </c>
      <c r="J58" s="4">
        <v>4.71</v>
      </c>
      <c r="K58" s="2">
        <v>36</v>
      </c>
      <c r="L58" s="2">
        <v>4</v>
      </c>
      <c r="M58" s="3">
        <v>22318</v>
      </c>
      <c r="N58" t="str" cm="1">
        <f t="array" ref="N58">_xlfn.IFS(Table1_3[[#This Row],[Patient Satisfaction Score]]&gt;=83,"High",H58&lt;=75,"Low",TRUE,"Moderate")</f>
        <v>High</v>
      </c>
      <c r="O58" t="str">
        <f t="shared" si="0"/>
        <v>Pediatric</v>
      </c>
    </row>
    <row r="59" spans="1:15">
      <c r="A59" t="s">
        <v>887</v>
      </c>
      <c r="B59" t="s">
        <v>47</v>
      </c>
      <c r="C59" t="s">
        <v>48</v>
      </c>
      <c r="D59" t="s">
        <v>72</v>
      </c>
      <c r="E59" s="2">
        <v>8</v>
      </c>
      <c r="F59" t="s">
        <v>34</v>
      </c>
      <c r="G59" t="s">
        <v>31</v>
      </c>
      <c r="H59" s="2">
        <v>90</v>
      </c>
      <c r="I59" s="3">
        <v>6251</v>
      </c>
      <c r="J59" s="4">
        <v>10.95</v>
      </c>
      <c r="K59" s="2">
        <v>12</v>
      </c>
      <c r="L59" s="2">
        <v>4</v>
      </c>
      <c r="M59" s="3">
        <v>35554</v>
      </c>
      <c r="N59" t="str" cm="1">
        <f t="array" ref="N59">_xlfn.IFS(Table1_3[[#This Row],[Patient Satisfaction Score]]&gt;=83,"High",H59&lt;=75,"Low",TRUE,"Moderate")</f>
        <v>High</v>
      </c>
      <c r="O59" t="str">
        <f t="shared" si="0"/>
        <v>Pediatric</v>
      </c>
    </row>
    <row r="60" spans="1:15">
      <c r="A60" t="s">
        <v>809</v>
      </c>
      <c r="B60" t="s">
        <v>185</v>
      </c>
      <c r="C60" t="s">
        <v>52</v>
      </c>
      <c r="D60" t="s">
        <v>27</v>
      </c>
      <c r="E60" s="2">
        <v>8</v>
      </c>
      <c r="F60" t="s">
        <v>34</v>
      </c>
      <c r="G60" t="s">
        <v>31</v>
      </c>
      <c r="H60" s="2">
        <v>80</v>
      </c>
      <c r="I60" s="3">
        <v>8022</v>
      </c>
      <c r="J60" s="4">
        <v>8.9499999999999993</v>
      </c>
      <c r="K60" s="2">
        <v>100</v>
      </c>
      <c r="L60" s="2">
        <v>4</v>
      </c>
      <c r="M60" s="3">
        <v>29555</v>
      </c>
      <c r="N60" t="str" cm="1">
        <f t="array" ref="N60">_xlfn.IFS(Table1_3[[#This Row],[Patient Satisfaction Score]]&gt;=83,"High",H60&lt;=75,"Low",TRUE,"Moderate")</f>
        <v>Moderate</v>
      </c>
      <c r="O60" t="str">
        <f t="shared" si="0"/>
        <v>Pediatric</v>
      </c>
    </row>
    <row r="61" spans="1:15">
      <c r="A61" t="s">
        <v>261</v>
      </c>
      <c r="B61" t="s">
        <v>20</v>
      </c>
      <c r="C61" t="s">
        <v>21</v>
      </c>
      <c r="D61" t="s">
        <v>27</v>
      </c>
      <c r="E61" s="2">
        <v>8</v>
      </c>
      <c r="F61" t="s">
        <v>34</v>
      </c>
      <c r="G61" t="s">
        <v>40</v>
      </c>
      <c r="H61" s="2">
        <v>79</v>
      </c>
      <c r="I61" s="3">
        <v>2745</v>
      </c>
      <c r="J61" s="4">
        <v>16.170000000000002</v>
      </c>
      <c r="K61" s="2">
        <v>77</v>
      </c>
      <c r="L61" s="2">
        <v>4</v>
      </c>
      <c r="M61" s="3">
        <v>8938</v>
      </c>
      <c r="N61" t="str" cm="1">
        <f t="array" ref="N61">_xlfn.IFS(Table1_3[[#This Row],[Patient Satisfaction Score]]&gt;=83,"High",H61&lt;=75,"Low",TRUE,"Moderate")</f>
        <v>Moderate</v>
      </c>
      <c r="O61" t="str">
        <f t="shared" si="0"/>
        <v>Pediatric</v>
      </c>
    </row>
    <row r="62" spans="1:15">
      <c r="A62" t="s">
        <v>537</v>
      </c>
      <c r="B62" t="s">
        <v>143</v>
      </c>
      <c r="C62" t="s">
        <v>21</v>
      </c>
      <c r="D62" t="s">
        <v>16</v>
      </c>
      <c r="E62" s="2">
        <v>8</v>
      </c>
      <c r="F62" t="s">
        <v>17</v>
      </c>
      <c r="G62" t="s">
        <v>40</v>
      </c>
      <c r="H62" s="2">
        <v>82</v>
      </c>
      <c r="I62" s="3">
        <v>7987</v>
      </c>
      <c r="J62" s="4">
        <v>15.84</v>
      </c>
      <c r="K62" s="2">
        <v>74</v>
      </c>
      <c r="L62" s="2">
        <v>4</v>
      </c>
      <c r="M62" s="3">
        <v>35515</v>
      </c>
      <c r="N62" t="str" cm="1">
        <f t="array" ref="N62">_xlfn.IFS(Table1_3[[#This Row],[Patient Satisfaction Score]]&gt;=83,"High",H62&lt;=75,"Low",TRUE,"Moderate")</f>
        <v>Moderate</v>
      </c>
      <c r="O62" t="str">
        <f t="shared" si="0"/>
        <v>Pediatric</v>
      </c>
    </row>
    <row r="63" spans="1:15">
      <c r="A63" t="s">
        <v>1022</v>
      </c>
      <c r="B63" t="s">
        <v>68</v>
      </c>
      <c r="C63" t="s">
        <v>45</v>
      </c>
      <c r="D63" t="s">
        <v>27</v>
      </c>
      <c r="E63" s="2">
        <v>8</v>
      </c>
      <c r="F63" t="s">
        <v>34</v>
      </c>
      <c r="G63" t="s">
        <v>49</v>
      </c>
      <c r="H63" s="2">
        <v>74</v>
      </c>
      <c r="I63" s="3">
        <v>10866</v>
      </c>
      <c r="J63" s="4">
        <v>13.36</v>
      </c>
      <c r="K63" s="2">
        <v>107</v>
      </c>
      <c r="L63" s="2">
        <v>4</v>
      </c>
      <c r="M63" s="3">
        <v>30877</v>
      </c>
      <c r="N63" t="str" cm="1">
        <f t="array" ref="N63">_xlfn.IFS(Table1_3[[#This Row],[Patient Satisfaction Score]]&gt;=83,"High",H63&lt;=75,"Low",TRUE,"Moderate")</f>
        <v>Low</v>
      </c>
      <c r="O63" t="str">
        <f t="shared" si="0"/>
        <v>Pediatric</v>
      </c>
    </row>
    <row r="64" spans="1:15">
      <c r="A64" t="s">
        <v>164</v>
      </c>
      <c r="B64" t="s">
        <v>38</v>
      </c>
      <c r="C64" t="s">
        <v>39</v>
      </c>
      <c r="D64" t="s">
        <v>16</v>
      </c>
      <c r="E64" s="2">
        <v>8</v>
      </c>
      <c r="F64" t="s">
        <v>17</v>
      </c>
      <c r="G64" t="s">
        <v>31</v>
      </c>
      <c r="H64" s="2">
        <v>87</v>
      </c>
      <c r="I64" s="3">
        <v>1752</v>
      </c>
      <c r="J64" s="4">
        <v>3.04</v>
      </c>
      <c r="K64" s="2">
        <v>6</v>
      </c>
      <c r="L64" s="2">
        <v>4</v>
      </c>
      <c r="M64" s="3">
        <v>5495</v>
      </c>
      <c r="N64" t="str" cm="1">
        <f t="array" ref="N64">_xlfn.IFS(Table1_3[[#This Row],[Patient Satisfaction Score]]&gt;=83,"High",H64&lt;=75,"Low",TRUE,"Moderate")</f>
        <v>High</v>
      </c>
      <c r="O64" t="str">
        <f t="shared" si="0"/>
        <v>Pediatric</v>
      </c>
    </row>
    <row r="65" spans="1:15">
      <c r="A65" t="s">
        <v>192</v>
      </c>
      <c r="B65" t="s">
        <v>25</v>
      </c>
      <c r="C65" t="s">
        <v>39</v>
      </c>
      <c r="D65" t="s">
        <v>16</v>
      </c>
      <c r="E65" s="2">
        <v>8</v>
      </c>
      <c r="F65" t="s">
        <v>34</v>
      </c>
      <c r="G65" t="s">
        <v>40</v>
      </c>
      <c r="H65" s="2">
        <v>78</v>
      </c>
      <c r="I65" s="3">
        <v>3852</v>
      </c>
      <c r="J65" s="4">
        <v>5.72</v>
      </c>
      <c r="K65" s="2">
        <v>83</v>
      </c>
      <c r="L65" s="2">
        <v>4</v>
      </c>
      <c r="M65" s="3">
        <v>20629</v>
      </c>
      <c r="N65" t="str" cm="1">
        <f t="array" ref="N65">_xlfn.IFS(Table1_3[[#This Row],[Patient Satisfaction Score]]&gt;=83,"High",H65&lt;=75,"Low",TRUE,"Moderate")</f>
        <v>Moderate</v>
      </c>
      <c r="O65" t="str">
        <f t="shared" si="0"/>
        <v>Pediatric</v>
      </c>
    </row>
    <row r="66" spans="1:15">
      <c r="A66" t="s">
        <v>269</v>
      </c>
      <c r="B66" t="s">
        <v>38</v>
      </c>
      <c r="C66" t="s">
        <v>39</v>
      </c>
      <c r="D66" t="s">
        <v>16</v>
      </c>
      <c r="E66" s="2">
        <v>8</v>
      </c>
      <c r="F66" t="s">
        <v>34</v>
      </c>
      <c r="G66" t="s">
        <v>23</v>
      </c>
      <c r="H66" s="2">
        <v>87</v>
      </c>
      <c r="I66" s="3">
        <v>2040</v>
      </c>
      <c r="J66" s="4">
        <v>6.37</v>
      </c>
      <c r="K66" s="2">
        <v>37</v>
      </c>
      <c r="L66" s="2">
        <v>5</v>
      </c>
      <c r="M66" s="3">
        <v>9649</v>
      </c>
      <c r="N66" t="str" cm="1">
        <f t="array" ref="N66">_xlfn.IFS(Table1_3[[#This Row],[Patient Satisfaction Score]]&gt;=83,"High",H66&lt;=75,"Low",TRUE,"Moderate")</f>
        <v>High</v>
      </c>
      <c r="O66" t="str">
        <f t="shared" ref="O66:O129" si="1">IF(E66&lt;19,"Pediatric","Adult")</f>
        <v>Pediatric</v>
      </c>
    </row>
    <row r="67" spans="1:15">
      <c r="A67" t="s">
        <v>763</v>
      </c>
      <c r="B67" t="s">
        <v>54</v>
      </c>
      <c r="C67" t="s">
        <v>39</v>
      </c>
      <c r="D67" t="s">
        <v>27</v>
      </c>
      <c r="E67" s="2">
        <v>8</v>
      </c>
      <c r="F67" t="s">
        <v>17</v>
      </c>
      <c r="G67" t="s">
        <v>40</v>
      </c>
      <c r="H67" s="2">
        <v>73</v>
      </c>
      <c r="I67" s="3">
        <v>3119</v>
      </c>
      <c r="J67" s="4">
        <v>10.07</v>
      </c>
      <c r="K67" s="2">
        <v>54</v>
      </c>
      <c r="L67" s="2">
        <v>4</v>
      </c>
      <c r="M67" s="3">
        <v>13244</v>
      </c>
      <c r="N67" t="str" cm="1">
        <f t="array" ref="N67">_xlfn.IFS(Table1_3[[#This Row],[Patient Satisfaction Score]]&gt;=83,"High",H67&lt;=75,"Low",TRUE,"Moderate")</f>
        <v>Low</v>
      </c>
      <c r="O67" t="str">
        <f t="shared" si="1"/>
        <v>Pediatric</v>
      </c>
    </row>
    <row r="68" spans="1:15">
      <c r="A68" t="s">
        <v>942</v>
      </c>
      <c r="B68" t="s">
        <v>95</v>
      </c>
      <c r="C68" t="s">
        <v>52</v>
      </c>
      <c r="D68" t="s">
        <v>27</v>
      </c>
      <c r="E68" s="2">
        <v>9</v>
      </c>
      <c r="F68" t="s">
        <v>22</v>
      </c>
      <c r="G68" t="s">
        <v>31</v>
      </c>
      <c r="H68" s="2">
        <v>86</v>
      </c>
      <c r="I68" s="3">
        <v>9075</v>
      </c>
      <c r="J68" s="4">
        <v>14.67</v>
      </c>
      <c r="K68" s="2">
        <v>62</v>
      </c>
      <c r="L68" s="2">
        <v>4</v>
      </c>
      <c r="M68" s="3">
        <v>31747</v>
      </c>
      <c r="N68" t="str" cm="1">
        <f t="array" ref="N68">_xlfn.IFS(Table1_3[[#This Row],[Patient Satisfaction Score]]&gt;=83,"High",H68&lt;=75,"Low",TRUE,"Moderate")</f>
        <v>High</v>
      </c>
      <c r="O68" t="str">
        <f t="shared" si="1"/>
        <v>Pediatric</v>
      </c>
    </row>
    <row r="69" spans="1:15">
      <c r="A69" t="s">
        <v>1040</v>
      </c>
      <c r="B69" t="s">
        <v>185</v>
      </c>
      <c r="C69" t="s">
        <v>52</v>
      </c>
      <c r="D69" t="s">
        <v>16</v>
      </c>
      <c r="E69" s="2">
        <v>9</v>
      </c>
      <c r="F69" t="s">
        <v>22</v>
      </c>
      <c r="G69" t="s">
        <v>70</v>
      </c>
      <c r="H69" s="2">
        <v>78</v>
      </c>
      <c r="I69" s="3">
        <v>5936</v>
      </c>
      <c r="J69" s="4">
        <v>14.23</v>
      </c>
      <c r="K69" s="2">
        <v>114</v>
      </c>
      <c r="L69" s="2">
        <v>4</v>
      </c>
      <c r="M69" s="3">
        <v>20198</v>
      </c>
      <c r="N69" t="str" cm="1">
        <f t="array" ref="N69">_xlfn.IFS(Table1_3[[#This Row],[Patient Satisfaction Score]]&gt;=83,"High",H69&lt;=75,"Low",TRUE,"Moderate")</f>
        <v>Moderate</v>
      </c>
      <c r="O69" t="str">
        <f t="shared" si="1"/>
        <v>Pediatric</v>
      </c>
    </row>
    <row r="70" spans="1:15">
      <c r="A70" t="s">
        <v>119</v>
      </c>
      <c r="B70" t="s">
        <v>25</v>
      </c>
      <c r="C70" t="s">
        <v>39</v>
      </c>
      <c r="D70" t="s">
        <v>27</v>
      </c>
      <c r="E70" s="2">
        <v>9</v>
      </c>
      <c r="F70" t="s">
        <v>22</v>
      </c>
      <c r="G70" t="s">
        <v>40</v>
      </c>
      <c r="H70" s="2">
        <v>77</v>
      </c>
      <c r="I70" s="3">
        <v>2729</v>
      </c>
      <c r="J70" s="4">
        <v>10.49</v>
      </c>
      <c r="K70" s="2">
        <v>60</v>
      </c>
      <c r="L70" s="2">
        <v>4</v>
      </c>
      <c r="M70" s="3">
        <v>15935</v>
      </c>
      <c r="N70" t="str" cm="1">
        <f t="array" ref="N70">_xlfn.IFS(Table1_3[[#This Row],[Patient Satisfaction Score]]&gt;=83,"High",H70&lt;=75,"Low",TRUE,"Moderate")</f>
        <v>Moderate</v>
      </c>
      <c r="O70" t="str">
        <f t="shared" si="1"/>
        <v>Pediatric</v>
      </c>
    </row>
    <row r="71" spans="1:15">
      <c r="A71" t="s">
        <v>151</v>
      </c>
      <c r="B71" t="s">
        <v>38</v>
      </c>
      <c r="C71" t="s">
        <v>39</v>
      </c>
      <c r="D71" t="s">
        <v>27</v>
      </c>
      <c r="E71" s="2">
        <v>9</v>
      </c>
      <c r="F71" t="s">
        <v>34</v>
      </c>
      <c r="G71" t="s">
        <v>18</v>
      </c>
      <c r="H71" s="2">
        <v>80</v>
      </c>
      <c r="I71" s="3">
        <v>3141</v>
      </c>
      <c r="J71" s="4">
        <v>11.08</v>
      </c>
      <c r="K71" s="2">
        <v>15</v>
      </c>
      <c r="L71" s="2">
        <v>4</v>
      </c>
      <c r="M71" s="3">
        <v>9383</v>
      </c>
      <c r="N71" t="str" cm="1">
        <f t="array" ref="N71">_xlfn.IFS(Table1_3[[#This Row],[Patient Satisfaction Score]]&gt;=83,"High",H71&lt;=75,"Low",TRUE,"Moderate")</f>
        <v>Moderate</v>
      </c>
      <c r="O71" t="str">
        <f t="shared" si="1"/>
        <v>Pediatric</v>
      </c>
    </row>
    <row r="72" spans="1:15">
      <c r="A72" t="s">
        <v>217</v>
      </c>
      <c r="B72" t="s">
        <v>54</v>
      </c>
      <c r="C72" t="s">
        <v>39</v>
      </c>
      <c r="D72" t="s">
        <v>16</v>
      </c>
      <c r="E72" s="2">
        <v>9</v>
      </c>
      <c r="F72" t="s">
        <v>34</v>
      </c>
      <c r="G72" t="s">
        <v>70</v>
      </c>
      <c r="H72" s="2">
        <v>87</v>
      </c>
      <c r="I72" s="3">
        <v>2381</v>
      </c>
      <c r="J72" s="4">
        <v>5.88</v>
      </c>
      <c r="K72" s="2">
        <v>64</v>
      </c>
      <c r="L72" s="2">
        <v>5</v>
      </c>
      <c r="M72" s="3">
        <v>10104</v>
      </c>
      <c r="N72" t="str" cm="1">
        <f t="array" ref="N72">_xlfn.IFS(Table1_3[[#This Row],[Patient Satisfaction Score]]&gt;=83,"High",H72&lt;=75,"Low",TRUE,"Moderate")</f>
        <v>High</v>
      </c>
      <c r="O72" t="str">
        <f t="shared" si="1"/>
        <v>Pediatric</v>
      </c>
    </row>
    <row r="73" spans="1:15">
      <c r="A73" t="s">
        <v>307</v>
      </c>
      <c r="B73" t="s">
        <v>66</v>
      </c>
      <c r="C73" t="s">
        <v>39</v>
      </c>
      <c r="D73" t="s">
        <v>27</v>
      </c>
      <c r="E73" s="2">
        <v>9</v>
      </c>
      <c r="F73" t="s">
        <v>17</v>
      </c>
      <c r="G73" t="s">
        <v>40</v>
      </c>
      <c r="H73" s="2">
        <v>89</v>
      </c>
      <c r="I73" s="3">
        <v>2268</v>
      </c>
      <c r="J73" s="4">
        <v>8.4700000000000006</v>
      </c>
      <c r="K73" s="2">
        <v>56</v>
      </c>
      <c r="L73" s="2">
        <v>5</v>
      </c>
      <c r="M73" s="3">
        <v>8184</v>
      </c>
      <c r="N73" t="str" cm="1">
        <f t="array" ref="N73">_xlfn.IFS(Table1_3[[#This Row],[Patient Satisfaction Score]]&gt;=83,"High",H73&lt;=75,"Low",TRUE,"Moderate")</f>
        <v>High</v>
      </c>
      <c r="O73" t="str">
        <f t="shared" si="1"/>
        <v>Pediatric</v>
      </c>
    </row>
    <row r="74" spans="1:15">
      <c r="A74" t="s">
        <v>739</v>
      </c>
      <c r="B74" t="s">
        <v>25</v>
      </c>
      <c r="C74" t="s">
        <v>39</v>
      </c>
      <c r="D74" t="s">
        <v>27</v>
      </c>
      <c r="E74" s="2">
        <v>9</v>
      </c>
      <c r="F74" t="s">
        <v>17</v>
      </c>
      <c r="G74" t="s">
        <v>23</v>
      </c>
      <c r="H74" s="2">
        <v>95</v>
      </c>
      <c r="I74" s="3">
        <v>3419</v>
      </c>
      <c r="J74" s="4">
        <v>3.13</v>
      </c>
      <c r="K74" s="2">
        <v>53</v>
      </c>
      <c r="L74" s="2">
        <v>4</v>
      </c>
      <c r="M74" s="3">
        <v>9833</v>
      </c>
      <c r="N74" t="str" cm="1">
        <f t="array" ref="N74">_xlfn.IFS(Table1_3[[#This Row],[Patient Satisfaction Score]]&gt;=83,"High",H74&lt;=75,"Low",TRUE,"Moderate")</f>
        <v>High</v>
      </c>
      <c r="O74" t="str">
        <f t="shared" si="1"/>
        <v>Pediatric</v>
      </c>
    </row>
    <row r="75" spans="1:15">
      <c r="A75" t="s">
        <v>845</v>
      </c>
      <c r="B75" t="s">
        <v>42</v>
      </c>
      <c r="C75" t="s">
        <v>39</v>
      </c>
      <c r="D75" t="s">
        <v>16</v>
      </c>
      <c r="E75" s="2">
        <v>9</v>
      </c>
      <c r="F75" t="s">
        <v>22</v>
      </c>
      <c r="G75" t="s">
        <v>40</v>
      </c>
      <c r="H75" s="2">
        <v>94</v>
      </c>
      <c r="I75" s="3">
        <v>3365</v>
      </c>
      <c r="J75" s="4">
        <v>0</v>
      </c>
      <c r="K75" s="2">
        <v>38</v>
      </c>
      <c r="L75" s="2">
        <v>4</v>
      </c>
      <c r="M75" s="3">
        <v>17872</v>
      </c>
      <c r="N75" t="str" cm="1">
        <f t="array" ref="N75">_xlfn.IFS(Table1_3[[#This Row],[Patient Satisfaction Score]]&gt;=83,"High",H75&lt;=75,"Low",TRUE,"Moderate")</f>
        <v>High</v>
      </c>
      <c r="O75" t="str">
        <f t="shared" si="1"/>
        <v>Pediatric</v>
      </c>
    </row>
    <row r="76" spans="1:15">
      <c r="A76" t="s">
        <v>852</v>
      </c>
      <c r="B76" t="s">
        <v>66</v>
      </c>
      <c r="C76" t="s">
        <v>39</v>
      </c>
      <c r="D76" t="s">
        <v>16</v>
      </c>
      <c r="E76" s="2">
        <v>9</v>
      </c>
      <c r="F76" t="s">
        <v>22</v>
      </c>
      <c r="G76" t="s">
        <v>70</v>
      </c>
      <c r="H76" s="2">
        <v>84</v>
      </c>
      <c r="I76" s="3">
        <v>3285</v>
      </c>
      <c r="J76" s="4">
        <v>1.01</v>
      </c>
      <c r="K76" s="2">
        <v>64</v>
      </c>
      <c r="L76" s="2">
        <v>4</v>
      </c>
      <c r="M76" s="3">
        <v>8228</v>
      </c>
      <c r="N76" t="str" cm="1">
        <f t="array" ref="N76">_xlfn.IFS(Table1_3[[#This Row],[Patient Satisfaction Score]]&gt;=83,"High",H76&lt;=75,"Low",TRUE,"Moderate")</f>
        <v>High</v>
      </c>
      <c r="O76" t="str">
        <f t="shared" si="1"/>
        <v>Pediatric</v>
      </c>
    </row>
    <row r="77" spans="1:15">
      <c r="A77" t="s">
        <v>720</v>
      </c>
      <c r="B77" t="s">
        <v>29</v>
      </c>
      <c r="C77" t="s">
        <v>30</v>
      </c>
      <c r="D77" t="s">
        <v>16</v>
      </c>
      <c r="E77" s="2">
        <v>9</v>
      </c>
      <c r="F77" t="s">
        <v>22</v>
      </c>
      <c r="G77" t="s">
        <v>31</v>
      </c>
      <c r="H77" s="2">
        <v>76</v>
      </c>
      <c r="I77" s="3">
        <v>3658</v>
      </c>
      <c r="J77" s="4">
        <v>15.75</v>
      </c>
      <c r="K77" s="2">
        <v>65</v>
      </c>
      <c r="L77" s="2">
        <v>4</v>
      </c>
      <c r="M77" s="3">
        <v>14538</v>
      </c>
      <c r="N77" t="str" cm="1">
        <f t="array" ref="N77">_xlfn.IFS(Table1_3[[#This Row],[Patient Satisfaction Score]]&gt;=83,"High",H77&lt;=75,"Low",TRUE,"Moderate")</f>
        <v>Moderate</v>
      </c>
      <c r="O77" t="str">
        <f t="shared" si="1"/>
        <v>Pediatric</v>
      </c>
    </row>
    <row r="78" spans="1:15">
      <c r="A78" t="s">
        <v>24</v>
      </c>
      <c r="B78" t="s">
        <v>25</v>
      </c>
      <c r="C78" t="s">
        <v>26</v>
      </c>
      <c r="D78" t="s">
        <v>27</v>
      </c>
      <c r="E78" s="2">
        <v>10</v>
      </c>
      <c r="F78" t="s">
        <v>17</v>
      </c>
      <c r="G78" t="s">
        <v>18</v>
      </c>
      <c r="H78" s="2">
        <v>83</v>
      </c>
      <c r="I78" s="3">
        <v>1993</v>
      </c>
      <c r="J78" s="4">
        <v>6.26</v>
      </c>
      <c r="K78" s="2">
        <v>33</v>
      </c>
      <c r="L78" s="2">
        <v>4</v>
      </c>
      <c r="M78" s="3">
        <v>8163</v>
      </c>
      <c r="N78" t="str" cm="1">
        <f t="array" ref="N78">_xlfn.IFS(Table1_3[[#This Row],[Patient Satisfaction Score]]&gt;=83,"High",H78&lt;=75,"Low",TRUE,"Moderate")</f>
        <v>High</v>
      </c>
      <c r="O78" t="str">
        <f t="shared" si="1"/>
        <v>Pediatric</v>
      </c>
    </row>
    <row r="79" spans="1:15">
      <c r="A79" t="s">
        <v>817</v>
      </c>
      <c r="B79" t="s">
        <v>25</v>
      </c>
      <c r="C79" t="s">
        <v>26</v>
      </c>
      <c r="D79" t="s">
        <v>27</v>
      </c>
      <c r="E79" s="2">
        <v>10</v>
      </c>
      <c r="F79" t="s">
        <v>17</v>
      </c>
      <c r="G79" t="s">
        <v>49</v>
      </c>
      <c r="H79" s="2">
        <v>90</v>
      </c>
      <c r="I79" s="3">
        <v>2543</v>
      </c>
      <c r="J79" s="4">
        <v>3.3</v>
      </c>
      <c r="K79" s="2">
        <v>49</v>
      </c>
      <c r="L79" s="2">
        <v>5</v>
      </c>
      <c r="M79" s="3">
        <v>10667</v>
      </c>
      <c r="N79" t="str" cm="1">
        <f t="array" ref="N79">_xlfn.IFS(Table1_3[[#This Row],[Patient Satisfaction Score]]&gt;=83,"High",H79&lt;=75,"Low",TRUE,"Moderate")</f>
        <v>High</v>
      </c>
      <c r="O79" t="str">
        <f t="shared" si="1"/>
        <v>Pediatric</v>
      </c>
    </row>
    <row r="80" spans="1:15">
      <c r="A80" t="s">
        <v>693</v>
      </c>
      <c r="B80" t="s">
        <v>62</v>
      </c>
      <c r="C80" t="s">
        <v>52</v>
      </c>
      <c r="D80" t="s">
        <v>16</v>
      </c>
      <c r="E80" s="2">
        <v>10</v>
      </c>
      <c r="F80" t="s">
        <v>17</v>
      </c>
      <c r="G80" t="s">
        <v>49</v>
      </c>
      <c r="H80" s="2">
        <v>77</v>
      </c>
      <c r="I80" s="3">
        <v>3352</v>
      </c>
      <c r="J80" s="4">
        <v>16.37</v>
      </c>
      <c r="K80" s="2">
        <v>80</v>
      </c>
      <c r="L80" s="2">
        <v>4</v>
      </c>
      <c r="M80" s="3">
        <v>18509</v>
      </c>
      <c r="N80" t="str" cm="1">
        <f t="array" ref="N80">_xlfn.IFS(Table1_3[[#This Row],[Patient Satisfaction Score]]&gt;=83,"High",H80&lt;=75,"Low",TRUE,"Moderate")</f>
        <v>Moderate</v>
      </c>
      <c r="O80" t="str">
        <f t="shared" si="1"/>
        <v>Pediatric</v>
      </c>
    </row>
    <row r="81" spans="1:15">
      <c r="A81" t="s">
        <v>37</v>
      </c>
      <c r="B81" t="s">
        <v>38</v>
      </c>
      <c r="C81" t="s">
        <v>39</v>
      </c>
      <c r="D81" t="s">
        <v>27</v>
      </c>
      <c r="E81" s="2">
        <v>10</v>
      </c>
      <c r="F81" t="s">
        <v>17</v>
      </c>
      <c r="G81" t="s">
        <v>40</v>
      </c>
      <c r="H81" s="2">
        <v>76</v>
      </c>
      <c r="I81" s="3">
        <v>2930</v>
      </c>
      <c r="J81" s="4">
        <v>6.8</v>
      </c>
      <c r="K81" s="2">
        <v>63</v>
      </c>
      <c r="L81" s="2">
        <v>4</v>
      </c>
      <c r="M81" s="3">
        <v>15823</v>
      </c>
      <c r="N81" t="str" cm="1">
        <f t="array" ref="N81">_xlfn.IFS(Table1_3[[#This Row],[Patient Satisfaction Score]]&gt;=83,"High",H81&lt;=75,"Low",TRUE,"Moderate")</f>
        <v>Moderate</v>
      </c>
      <c r="O81" t="str">
        <f t="shared" si="1"/>
        <v>Pediatric</v>
      </c>
    </row>
    <row r="82" spans="1:15">
      <c r="A82" t="s">
        <v>223</v>
      </c>
      <c r="B82" t="s">
        <v>66</v>
      </c>
      <c r="C82" t="s">
        <v>39</v>
      </c>
      <c r="D82" t="s">
        <v>27</v>
      </c>
      <c r="E82" s="2">
        <v>10</v>
      </c>
      <c r="F82" t="s">
        <v>22</v>
      </c>
      <c r="G82" t="s">
        <v>49</v>
      </c>
      <c r="H82" s="2">
        <v>84</v>
      </c>
      <c r="I82" s="3">
        <v>2009</v>
      </c>
      <c r="J82" s="4">
        <v>7.8</v>
      </c>
      <c r="K82" s="2">
        <v>54</v>
      </c>
      <c r="L82" s="2">
        <v>5</v>
      </c>
      <c r="M82" s="3">
        <v>8642</v>
      </c>
      <c r="N82" t="str" cm="1">
        <f t="array" ref="N82">_xlfn.IFS(Table1_3[[#This Row],[Patient Satisfaction Score]]&gt;=83,"High",H82&lt;=75,"Low",TRUE,"Moderate")</f>
        <v>High</v>
      </c>
      <c r="O82" t="str">
        <f t="shared" si="1"/>
        <v>Pediatric</v>
      </c>
    </row>
    <row r="83" spans="1:15">
      <c r="A83" t="s">
        <v>227</v>
      </c>
      <c r="B83" t="s">
        <v>66</v>
      </c>
      <c r="C83" t="s">
        <v>39</v>
      </c>
      <c r="D83" t="s">
        <v>72</v>
      </c>
      <c r="E83" s="2">
        <v>10</v>
      </c>
      <c r="F83" t="s">
        <v>34</v>
      </c>
      <c r="G83" t="s">
        <v>70</v>
      </c>
      <c r="H83" s="2">
        <v>78</v>
      </c>
      <c r="I83" s="3">
        <v>2818</v>
      </c>
      <c r="J83" s="4">
        <v>9.52</v>
      </c>
      <c r="K83" s="2">
        <v>85</v>
      </c>
      <c r="L83" s="2">
        <v>4</v>
      </c>
      <c r="M83" s="3">
        <v>7608</v>
      </c>
      <c r="N83" t="str" cm="1">
        <f t="array" ref="N83">_xlfn.IFS(Table1_3[[#This Row],[Patient Satisfaction Score]]&gt;=83,"High",H83&lt;=75,"Low",TRUE,"Moderate")</f>
        <v>Moderate</v>
      </c>
      <c r="O83" t="str">
        <f t="shared" si="1"/>
        <v>Pediatric</v>
      </c>
    </row>
    <row r="84" spans="1:15">
      <c r="A84" t="s">
        <v>264</v>
      </c>
      <c r="B84" t="s">
        <v>42</v>
      </c>
      <c r="C84" t="s">
        <v>39</v>
      </c>
      <c r="D84" t="s">
        <v>16</v>
      </c>
      <c r="E84" s="2">
        <v>10</v>
      </c>
      <c r="F84" t="s">
        <v>34</v>
      </c>
      <c r="G84" t="s">
        <v>70</v>
      </c>
      <c r="H84" s="2">
        <v>86</v>
      </c>
      <c r="I84" s="3">
        <v>3262</v>
      </c>
      <c r="J84" s="4">
        <v>12.76</v>
      </c>
      <c r="K84" s="2">
        <v>60</v>
      </c>
      <c r="L84" s="2">
        <v>4</v>
      </c>
      <c r="M84" s="3">
        <v>14172</v>
      </c>
      <c r="N84" t="str" cm="1">
        <f t="array" ref="N84">_xlfn.IFS(Table1_3[[#This Row],[Patient Satisfaction Score]]&gt;=83,"High",H84&lt;=75,"Low",TRUE,"Moderate")</f>
        <v>High</v>
      </c>
      <c r="O84" t="str">
        <f t="shared" si="1"/>
        <v>Pediatric</v>
      </c>
    </row>
    <row r="85" spans="1:15">
      <c r="A85" t="s">
        <v>431</v>
      </c>
      <c r="B85" t="s">
        <v>25</v>
      </c>
      <c r="C85" t="s">
        <v>39</v>
      </c>
      <c r="D85" t="s">
        <v>27</v>
      </c>
      <c r="E85" s="2">
        <v>10</v>
      </c>
      <c r="F85" t="s">
        <v>22</v>
      </c>
      <c r="G85" t="s">
        <v>23</v>
      </c>
      <c r="H85" s="2">
        <v>93</v>
      </c>
      <c r="I85" s="3">
        <v>3151</v>
      </c>
      <c r="J85" s="4">
        <v>6.5</v>
      </c>
      <c r="K85" s="2">
        <v>59</v>
      </c>
      <c r="L85" s="2">
        <v>4</v>
      </c>
      <c r="M85" s="3">
        <v>10747</v>
      </c>
      <c r="N85" t="str" cm="1">
        <f t="array" ref="N85">_xlfn.IFS(Table1_3[[#This Row],[Patient Satisfaction Score]]&gt;=83,"High",H85&lt;=75,"Low",TRUE,"Moderate")</f>
        <v>High</v>
      </c>
      <c r="O85" t="str">
        <f t="shared" si="1"/>
        <v>Pediatric</v>
      </c>
    </row>
    <row r="86" spans="1:15">
      <c r="A86" t="s">
        <v>475</v>
      </c>
      <c r="B86" t="s">
        <v>42</v>
      </c>
      <c r="C86" t="s">
        <v>39</v>
      </c>
      <c r="D86" t="s">
        <v>16</v>
      </c>
      <c r="E86" s="2">
        <v>10</v>
      </c>
      <c r="F86" t="s">
        <v>17</v>
      </c>
      <c r="G86" t="s">
        <v>18</v>
      </c>
      <c r="H86" s="2">
        <v>78</v>
      </c>
      <c r="I86" s="3">
        <v>2632</v>
      </c>
      <c r="J86" s="4">
        <v>12.21</v>
      </c>
      <c r="K86" s="2">
        <v>50</v>
      </c>
      <c r="L86" s="2">
        <v>4</v>
      </c>
      <c r="M86" s="3">
        <v>7774</v>
      </c>
      <c r="N86" t="str" cm="1">
        <f t="array" ref="N86">_xlfn.IFS(Table1_3[[#This Row],[Patient Satisfaction Score]]&gt;=83,"High",H86&lt;=75,"Low",TRUE,"Moderate")</f>
        <v>Moderate</v>
      </c>
      <c r="O86" t="str">
        <f t="shared" si="1"/>
        <v>Pediatric</v>
      </c>
    </row>
    <row r="87" spans="1:15">
      <c r="A87" t="s">
        <v>722</v>
      </c>
      <c r="B87" t="s">
        <v>25</v>
      </c>
      <c r="C87" t="s">
        <v>39</v>
      </c>
      <c r="D87" t="s">
        <v>16</v>
      </c>
      <c r="E87" s="2">
        <v>10</v>
      </c>
      <c r="F87" t="s">
        <v>22</v>
      </c>
      <c r="G87" t="s">
        <v>40</v>
      </c>
      <c r="H87" s="2">
        <v>87</v>
      </c>
      <c r="I87" s="3">
        <v>2703</v>
      </c>
      <c r="J87" s="4">
        <v>6.01</v>
      </c>
      <c r="K87" s="2">
        <v>89</v>
      </c>
      <c r="L87" s="2">
        <v>4</v>
      </c>
      <c r="M87" s="3">
        <v>6923</v>
      </c>
      <c r="N87" t="str" cm="1">
        <f t="array" ref="N87">_xlfn.IFS(Table1_3[[#This Row],[Patient Satisfaction Score]]&gt;=83,"High",H87&lt;=75,"Low",TRUE,"Moderate")</f>
        <v>High</v>
      </c>
      <c r="O87" t="str">
        <f t="shared" si="1"/>
        <v>Pediatric</v>
      </c>
    </row>
    <row r="88" spans="1:15">
      <c r="A88" t="s">
        <v>1062</v>
      </c>
      <c r="B88" t="s">
        <v>168</v>
      </c>
      <c r="C88" t="s">
        <v>45</v>
      </c>
      <c r="D88" t="s">
        <v>16</v>
      </c>
      <c r="E88" s="2">
        <v>10</v>
      </c>
      <c r="F88" t="s">
        <v>17</v>
      </c>
      <c r="G88" t="s">
        <v>40</v>
      </c>
      <c r="H88" s="2">
        <v>74</v>
      </c>
      <c r="I88" s="3">
        <v>6177</v>
      </c>
      <c r="J88" s="4">
        <v>11.03</v>
      </c>
      <c r="K88" s="2">
        <v>87</v>
      </c>
      <c r="L88" s="2">
        <v>3</v>
      </c>
      <c r="M88" s="3">
        <v>34058</v>
      </c>
      <c r="N88" t="str" cm="1">
        <f t="array" ref="N88">_xlfn.IFS(Table1_3[[#This Row],[Patient Satisfaction Score]]&gt;=83,"High",H88&lt;=75,"Low",TRUE,"Moderate")</f>
        <v>Low</v>
      </c>
      <c r="O88" t="str">
        <f t="shared" si="1"/>
        <v>Pediatric</v>
      </c>
    </row>
    <row r="89" spans="1:15">
      <c r="A89" t="s">
        <v>195</v>
      </c>
      <c r="B89" t="s">
        <v>109</v>
      </c>
      <c r="C89" t="s">
        <v>30</v>
      </c>
      <c r="D89" t="s">
        <v>16</v>
      </c>
      <c r="E89" s="2">
        <v>10</v>
      </c>
      <c r="F89" t="s">
        <v>17</v>
      </c>
      <c r="G89" t="s">
        <v>23</v>
      </c>
      <c r="H89" s="2">
        <v>73</v>
      </c>
      <c r="I89" s="3">
        <v>4118</v>
      </c>
      <c r="J89" s="4">
        <v>14.2</v>
      </c>
      <c r="K89" s="2">
        <v>84</v>
      </c>
      <c r="L89" s="2">
        <v>4</v>
      </c>
      <c r="M89" s="3">
        <v>13468</v>
      </c>
      <c r="N89" t="str" cm="1">
        <f t="array" ref="N89">_xlfn.IFS(Table1_3[[#This Row],[Patient Satisfaction Score]]&gt;=83,"High",H89&lt;=75,"Low",TRUE,"Moderate")</f>
        <v>Low</v>
      </c>
      <c r="O89" t="str">
        <f t="shared" si="1"/>
        <v>Pediatric</v>
      </c>
    </row>
    <row r="90" spans="1:15">
      <c r="A90" t="s">
        <v>507</v>
      </c>
      <c r="B90" t="s">
        <v>109</v>
      </c>
      <c r="C90" t="s">
        <v>30</v>
      </c>
      <c r="D90" t="s">
        <v>27</v>
      </c>
      <c r="E90" s="2">
        <v>10</v>
      </c>
      <c r="F90" t="s">
        <v>22</v>
      </c>
      <c r="G90" t="s">
        <v>23</v>
      </c>
      <c r="H90" s="2">
        <v>68</v>
      </c>
      <c r="I90" s="3">
        <v>3453</v>
      </c>
      <c r="J90" s="4">
        <v>19.8</v>
      </c>
      <c r="K90" s="2">
        <v>121</v>
      </c>
      <c r="L90" s="2">
        <v>3</v>
      </c>
      <c r="M90" s="3">
        <v>9270</v>
      </c>
      <c r="N90" t="str" cm="1">
        <f t="array" ref="N90">_xlfn.IFS(Table1_3[[#This Row],[Patient Satisfaction Score]]&gt;=83,"High",H90&lt;=75,"Low",TRUE,"Moderate")</f>
        <v>Low</v>
      </c>
      <c r="O90" t="str">
        <f t="shared" si="1"/>
        <v>Pediatric</v>
      </c>
    </row>
    <row r="91" spans="1:15">
      <c r="A91" t="s">
        <v>482</v>
      </c>
      <c r="B91" t="s">
        <v>88</v>
      </c>
      <c r="C91" t="s">
        <v>15</v>
      </c>
      <c r="D91" t="s">
        <v>16</v>
      </c>
      <c r="E91" s="2">
        <v>10</v>
      </c>
      <c r="F91" t="s">
        <v>22</v>
      </c>
      <c r="G91" t="s">
        <v>31</v>
      </c>
      <c r="H91" s="2">
        <v>78</v>
      </c>
      <c r="I91" s="3">
        <v>9188</v>
      </c>
      <c r="J91" s="4">
        <v>14.9</v>
      </c>
      <c r="K91" s="2">
        <v>66</v>
      </c>
      <c r="L91" s="2">
        <v>4</v>
      </c>
      <c r="M91" s="3">
        <v>53566</v>
      </c>
      <c r="N91" t="str" cm="1">
        <f t="array" ref="N91">_xlfn.IFS(Table1_3[[#This Row],[Patient Satisfaction Score]]&gt;=83,"High",H91&lt;=75,"Low",TRUE,"Moderate")</f>
        <v>Moderate</v>
      </c>
      <c r="O91" t="str">
        <f t="shared" si="1"/>
        <v>Pediatric</v>
      </c>
    </row>
    <row r="92" spans="1:15">
      <c r="A92" t="s">
        <v>980</v>
      </c>
      <c r="B92" t="s">
        <v>80</v>
      </c>
      <c r="C92" t="s">
        <v>15</v>
      </c>
      <c r="D92" t="s">
        <v>27</v>
      </c>
      <c r="E92" s="2">
        <v>10</v>
      </c>
      <c r="F92" t="s">
        <v>22</v>
      </c>
      <c r="G92" t="s">
        <v>31</v>
      </c>
      <c r="H92" s="2">
        <v>75</v>
      </c>
      <c r="I92" s="3">
        <v>6914</v>
      </c>
      <c r="J92" s="4">
        <v>13</v>
      </c>
      <c r="K92" s="2">
        <v>124</v>
      </c>
      <c r="L92" s="2">
        <v>4</v>
      </c>
      <c r="M92" s="3">
        <v>37422</v>
      </c>
      <c r="N92" t="str" cm="1">
        <f t="array" ref="N92">_xlfn.IFS(Table1_3[[#This Row],[Patient Satisfaction Score]]&gt;=83,"High",H92&lt;=75,"Low",TRUE,"Moderate")</f>
        <v>Low</v>
      </c>
      <c r="O92" t="str">
        <f t="shared" si="1"/>
        <v>Pediatric</v>
      </c>
    </row>
    <row r="93" spans="1:15">
      <c r="A93" t="s">
        <v>656</v>
      </c>
      <c r="B93" t="s">
        <v>47</v>
      </c>
      <c r="C93" t="s">
        <v>48</v>
      </c>
      <c r="D93" t="s">
        <v>16</v>
      </c>
      <c r="E93" s="2">
        <v>11</v>
      </c>
      <c r="F93" t="s">
        <v>34</v>
      </c>
      <c r="G93" t="s">
        <v>49</v>
      </c>
      <c r="H93" s="2">
        <v>69</v>
      </c>
      <c r="I93" s="3">
        <v>3629</v>
      </c>
      <c r="J93" s="4">
        <v>15</v>
      </c>
      <c r="K93" s="2">
        <v>65</v>
      </c>
      <c r="L93" s="2">
        <v>3</v>
      </c>
      <c r="M93" s="3">
        <v>18435</v>
      </c>
      <c r="N93" t="str" cm="1">
        <f t="array" ref="N93">_xlfn.IFS(Table1_3[[#This Row],[Patient Satisfaction Score]]&gt;=83,"High",H93&lt;=75,"Low",TRUE,"Moderate")</f>
        <v>Low</v>
      </c>
      <c r="O93" t="str">
        <f t="shared" si="1"/>
        <v>Pediatric</v>
      </c>
    </row>
    <row r="94" spans="1:15">
      <c r="A94" t="s">
        <v>990</v>
      </c>
      <c r="B94" t="s">
        <v>20</v>
      </c>
      <c r="C94" t="s">
        <v>21</v>
      </c>
      <c r="D94" t="s">
        <v>27</v>
      </c>
      <c r="E94" s="2">
        <v>11</v>
      </c>
      <c r="F94" t="s">
        <v>17</v>
      </c>
      <c r="G94" t="s">
        <v>31</v>
      </c>
      <c r="H94" s="2">
        <v>88</v>
      </c>
      <c r="I94" s="3">
        <v>5759</v>
      </c>
      <c r="J94" s="4">
        <v>13.57</v>
      </c>
      <c r="K94" s="2">
        <v>110</v>
      </c>
      <c r="L94" s="2">
        <v>5</v>
      </c>
      <c r="M94" s="3">
        <v>21640</v>
      </c>
      <c r="N94" t="str" cm="1">
        <f t="array" ref="N94">_xlfn.IFS(Table1_3[[#This Row],[Patient Satisfaction Score]]&gt;=83,"High",H94&lt;=75,"Low",TRUE,"Moderate")</f>
        <v>High</v>
      </c>
      <c r="O94" t="str">
        <f t="shared" si="1"/>
        <v>Pediatric</v>
      </c>
    </row>
    <row r="95" spans="1:15">
      <c r="A95" t="s">
        <v>218</v>
      </c>
      <c r="B95" t="s">
        <v>25</v>
      </c>
      <c r="C95" t="s">
        <v>39</v>
      </c>
      <c r="D95" t="s">
        <v>16</v>
      </c>
      <c r="E95" s="2">
        <v>11</v>
      </c>
      <c r="F95" t="s">
        <v>34</v>
      </c>
      <c r="G95" t="s">
        <v>40</v>
      </c>
      <c r="H95" s="2">
        <v>85</v>
      </c>
      <c r="I95" s="3">
        <v>3022</v>
      </c>
      <c r="J95" s="4">
        <v>8.48</v>
      </c>
      <c r="K95" s="2">
        <v>68</v>
      </c>
      <c r="L95" s="2">
        <v>4</v>
      </c>
      <c r="M95" s="3">
        <v>8318</v>
      </c>
      <c r="N95" t="str" cm="1">
        <f t="array" ref="N95">_xlfn.IFS(Table1_3[[#This Row],[Patient Satisfaction Score]]&gt;=83,"High",H95&lt;=75,"Low",TRUE,"Moderate")</f>
        <v>High</v>
      </c>
      <c r="O95" t="str">
        <f t="shared" si="1"/>
        <v>Pediatric</v>
      </c>
    </row>
    <row r="96" spans="1:15">
      <c r="A96" t="s">
        <v>365</v>
      </c>
      <c r="B96" t="s">
        <v>66</v>
      </c>
      <c r="C96" t="s">
        <v>39</v>
      </c>
      <c r="D96" t="s">
        <v>27</v>
      </c>
      <c r="E96" s="2">
        <v>11</v>
      </c>
      <c r="F96" t="s">
        <v>34</v>
      </c>
      <c r="G96" t="s">
        <v>70</v>
      </c>
      <c r="H96" s="2">
        <v>74</v>
      </c>
      <c r="I96" s="3">
        <v>3141</v>
      </c>
      <c r="J96" s="4">
        <v>13.48</v>
      </c>
      <c r="K96" s="2">
        <v>71</v>
      </c>
      <c r="L96" s="2">
        <v>4</v>
      </c>
      <c r="M96" s="3">
        <v>16376</v>
      </c>
      <c r="N96" t="str" cm="1">
        <f t="array" ref="N96">_xlfn.IFS(Table1_3[[#This Row],[Patient Satisfaction Score]]&gt;=83,"High",H96&lt;=75,"Low",TRUE,"Moderate")</f>
        <v>Low</v>
      </c>
      <c r="O96" t="str">
        <f t="shared" si="1"/>
        <v>Pediatric</v>
      </c>
    </row>
    <row r="97" spans="1:15">
      <c r="A97" t="s">
        <v>562</v>
      </c>
      <c r="B97" t="s">
        <v>42</v>
      </c>
      <c r="C97" t="s">
        <v>39</v>
      </c>
      <c r="D97" t="s">
        <v>16</v>
      </c>
      <c r="E97" s="2">
        <v>11</v>
      </c>
      <c r="F97" t="s">
        <v>34</v>
      </c>
      <c r="G97" t="s">
        <v>23</v>
      </c>
      <c r="H97" s="2">
        <v>91</v>
      </c>
      <c r="I97" s="3">
        <v>2832</v>
      </c>
      <c r="J97" s="4">
        <v>4.1399999999999997</v>
      </c>
      <c r="K97" s="2">
        <v>39</v>
      </c>
      <c r="L97" s="2">
        <v>4</v>
      </c>
      <c r="M97" s="3">
        <v>9149</v>
      </c>
      <c r="N97" t="str" cm="1">
        <f t="array" ref="N97">_xlfn.IFS(Table1_3[[#This Row],[Patient Satisfaction Score]]&gt;=83,"High",H97&lt;=75,"Low",TRUE,"Moderate")</f>
        <v>High</v>
      </c>
      <c r="O97" t="str">
        <f t="shared" si="1"/>
        <v>Pediatric</v>
      </c>
    </row>
    <row r="98" spans="1:15">
      <c r="A98" t="s">
        <v>946</v>
      </c>
      <c r="B98" t="s">
        <v>42</v>
      </c>
      <c r="C98" t="s">
        <v>39</v>
      </c>
      <c r="D98" t="s">
        <v>16</v>
      </c>
      <c r="E98" s="2">
        <v>11</v>
      </c>
      <c r="F98" t="s">
        <v>22</v>
      </c>
      <c r="G98" t="s">
        <v>18</v>
      </c>
      <c r="H98" s="2">
        <v>84</v>
      </c>
      <c r="I98" s="3">
        <v>3081</v>
      </c>
      <c r="J98" s="4">
        <v>8.1</v>
      </c>
      <c r="K98" s="2">
        <v>30</v>
      </c>
      <c r="L98" s="2">
        <v>5</v>
      </c>
      <c r="M98" s="3">
        <v>16648</v>
      </c>
      <c r="N98" t="str" cm="1">
        <f t="array" ref="N98">_xlfn.IFS(Table1_3[[#This Row],[Patient Satisfaction Score]]&gt;=83,"High",H98&lt;=75,"Low",TRUE,"Moderate")</f>
        <v>High</v>
      </c>
      <c r="O98" t="str">
        <f t="shared" si="1"/>
        <v>Pediatric</v>
      </c>
    </row>
    <row r="99" spans="1:15">
      <c r="A99" t="s">
        <v>901</v>
      </c>
      <c r="B99" t="s">
        <v>88</v>
      </c>
      <c r="C99" t="s">
        <v>15</v>
      </c>
      <c r="D99" t="s">
        <v>16</v>
      </c>
      <c r="E99" s="2">
        <v>11</v>
      </c>
      <c r="F99" t="s">
        <v>34</v>
      </c>
      <c r="G99" t="s">
        <v>49</v>
      </c>
      <c r="H99" s="2">
        <v>79</v>
      </c>
      <c r="I99" s="3">
        <v>6850</v>
      </c>
      <c r="J99" s="4">
        <v>9.52</v>
      </c>
      <c r="K99" s="2">
        <v>79</v>
      </c>
      <c r="L99" s="2">
        <v>4</v>
      </c>
      <c r="M99" s="3">
        <v>35099</v>
      </c>
      <c r="N99" t="str" cm="1">
        <f t="array" ref="N99">_xlfn.IFS(Table1_3[[#This Row],[Patient Satisfaction Score]]&gt;=83,"High",H99&lt;=75,"Low",TRUE,"Moderate")</f>
        <v>Moderate</v>
      </c>
      <c r="O99" t="str">
        <f t="shared" si="1"/>
        <v>Pediatric</v>
      </c>
    </row>
    <row r="100" spans="1:15">
      <c r="A100" t="s">
        <v>978</v>
      </c>
      <c r="B100" t="s">
        <v>38</v>
      </c>
      <c r="C100" t="s">
        <v>39</v>
      </c>
      <c r="D100" t="s">
        <v>16</v>
      </c>
      <c r="E100" s="2">
        <v>12</v>
      </c>
      <c r="F100" t="s">
        <v>22</v>
      </c>
      <c r="G100" t="s">
        <v>18</v>
      </c>
      <c r="H100" s="2">
        <v>85</v>
      </c>
      <c r="I100" s="3">
        <v>3681</v>
      </c>
      <c r="J100" s="4">
        <v>7.38</v>
      </c>
      <c r="K100" s="2">
        <v>47</v>
      </c>
      <c r="L100" s="2">
        <v>4</v>
      </c>
      <c r="M100" s="3">
        <v>16426</v>
      </c>
      <c r="N100" t="str" cm="1">
        <f t="array" ref="N100">_xlfn.IFS(Table1_3[[#This Row],[Patient Satisfaction Score]]&gt;=83,"High",H100&lt;=75,"Low",TRUE,"Moderate")</f>
        <v>High</v>
      </c>
      <c r="O100" t="str">
        <f t="shared" si="1"/>
        <v>Pediatric</v>
      </c>
    </row>
    <row r="101" spans="1:15">
      <c r="A101" t="s">
        <v>853</v>
      </c>
      <c r="B101" t="s">
        <v>42</v>
      </c>
      <c r="C101" t="s">
        <v>39</v>
      </c>
      <c r="D101" t="s">
        <v>27</v>
      </c>
      <c r="E101" s="2">
        <v>12</v>
      </c>
      <c r="F101" t="s">
        <v>17</v>
      </c>
      <c r="G101" t="s">
        <v>31</v>
      </c>
      <c r="H101" s="2">
        <v>84</v>
      </c>
      <c r="I101" s="3">
        <v>2396</v>
      </c>
      <c r="J101" s="4">
        <v>4.0999999999999996</v>
      </c>
      <c r="K101" s="2">
        <v>56</v>
      </c>
      <c r="L101" s="2">
        <v>4</v>
      </c>
      <c r="M101" s="3">
        <v>8381</v>
      </c>
      <c r="N101" t="str" cm="1">
        <f t="array" ref="N101">_xlfn.IFS(Table1_3[[#This Row],[Patient Satisfaction Score]]&gt;=83,"High",H101&lt;=75,"Low",TRUE,"Moderate")</f>
        <v>High</v>
      </c>
      <c r="O101" t="str">
        <f t="shared" si="1"/>
        <v>Pediatric</v>
      </c>
    </row>
    <row r="102" spans="1:15">
      <c r="A102" t="s">
        <v>133</v>
      </c>
      <c r="B102" t="s">
        <v>25</v>
      </c>
      <c r="C102" t="s">
        <v>26</v>
      </c>
      <c r="D102" t="s">
        <v>27</v>
      </c>
      <c r="E102" s="2">
        <v>12</v>
      </c>
      <c r="F102" t="s">
        <v>34</v>
      </c>
      <c r="G102" t="s">
        <v>18</v>
      </c>
      <c r="H102" s="2">
        <v>86</v>
      </c>
      <c r="I102" s="3">
        <v>2121</v>
      </c>
      <c r="J102" s="4">
        <v>0</v>
      </c>
      <c r="K102" s="2">
        <v>49</v>
      </c>
      <c r="L102" s="2">
        <v>4</v>
      </c>
      <c r="M102" s="3">
        <v>6191</v>
      </c>
      <c r="N102" t="str" cm="1">
        <f t="array" ref="N102">_xlfn.IFS(Table1_3[[#This Row],[Patient Satisfaction Score]]&gt;=83,"High",H102&lt;=75,"Low",TRUE,"Moderate")</f>
        <v>High</v>
      </c>
      <c r="O102" t="str">
        <f t="shared" si="1"/>
        <v>Pediatric</v>
      </c>
    </row>
    <row r="103" spans="1:15">
      <c r="A103" t="s">
        <v>757</v>
      </c>
      <c r="B103" t="s">
        <v>66</v>
      </c>
      <c r="C103" t="s">
        <v>39</v>
      </c>
      <c r="D103" t="s">
        <v>16</v>
      </c>
      <c r="E103" s="2">
        <v>12</v>
      </c>
      <c r="F103" t="s">
        <v>34</v>
      </c>
      <c r="G103" t="s">
        <v>40</v>
      </c>
      <c r="H103" s="2">
        <v>73</v>
      </c>
      <c r="I103" s="3">
        <v>3619</v>
      </c>
      <c r="J103" s="4">
        <v>14.26</v>
      </c>
      <c r="K103" s="2">
        <v>74</v>
      </c>
      <c r="L103" s="2">
        <v>3</v>
      </c>
      <c r="M103" s="3">
        <v>21562</v>
      </c>
      <c r="N103" t="str" cm="1">
        <f t="array" ref="N103">_xlfn.IFS(Table1_3[[#This Row],[Patient Satisfaction Score]]&gt;=83,"High",H103&lt;=75,"Low",TRUE,"Moderate")</f>
        <v>Low</v>
      </c>
      <c r="O103" t="str">
        <f t="shared" si="1"/>
        <v>Pediatric</v>
      </c>
    </row>
    <row r="104" spans="1:15">
      <c r="A104" t="s">
        <v>935</v>
      </c>
      <c r="B104" t="s">
        <v>66</v>
      </c>
      <c r="C104" t="s">
        <v>39</v>
      </c>
      <c r="D104" t="s">
        <v>72</v>
      </c>
      <c r="E104" s="2">
        <v>12</v>
      </c>
      <c r="F104" t="s">
        <v>22</v>
      </c>
      <c r="G104" t="s">
        <v>18</v>
      </c>
      <c r="H104" s="2">
        <v>81</v>
      </c>
      <c r="I104" s="3">
        <v>3057</v>
      </c>
      <c r="J104" s="4">
        <v>3.94</v>
      </c>
      <c r="K104" s="2">
        <v>34</v>
      </c>
      <c r="L104" s="2">
        <v>4</v>
      </c>
      <c r="M104" s="3">
        <v>14105</v>
      </c>
      <c r="N104" t="str" cm="1">
        <f t="array" ref="N104">_xlfn.IFS(Table1_3[[#This Row],[Patient Satisfaction Score]]&gt;=83,"High",H104&lt;=75,"Low",TRUE,"Moderate")</f>
        <v>Moderate</v>
      </c>
      <c r="O104" t="str">
        <f t="shared" si="1"/>
        <v>Pediatric</v>
      </c>
    </row>
    <row r="105" spans="1:15">
      <c r="A105" t="s">
        <v>964</v>
      </c>
      <c r="B105" t="s">
        <v>42</v>
      </c>
      <c r="C105" t="s">
        <v>39</v>
      </c>
      <c r="D105" t="s">
        <v>27</v>
      </c>
      <c r="E105" s="2">
        <v>12</v>
      </c>
      <c r="F105" t="s">
        <v>17</v>
      </c>
      <c r="G105" t="s">
        <v>18</v>
      </c>
      <c r="H105" s="2">
        <v>95</v>
      </c>
      <c r="I105" s="3">
        <v>3110</v>
      </c>
      <c r="J105" s="4">
        <v>9.81</v>
      </c>
      <c r="K105" s="2">
        <v>29</v>
      </c>
      <c r="L105" s="2">
        <v>4</v>
      </c>
      <c r="M105" s="3">
        <v>11519</v>
      </c>
      <c r="N105" t="str" cm="1">
        <f t="array" ref="N105">_xlfn.IFS(Table1_3[[#This Row],[Patient Satisfaction Score]]&gt;=83,"High",H105&lt;=75,"Low",TRUE,"Moderate")</f>
        <v>High</v>
      </c>
      <c r="O105" t="str">
        <f t="shared" si="1"/>
        <v>Pediatric</v>
      </c>
    </row>
    <row r="106" spans="1:15">
      <c r="A106" t="s">
        <v>650</v>
      </c>
      <c r="B106" t="s">
        <v>38</v>
      </c>
      <c r="C106" t="s">
        <v>39</v>
      </c>
      <c r="D106" t="s">
        <v>16</v>
      </c>
      <c r="E106" s="2">
        <v>12</v>
      </c>
      <c r="F106" t="s">
        <v>17</v>
      </c>
      <c r="G106" t="s">
        <v>70</v>
      </c>
      <c r="H106" s="2">
        <v>82</v>
      </c>
      <c r="I106" s="3">
        <v>4310</v>
      </c>
      <c r="J106" s="4">
        <v>10.28</v>
      </c>
      <c r="K106" s="2">
        <v>43</v>
      </c>
      <c r="L106" s="2">
        <v>4</v>
      </c>
      <c r="M106" s="3">
        <v>11400</v>
      </c>
      <c r="N106" t="str" cm="1">
        <f t="array" ref="N106">_xlfn.IFS(Table1_3[[#This Row],[Patient Satisfaction Score]]&gt;=83,"High",H106&lt;=75,"Low",TRUE,"Moderate")</f>
        <v>Moderate</v>
      </c>
      <c r="O106" t="str">
        <f t="shared" si="1"/>
        <v>Pediatric</v>
      </c>
    </row>
    <row r="107" spans="1:15">
      <c r="A107" t="s">
        <v>953</v>
      </c>
      <c r="B107" t="s">
        <v>38</v>
      </c>
      <c r="C107" t="s">
        <v>39</v>
      </c>
      <c r="D107" t="s">
        <v>16</v>
      </c>
      <c r="E107" s="2">
        <v>12</v>
      </c>
      <c r="F107" t="s">
        <v>34</v>
      </c>
      <c r="G107" t="s">
        <v>49</v>
      </c>
      <c r="H107" s="2">
        <v>73</v>
      </c>
      <c r="I107" s="3">
        <v>2384</v>
      </c>
      <c r="J107" s="4">
        <v>10.24</v>
      </c>
      <c r="K107" s="2">
        <v>72</v>
      </c>
      <c r="L107" s="2">
        <v>4</v>
      </c>
      <c r="M107" s="3">
        <v>7722</v>
      </c>
      <c r="N107" t="str" cm="1">
        <f t="array" ref="N107">_xlfn.IFS(Table1_3[[#This Row],[Patient Satisfaction Score]]&gt;=83,"High",H107&lt;=75,"Low",TRUE,"Moderate")</f>
        <v>Low</v>
      </c>
      <c r="O107" t="str">
        <f t="shared" si="1"/>
        <v>Pediatric</v>
      </c>
    </row>
    <row r="108" spans="1:15">
      <c r="A108" t="s">
        <v>508</v>
      </c>
      <c r="B108" t="s">
        <v>25</v>
      </c>
      <c r="C108" t="s">
        <v>39</v>
      </c>
      <c r="D108" t="s">
        <v>27</v>
      </c>
      <c r="E108" s="2">
        <v>12</v>
      </c>
      <c r="F108" t="s">
        <v>22</v>
      </c>
      <c r="G108" t="s">
        <v>49</v>
      </c>
      <c r="H108" s="2">
        <v>84</v>
      </c>
      <c r="I108" s="3">
        <v>3333</v>
      </c>
      <c r="J108" s="4">
        <v>2.66</v>
      </c>
      <c r="K108" s="2">
        <v>97</v>
      </c>
      <c r="L108" s="2">
        <v>4</v>
      </c>
      <c r="M108" s="3">
        <v>12522</v>
      </c>
      <c r="N108" t="str" cm="1">
        <f t="array" ref="N108">_xlfn.IFS(Table1_3[[#This Row],[Patient Satisfaction Score]]&gt;=83,"High",H108&lt;=75,"Low",TRUE,"Moderate")</f>
        <v>High</v>
      </c>
      <c r="O108" t="str">
        <f t="shared" si="1"/>
        <v>Pediatric</v>
      </c>
    </row>
    <row r="109" spans="1:15">
      <c r="A109" t="s">
        <v>826</v>
      </c>
      <c r="B109" t="s">
        <v>25</v>
      </c>
      <c r="C109" t="s">
        <v>39</v>
      </c>
      <c r="D109" t="s">
        <v>16</v>
      </c>
      <c r="E109" s="2">
        <v>12</v>
      </c>
      <c r="F109" t="s">
        <v>22</v>
      </c>
      <c r="G109" t="s">
        <v>31</v>
      </c>
      <c r="H109" s="2">
        <v>89</v>
      </c>
      <c r="I109" s="3">
        <v>2655</v>
      </c>
      <c r="J109" s="4">
        <v>10.15</v>
      </c>
      <c r="K109" s="2">
        <v>46</v>
      </c>
      <c r="L109" s="2">
        <v>4</v>
      </c>
      <c r="M109" s="3">
        <v>11791</v>
      </c>
      <c r="N109" t="str" cm="1">
        <f t="array" ref="N109">_xlfn.IFS(Table1_3[[#This Row],[Patient Satisfaction Score]]&gt;=83,"High",H109&lt;=75,"Low",TRUE,"Moderate")</f>
        <v>High</v>
      </c>
      <c r="O109" t="str">
        <f t="shared" si="1"/>
        <v>Pediatric</v>
      </c>
    </row>
    <row r="110" spans="1:15">
      <c r="A110" t="s">
        <v>819</v>
      </c>
      <c r="B110" t="s">
        <v>54</v>
      </c>
      <c r="C110" t="s">
        <v>39</v>
      </c>
      <c r="D110" t="s">
        <v>27</v>
      </c>
      <c r="E110" s="2">
        <v>12</v>
      </c>
      <c r="F110" t="s">
        <v>22</v>
      </c>
      <c r="G110" t="s">
        <v>70</v>
      </c>
      <c r="H110" s="2">
        <v>89</v>
      </c>
      <c r="I110" s="3">
        <v>3187</v>
      </c>
      <c r="J110" s="4">
        <v>8.52</v>
      </c>
      <c r="K110" s="2">
        <v>43</v>
      </c>
      <c r="L110" s="2">
        <v>4</v>
      </c>
      <c r="M110" s="3">
        <v>8585</v>
      </c>
      <c r="N110" t="str" cm="1">
        <f t="array" ref="N110">_xlfn.IFS(Table1_3[[#This Row],[Patient Satisfaction Score]]&gt;=83,"High",H110&lt;=75,"Low",TRUE,"Moderate")</f>
        <v>High</v>
      </c>
      <c r="O110" t="str">
        <f t="shared" si="1"/>
        <v>Pediatric</v>
      </c>
    </row>
    <row r="111" spans="1:15">
      <c r="A111" t="s">
        <v>423</v>
      </c>
      <c r="B111" t="s">
        <v>58</v>
      </c>
      <c r="C111" t="s">
        <v>48</v>
      </c>
      <c r="D111" t="s">
        <v>16</v>
      </c>
      <c r="E111" s="2">
        <v>12</v>
      </c>
      <c r="F111" t="s">
        <v>17</v>
      </c>
      <c r="G111" t="s">
        <v>70</v>
      </c>
      <c r="H111" s="2">
        <v>82</v>
      </c>
      <c r="I111" s="3">
        <v>8012</v>
      </c>
      <c r="J111" s="4">
        <v>10.029999999999999</v>
      </c>
      <c r="K111" s="2">
        <v>66</v>
      </c>
      <c r="L111" s="2">
        <v>4</v>
      </c>
      <c r="M111" s="3">
        <v>37227</v>
      </c>
      <c r="N111" t="str" cm="1">
        <f t="array" ref="N111">_xlfn.IFS(Table1_3[[#This Row],[Patient Satisfaction Score]]&gt;=83,"High",H111&lt;=75,"Low",TRUE,"Moderate")</f>
        <v>Moderate</v>
      </c>
      <c r="O111" t="str">
        <f t="shared" si="1"/>
        <v>Pediatric</v>
      </c>
    </row>
    <row r="112" spans="1:15">
      <c r="A112" t="s">
        <v>221</v>
      </c>
      <c r="B112" t="s">
        <v>60</v>
      </c>
      <c r="C112" t="s">
        <v>52</v>
      </c>
      <c r="D112" t="s">
        <v>16</v>
      </c>
      <c r="E112" s="2">
        <v>12</v>
      </c>
      <c r="F112" t="s">
        <v>34</v>
      </c>
      <c r="G112" t="s">
        <v>31</v>
      </c>
      <c r="H112" s="2">
        <v>82</v>
      </c>
      <c r="I112" s="3">
        <v>9280</v>
      </c>
      <c r="J112" s="4">
        <v>14.72</v>
      </c>
      <c r="K112" s="2">
        <v>68</v>
      </c>
      <c r="L112" s="2">
        <v>4</v>
      </c>
      <c r="M112" s="3">
        <v>43713</v>
      </c>
      <c r="N112" t="str" cm="1">
        <f t="array" ref="N112">_xlfn.IFS(Table1_3[[#This Row],[Patient Satisfaction Score]]&gt;=83,"High",H112&lt;=75,"Low",TRUE,"Moderate")</f>
        <v>Moderate</v>
      </c>
      <c r="O112" t="str">
        <f t="shared" si="1"/>
        <v>Pediatric</v>
      </c>
    </row>
    <row r="113" spans="1:15">
      <c r="A113" t="s">
        <v>65</v>
      </c>
      <c r="B113" t="s">
        <v>66</v>
      </c>
      <c r="C113" t="s">
        <v>39</v>
      </c>
      <c r="D113" t="s">
        <v>16</v>
      </c>
      <c r="E113" s="2">
        <v>12</v>
      </c>
      <c r="F113" t="s">
        <v>34</v>
      </c>
      <c r="G113" t="s">
        <v>31</v>
      </c>
      <c r="H113" s="2">
        <v>82</v>
      </c>
      <c r="I113" s="3">
        <v>3460</v>
      </c>
      <c r="J113" s="4">
        <v>3.4</v>
      </c>
      <c r="K113" s="2">
        <v>59</v>
      </c>
      <c r="L113" s="2">
        <v>4</v>
      </c>
      <c r="M113" s="3">
        <v>17468</v>
      </c>
      <c r="N113" t="str" cm="1">
        <f t="array" ref="N113">_xlfn.IFS(Table1_3[[#This Row],[Patient Satisfaction Score]]&gt;=83,"High",H113&lt;=75,"Low",TRUE,"Moderate")</f>
        <v>Moderate</v>
      </c>
      <c r="O113" t="str">
        <f t="shared" si="1"/>
        <v>Pediatric</v>
      </c>
    </row>
    <row r="114" spans="1:15">
      <c r="A114" t="s">
        <v>92</v>
      </c>
      <c r="B114" t="s">
        <v>54</v>
      </c>
      <c r="C114" t="s">
        <v>39</v>
      </c>
      <c r="D114" t="s">
        <v>16</v>
      </c>
      <c r="E114" s="2">
        <v>12</v>
      </c>
      <c r="F114" t="s">
        <v>34</v>
      </c>
      <c r="G114" t="s">
        <v>23</v>
      </c>
      <c r="H114" s="2">
        <v>83</v>
      </c>
      <c r="I114" s="3">
        <v>2536</v>
      </c>
      <c r="J114" s="4">
        <v>14.65</v>
      </c>
      <c r="K114" s="2">
        <v>26</v>
      </c>
      <c r="L114" s="2">
        <v>4</v>
      </c>
      <c r="M114" s="3">
        <v>8561</v>
      </c>
      <c r="N114" t="str" cm="1">
        <f t="array" ref="N114">_xlfn.IFS(Table1_3[[#This Row],[Patient Satisfaction Score]]&gt;=83,"High",H114&lt;=75,"Low",TRUE,"Moderate")</f>
        <v>High</v>
      </c>
      <c r="O114" t="str">
        <f t="shared" si="1"/>
        <v>Pediatric</v>
      </c>
    </row>
    <row r="115" spans="1:15">
      <c r="A115" t="s">
        <v>173</v>
      </c>
      <c r="B115" t="s">
        <v>54</v>
      </c>
      <c r="C115" t="s">
        <v>39</v>
      </c>
      <c r="D115" t="s">
        <v>16</v>
      </c>
      <c r="E115" s="2">
        <v>12</v>
      </c>
      <c r="F115" t="s">
        <v>22</v>
      </c>
      <c r="G115" t="s">
        <v>49</v>
      </c>
      <c r="H115" s="2">
        <v>78</v>
      </c>
      <c r="I115" s="3">
        <v>4203</v>
      </c>
      <c r="J115" s="4">
        <v>10.87</v>
      </c>
      <c r="K115" s="2">
        <v>71</v>
      </c>
      <c r="L115" s="2">
        <v>4</v>
      </c>
      <c r="M115" s="3">
        <v>10669</v>
      </c>
      <c r="N115" t="str" cm="1">
        <f t="array" ref="N115">_xlfn.IFS(Table1_3[[#This Row],[Patient Satisfaction Score]]&gt;=83,"High",H115&lt;=75,"Low",TRUE,"Moderate")</f>
        <v>Moderate</v>
      </c>
      <c r="O115" t="str">
        <f t="shared" si="1"/>
        <v>Pediatric</v>
      </c>
    </row>
    <row r="116" spans="1:15">
      <c r="A116" t="s">
        <v>244</v>
      </c>
      <c r="B116" t="s">
        <v>42</v>
      </c>
      <c r="C116" t="s">
        <v>39</v>
      </c>
      <c r="D116" t="s">
        <v>27</v>
      </c>
      <c r="E116" s="2">
        <v>12</v>
      </c>
      <c r="F116" t="s">
        <v>17</v>
      </c>
      <c r="G116" t="s">
        <v>18</v>
      </c>
      <c r="H116" s="2">
        <v>76</v>
      </c>
      <c r="I116" s="3">
        <v>2158</v>
      </c>
      <c r="J116" s="4">
        <v>15</v>
      </c>
      <c r="K116" s="2">
        <v>46</v>
      </c>
      <c r="L116" s="2">
        <v>4</v>
      </c>
      <c r="M116" s="3">
        <v>11290</v>
      </c>
      <c r="N116" t="str" cm="1">
        <f t="array" ref="N116">_xlfn.IFS(Table1_3[[#This Row],[Patient Satisfaction Score]]&gt;=83,"High",H116&lt;=75,"Low",TRUE,"Moderate")</f>
        <v>Moderate</v>
      </c>
      <c r="O116" t="str">
        <f t="shared" si="1"/>
        <v>Pediatric</v>
      </c>
    </row>
    <row r="117" spans="1:15">
      <c r="A117" t="s">
        <v>317</v>
      </c>
      <c r="B117" t="s">
        <v>38</v>
      </c>
      <c r="C117" t="s">
        <v>39</v>
      </c>
      <c r="D117" t="s">
        <v>27</v>
      </c>
      <c r="E117" s="2">
        <v>12</v>
      </c>
      <c r="F117" t="s">
        <v>17</v>
      </c>
      <c r="G117" t="s">
        <v>18</v>
      </c>
      <c r="H117" s="2">
        <v>79</v>
      </c>
      <c r="I117" s="3">
        <v>3434</v>
      </c>
      <c r="J117" s="4">
        <v>10.67</v>
      </c>
      <c r="K117" s="2">
        <v>33</v>
      </c>
      <c r="L117" s="2">
        <v>4</v>
      </c>
      <c r="M117" s="3">
        <v>19488</v>
      </c>
      <c r="N117" t="str" cm="1">
        <f t="array" ref="N117">_xlfn.IFS(Table1_3[[#This Row],[Patient Satisfaction Score]]&gt;=83,"High",H117&lt;=75,"Low",TRUE,"Moderate")</f>
        <v>Moderate</v>
      </c>
      <c r="O117" t="str">
        <f t="shared" si="1"/>
        <v>Pediatric</v>
      </c>
    </row>
    <row r="118" spans="1:15">
      <c r="A118" t="s">
        <v>454</v>
      </c>
      <c r="B118" t="s">
        <v>42</v>
      </c>
      <c r="C118" t="s">
        <v>39</v>
      </c>
      <c r="D118" t="s">
        <v>27</v>
      </c>
      <c r="E118" s="2">
        <v>12</v>
      </c>
      <c r="F118" t="s">
        <v>17</v>
      </c>
      <c r="G118" t="s">
        <v>23</v>
      </c>
      <c r="H118" s="2">
        <v>85</v>
      </c>
      <c r="I118" s="3">
        <v>2346</v>
      </c>
      <c r="J118" s="4">
        <v>4.8600000000000003</v>
      </c>
      <c r="K118" s="2">
        <v>46</v>
      </c>
      <c r="L118" s="2">
        <v>4</v>
      </c>
      <c r="M118" s="3">
        <v>13319</v>
      </c>
      <c r="N118" t="str" cm="1">
        <f t="array" ref="N118">_xlfn.IFS(Table1_3[[#This Row],[Patient Satisfaction Score]]&gt;=83,"High",H118&lt;=75,"Low",TRUE,"Moderate")</f>
        <v>High</v>
      </c>
      <c r="O118" t="str">
        <f t="shared" si="1"/>
        <v>Pediatric</v>
      </c>
    </row>
    <row r="119" spans="1:15">
      <c r="A119" t="s">
        <v>635</v>
      </c>
      <c r="B119" t="s">
        <v>42</v>
      </c>
      <c r="C119" t="s">
        <v>39</v>
      </c>
      <c r="D119" t="s">
        <v>27</v>
      </c>
      <c r="E119" s="2">
        <v>12</v>
      </c>
      <c r="F119" t="s">
        <v>34</v>
      </c>
      <c r="G119" t="s">
        <v>18</v>
      </c>
      <c r="H119" s="2">
        <v>77</v>
      </c>
      <c r="I119" s="3">
        <v>2803</v>
      </c>
      <c r="J119" s="4">
        <v>11.2</v>
      </c>
      <c r="K119" s="2">
        <v>57</v>
      </c>
      <c r="L119" s="2">
        <v>4</v>
      </c>
      <c r="M119" s="3">
        <v>7554</v>
      </c>
      <c r="N119" t="str" cm="1">
        <f t="array" ref="N119">_xlfn.IFS(Table1_3[[#This Row],[Patient Satisfaction Score]]&gt;=83,"High",H119&lt;=75,"Low",TRUE,"Moderate")</f>
        <v>Moderate</v>
      </c>
      <c r="O119" t="str">
        <f t="shared" si="1"/>
        <v>Pediatric</v>
      </c>
    </row>
    <row r="120" spans="1:15">
      <c r="A120" t="s">
        <v>663</v>
      </c>
      <c r="B120" t="s">
        <v>42</v>
      </c>
      <c r="C120" t="s">
        <v>39</v>
      </c>
      <c r="D120" t="s">
        <v>27</v>
      </c>
      <c r="E120" s="2">
        <v>12</v>
      </c>
      <c r="F120" t="s">
        <v>22</v>
      </c>
      <c r="G120" t="s">
        <v>18</v>
      </c>
      <c r="H120" s="2">
        <v>91</v>
      </c>
      <c r="I120" s="3">
        <v>2421</v>
      </c>
      <c r="J120" s="4">
        <v>3.38</v>
      </c>
      <c r="K120" s="2">
        <v>57</v>
      </c>
      <c r="L120" s="2">
        <v>5</v>
      </c>
      <c r="M120" s="3">
        <v>11224</v>
      </c>
      <c r="N120" t="str" cm="1">
        <f t="array" ref="N120">_xlfn.IFS(Table1_3[[#This Row],[Patient Satisfaction Score]]&gt;=83,"High",H120&lt;=75,"Low",TRUE,"Moderate")</f>
        <v>High</v>
      </c>
      <c r="O120" t="str">
        <f t="shared" si="1"/>
        <v>Pediatric</v>
      </c>
    </row>
    <row r="121" spans="1:15">
      <c r="A121" t="s">
        <v>664</v>
      </c>
      <c r="B121" t="s">
        <v>25</v>
      </c>
      <c r="C121" t="s">
        <v>39</v>
      </c>
      <c r="D121" t="s">
        <v>27</v>
      </c>
      <c r="E121" s="2">
        <v>12</v>
      </c>
      <c r="F121" t="s">
        <v>34</v>
      </c>
      <c r="G121" t="s">
        <v>49</v>
      </c>
      <c r="H121" s="2">
        <v>87</v>
      </c>
      <c r="I121" s="3">
        <v>3559</v>
      </c>
      <c r="J121" s="4">
        <v>6.34</v>
      </c>
      <c r="K121" s="2">
        <v>65</v>
      </c>
      <c r="L121" s="2">
        <v>5</v>
      </c>
      <c r="M121" s="3">
        <v>10137</v>
      </c>
      <c r="N121" t="str" cm="1">
        <f t="array" ref="N121">_xlfn.IFS(Table1_3[[#This Row],[Patient Satisfaction Score]]&gt;=83,"High",H121&lt;=75,"Low",TRUE,"Moderate")</f>
        <v>High</v>
      </c>
      <c r="O121" t="str">
        <f t="shared" si="1"/>
        <v>Pediatric</v>
      </c>
    </row>
    <row r="122" spans="1:15">
      <c r="A122" t="s">
        <v>958</v>
      </c>
      <c r="B122" t="s">
        <v>44</v>
      </c>
      <c r="C122" t="s">
        <v>45</v>
      </c>
      <c r="D122" t="s">
        <v>16</v>
      </c>
      <c r="E122" s="2">
        <v>12</v>
      </c>
      <c r="F122" t="s">
        <v>22</v>
      </c>
      <c r="G122" t="s">
        <v>23</v>
      </c>
      <c r="H122" s="2">
        <v>70</v>
      </c>
      <c r="I122" s="3">
        <v>9904</v>
      </c>
      <c r="J122" s="4">
        <v>13.44</v>
      </c>
      <c r="K122" s="2">
        <v>86</v>
      </c>
      <c r="L122" s="2">
        <v>4</v>
      </c>
      <c r="M122" s="3">
        <v>35838</v>
      </c>
      <c r="N122" t="str" cm="1">
        <f t="array" ref="N122">_xlfn.IFS(Table1_3[[#This Row],[Patient Satisfaction Score]]&gt;=83,"High",H122&lt;=75,"Low",TRUE,"Moderate")</f>
        <v>Low</v>
      </c>
      <c r="O122" t="str">
        <f t="shared" si="1"/>
        <v>Pediatric</v>
      </c>
    </row>
    <row r="123" spans="1:15">
      <c r="A123" t="s">
        <v>615</v>
      </c>
      <c r="B123" t="s">
        <v>25</v>
      </c>
      <c r="C123" t="s">
        <v>26</v>
      </c>
      <c r="D123" t="s">
        <v>16</v>
      </c>
      <c r="E123" s="2">
        <v>13</v>
      </c>
      <c r="F123" t="s">
        <v>34</v>
      </c>
      <c r="G123" t="s">
        <v>40</v>
      </c>
      <c r="H123" s="2">
        <v>86</v>
      </c>
      <c r="I123" s="3">
        <v>3199</v>
      </c>
      <c r="J123" s="4">
        <v>3.47</v>
      </c>
      <c r="K123" s="2">
        <v>79</v>
      </c>
      <c r="L123" s="2">
        <v>4</v>
      </c>
      <c r="M123" s="3">
        <v>15261</v>
      </c>
      <c r="N123" t="str" cm="1">
        <f t="array" ref="N123">_xlfn.IFS(Table1_3[[#This Row],[Patient Satisfaction Score]]&gt;=83,"High",H123&lt;=75,"Low",TRUE,"Moderate")</f>
        <v>High</v>
      </c>
      <c r="O123" t="str">
        <f t="shared" si="1"/>
        <v>Pediatric</v>
      </c>
    </row>
    <row r="124" spans="1:15">
      <c r="A124" t="s">
        <v>697</v>
      </c>
      <c r="B124" t="s">
        <v>25</v>
      </c>
      <c r="C124" t="s">
        <v>26</v>
      </c>
      <c r="D124" t="s">
        <v>27</v>
      </c>
      <c r="E124" s="2">
        <v>13</v>
      </c>
      <c r="F124" t="s">
        <v>22</v>
      </c>
      <c r="G124" t="s">
        <v>49</v>
      </c>
      <c r="H124" s="2">
        <v>87</v>
      </c>
      <c r="I124" s="3">
        <v>2451</v>
      </c>
      <c r="J124" s="4">
        <v>0</v>
      </c>
      <c r="K124" s="2">
        <v>20</v>
      </c>
      <c r="L124" s="2">
        <v>4</v>
      </c>
      <c r="M124" s="3">
        <v>8782</v>
      </c>
      <c r="N124" t="str" cm="1">
        <f t="array" ref="N124">_xlfn.IFS(Table1_3[[#This Row],[Patient Satisfaction Score]]&gt;=83,"High",H124&lt;=75,"Low",TRUE,"Moderate")</f>
        <v>High</v>
      </c>
      <c r="O124" t="str">
        <f t="shared" si="1"/>
        <v>Pediatric</v>
      </c>
    </row>
    <row r="125" spans="1:15">
      <c r="A125" t="s">
        <v>225</v>
      </c>
      <c r="B125" t="s">
        <v>135</v>
      </c>
      <c r="C125" t="s">
        <v>48</v>
      </c>
      <c r="D125" t="s">
        <v>16</v>
      </c>
      <c r="E125" s="2">
        <v>13</v>
      </c>
      <c r="F125" t="s">
        <v>34</v>
      </c>
      <c r="G125" t="s">
        <v>23</v>
      </c>
      <c r="H125" s="2">
        <v>79</v>
      </c>
      <c r="I125" s="3">
        <v>3485</v>
      </c>
      <c r="J125" s="4">
        <v>13.02</v>
      </c>
      <c r="K125" s="2">
        <v>69</v>
      </c>
      <c r="L125" s="2">
        <v>4</v>
      </c>
      <c r="M125" s="3">
        <v>11746</v>
      </c>
      <c r="N125" t="str" cm="1">
        <f t="array" ref="N125">_xlfn.IFS(Table1_3[[#This Row],[Patient Satisfaction Score]]&gt;=83,"High",H125&lt;=75,"Low",TRUE,"Moderate")</f>
        <v>Moderate</v>
      </c>
      <c r="O125" t="str">
        <f t="shared" si="1"/>
        <v>Pediatric</v>
      </c>
    </row>
    <row r="126" spans="1:15">
      <c r="A126" t="s">
        <v>440</v>
      </c>
      <c r="B126" t="s">
        <v>150</v>
      </c>
      <c r="C126" t="s">
        <v>48</v>
      </c>
      <c r="D126" t="s">
        <v>16</v>
      </c>
      <c r="E126" s="2">
        <v>13</v>
      </c>
      <c r="F126" t="s">
        <v>22</v>
      </c>
      <c r="G126" t="s">
        <v>31</v>
      </c>
      <c r="H126" s="2">
        <v>79</v>
      </c>
      <c r="I126" s="3">
        <v>8245</v>
      </c>
      <c r="J126" s="4">
        <v>13.56</v>
      </c>
      <c r="K126" s="2">
        <v>37</v>
      </c>
      <c r="L126" s="2">
        <v>4</v>
      </c>
      <c r="M126" s="3">
        <v>35044</v>
      </c>
      <c r="N126" t="str" cm="1">
        <f t="array" ref="N126">_xlfn.IFS(Table1_3[[#This Row],[Patient Satisfaction Score]]&gt;=83,"High",H126&lt;=75,"Low",TRUE,"Moderate")</f>
        <v>Moderate</v>
      </c>
      <c r="O126" t="str">
        <f t="shared" si="1"/>
        <v>Pediatric</v>
      </c>
    </row>
    <row r="127" spans="1:15">
      <c r="A127" t="s">
        <v>85</v>
      </c>
      <c r="B127" t="s">
        <v>54</v>
      </c>
      <c r="C127" t="s">
        <v>39</v>
      </c>
      <c r="D127" t="s">
        <v>27</v>
      </c>
      <c r="E127" s="2">
        <v>13</v>
      </c>
      <c r="F127" t="s">
        <v>34</v>
      </c>
      <c r="G127" t="s">
        <v>40</v>
      </c>
      <c r="H127" s="2">
        <v>90</v>
      </c>
      <c r="I127" s="3">
        <v>3634</v>
      </c>
      <c r="J127" s="4">
        <v>8.2100000000000009</v>
      </c>
      <c r="K127" s="2">
        <v>43</v>
      </c>
      <c r="L127" s="2">
        <v>5</v>
      </c>
      <c r="M127" s="3">
        <v>18019</v>
      </c>
      <c r="N127" t="str" cm="1">
        <f t="array" ref="N127">_xlfn.IFS(Table1_3[[#This Row],[Patient Satisfaction Score]]&gt;=83,"High",H127&lt;=75,"Low",TRUE,"Moderate")</f>
        <v>High</v>
      </c>
      <c r="O127" t="str">
        <f t="shared" si="1"/>
        <v>Pediatric</v>
      </c>
    </row>
    <row r="128" spans="1:15">
      <c r="A128" t="s">
        <v>333</v>
      </c>
      <c r="B128" t="s">
        <v>38</v>
      </c>
      <c r="C128" t="s">
        <v>39</v>
      </c>
      <c r="D128" t="s">
        <v>27</v>
      </c>
      <c r="E128" s="2">
        <v>13</v>
      </c>
      <c r="F128" t="s">
        <v>22</v>
      </c>
      <c r="G128" t="s">
        <v>70</v>
      </c>
      <c r="H128" s="2">
        <v>82</v>
      </c>
      <c r="I128" s="3">
        <v>3552</v>
      </c>
      <c r="J128" s="4">
        <v>5.83</v>
      </c>
      <c r="K128" s="2">
        <v>90</v>
      </c>
      <c r="L128" s="2">
        <v>4</v>
      </c>
      <c r="M128" s="3">
        <v>17415</v>
      </c>
      <c r="N128" t="str" cm="1">
        <f t="array" ref="N128">_xlfn.IFS(Table1_3[[#This Row],[Patient Satisfaction Score]]&gt;=83,"High",H128&lt;=75,"Low",TRUE,"Moderate")</f>
        <v>Moderate</v>
      </c>
      <c r="O128" t="str">
        <f t="shared" si="1"/>
        <v>Pediatric</v>
      </c>
    </row>
    <row r="129" spans="1:15">
      <c r="A129" t="s">
        <v>425</v>
      </c>
      <c r="B129" t="s">
        <v>25</v>
      </c>
      <c r="C129" t="s">
        <v>39</v>
      </c>
      <c r="D129" t="s">
        <v>27</v>
      </c>
      <c r="E129" s="2">
        <v>13</v>
      </c>
      <c r="F129" t="s">
        <v>22</v>
      </c>
      <c r="G129" t="s">
        <v>31</v>
      </c>
      <c r="H129" s="2">
        <v>94</v>
      </c>
      <c r="I129" s="3">
        <v>4023</v>
      </c>
      <c r="J129" s="4">
        <v>6.8</v>
      </c>
      <c r="K129" s="2">
        <v>42</v>
      </c>
      <c r="L129" s="2">
        <v>5</v>
      </c>
      <c r="M129" s="3">
        <v>11200</v>
      </c>
      <c r="N129" t="str" cm="1">
        <f t="array" ref="N129">_xlfn.IFS(Table1_3[[#This Row],[Patient Satisfaction Score]]&gt;=83,"High",H129&lt;=75,"Low",TRUE,"Moderate")</f>
        <v>High</v>
      </c>
      <c r="O129" t="str">
        <f t="shared" si="1"/>
        <v>Pediatric</v>
      </c>
    </row>
    <row r="130" spans="1:15">
      <c r="A130" t="s">
        <v>439</v>
      </c>
      <c r="B130" t="s">
        <v>25</v>
      </c>
      <c r="C130" t="s">
        <v>39</v>
      </c>
      <c r="D130" t="s">
        <v>16</v>
      </c>
      <c r="E130" s="2">
        <v>13</v>
      </c>
      <c r="F130" t="s">
        <v>22</v>
      </c>
      <c r="G130" t="s">
        <v>49</v>
      </c>
      <c r="H130" s="2">
        <v>87</v>
      </c>
      <c r="I130" s="3">
        <v>2557</v>
      </c>
      <c r="J130" s="4">
        <v>5.21</v>
      </c>
      <c r="K130" s="2">
        <v>48</v>
      </c>
      <c r="L130" s="2">
        <v>5</v>
      </c>
      <c r="M130" s="3">
        <v>11376</v>
      </c>
      <c r="N130" t="str" cm="1">
        <f t="array" ref="N130">_xlfn.IFS(Table1_3[[#This Row],[Patient Satisfaction Score]]&gt;=83,"High",H130&lt;=75,"Low",TRUE,"Moderate")</f>
        <v>High</v>
      </c>
      <c r="O130" t="str">
        <f t="shared" ref="O130:O193" si="2">IF(E130&lt;19,"Pediatric","Adult")</f>
        <v>Pediatric</v>
      </c>
    </row>
    <row r="131" spans="1:15">
      <c r="A131" t="s">
        <v>624</v>
      </c>
      <c r="B131" t="s">
        <v>66</v>
      </c>
      <c r="C131" t="s">
        <v>39</v>
      </c>
      <c r="D131" t="s">
        <v>16</v>
      </c>
      <c r="E131" s="2">
        <v>13</v>
      </c>
      <c r="F131" t="s">
        <v>17</v>
      </c>
      <c r="G131" t="s">
        <v>49</v>
      </c>
      <c r="H131" s="2">
        <v>89</v>
      </c>
      <c r="I131" s="3">
        <v>2374</v>
      </c>
      <c r="J131" s="4">
        <v>3.31</v>
      </c>
      <c r="K131" s="2">
        <v>53</v>
      </c>
      <c r="L131" s="2">
        <v>4</v>
      </c>
      <c r="M131" s="3">
        <v>6952</v>
      </c>
      <c r="N131" t="str" cm="1">
        <f t="array" ref="N131">_xlfn.IFS(Table1_3[[#This Row],[Patient Satisfaction Score]]&gt;=83,"High",H131&lt;=75,"Low",TRUE,"Moderate")</f>
        <v>High</v>
      </c>
      <c r="O131" t="str">
        <f t="shared" si="2"/>
        <v>Pediatric</v>
      </c>
    </row>
    <row r="132" spans="1:15">
      <c r="A132" t="s">
        <v>791</v>
      </c>
      <c r="B132" t="s">
        <v>66</v>
      </c>
      <c r="C132" t="s">
        <v>39</v>
      </c>
      <c r="D132" t="s">
        <v>16</v>
      </c>
      <c r="E132" s="2">
        <v>13</v>
      </c>
      <c r="F132" t="s">
        <v>17</v>
      </c>
      <c r="G132" t="s">
        <v>31</v>
      </c>
      <c r="H132" s="2">
        <v>78</v>
      </c>
      <c r="I132" s="3">
        <v>2512</v>
      </c>
      <c r="J132" s="4">
        <v>6.9</v>
      </c>
      <c r="K132" s="2">
        <v>72</v>
      </c>
      <c r="L132" s="2">
        <v>4</v>
      </c>
      <c r="M132" s="3">
        <v>14948</v>
      </c>
      <c r="N132" t="str" cm="1">
        <f t="array" ref="N132">_xlfn.IFS(Table1_3[[#This Row],[Patient Satisfaction Score]]&gt;=83,"High",H132&lt;=75,"Low",TRUE,"Moderate")</f>
        <v>Moderate</v>
      </c>
      <c r="O132" t="str">
        <f t="shared" si="2"/>
        <v>Pediatric</v>
      </c>
    </row>
    <row r="133" spans="1:15">
      <c r="A133" t="s">
        <v>847</v>
      </c>
      <c r="B133" t="s">
        <v>25</v>
      </c>
      <c r="C133" t="s">
        <v>39</v>
      </c>
      <c r="D133" t="s">
        <v>27</v>
      </c>
      <c r="E133" s="2">
        <v>13</v>
      </c>
      <c r="F133" t="s">
        <v>22</v>
      </c>
      <c r="G133" t="s">
        <v>31</v>
      </c>
      <c r="H133" s="2">
        <v>94</v>
      </c>
      <c r="I133" s="3">
        <v>2768</v>
      </c>
      <c r="J133" s="4">
        <v>0.53</v>
      </c>
      <c r="K133" s="2">
        <v>87</v>
      </c>
      <c r="L133" s="2">
        <v>5</v>
      </c>
      <c r="M133" s="3">
        <v>15670</v>
      </c>
      <c r="N133" t="str" cm="1">
        <f t="array" ref="N133">_xlfn.IFS(Table1_3[[#This Row],[Patient Satisfaction Score]]&gt;=83,"High",H133&lt;=75,"Low",TRUE,"Moderate")</f>
        <v>High</v>
      </c>
      <c r="O133" t="str">
        <f t="shared" si="2"/>
        <v>Pediatric</v>
      </c>
    </row>
    <row r="134" spans="1:15">
      <c r="A134" t="s">
        <v>981</v>
      </c>
      <c r="B134" t="s">
        <v>66</v>
      </c>
      <c r="C134" t="s">
        <v>39</v>
      </c>
      <c r="D134" t="s">
        <v>27</v>
      </c>
      <c r="E134" s="2">
        <v>13</v>
      </c>
      <c r="F134" t="s">
        <v>22</v>
      </c>
      <c r="G134" t="s">
        <v>49</v>
      </c>
      <c r="H134" s="2">
        <v>82</v>
      </c>
      <c r="I134" s="3">
        <v>3588</v>
      </c>
      <c r="J134" s="4">
        <v>10.68</v>
      </c>
      <c r="K134" s="2">
        <v>59</v>
      </c>
      <c r="L134" s="2">
        <v>3</v>
      </c>
      <c r="M134" s="3">
        <v>14258</v>
      </c>
      <c r="N134" t="str" cm="1">
        <f t="array" ref="N134">_xlfn.IFS(Table1_3[[#This Row],[Patient Satisfaction Score]]&gt;=83,"High",H134&lt;=75,"Low",TRUE,"Moderate")</f>
        <v>Moderate</v>
      </c>
      <c r="O134" t="str">
        <f t="shared" si="2"/>
        <v>Pediatric</v>
      </c>
    </row>
    <row r="135" spans="1:15">
      <c r="A135" t="s">
        <v>374</v>
      </c>
      <c r="B135" t="s">
        <v>129</v>
      </c>
      <c r="C135" t="s">
        <v>21</v>
      </c>
      <c r="D135" t="s">
        <v>27</v>
      </c>
      <c r="E135" s="2">
        <v>13</v>
      </c>
      <c r="F135" t="s">
        <v>34</v>
      </c>
      <c r="G135" t="s">
        <v>70</v>
      </c>
      <c r="H135" s="2">
        <v>72</v>
      </c>
      <c r="I135" s="3">
        <v>6989</v>
      </c>
      <c r="J135" s="4">
        <v>11.39</v>
      </c>
      <c r="K135" s="2">
        <v>106</v>
      </c>
      <c r="L135" s="2">
        <v>4</v>
      </c>
      <c r="M135" s="3">
        <v>33246</v>
      </c>
      <c r="N135" t="str" cm="1">
        <f t="array" ref="N135">_xlfn.IFS(Table1_3[[#This Row],[Patient Satisfaction Score]]&gt;=83,"High",H135&lt;=75,"Low",TRUE,"Moderate")</f>
        <v>Low</v>
      </c>
      <c r="O135" t="str">
        <f t="shared" si="2"/>
        <v>Pediatric</v>
      </c>
    </row>
    <row r="136" spans="1:15">
      <c r="A136" t="s">
        <v>1068</v>
      </c>
      <c r="B136" t="s">
        <v>25</v>
      </c>
      <c r="C136" t="s">
        <v>39</v>
      </c>
      <c r="D136" t="s">
        <v>27</v>
      </c>
      <c r="E136" s="2">
        <v>13</v>
      </c>
      <c r="F136" t="s">
        <v>22</v>
      </c>
      <c r="G136" t="s">
        <v>40</v>
      </c>
      <c r="H136" s="2">
        <v>84</v>
      </c>
      <c r="I136" s="3">
        <v>3721</v>
      </c>
      <c r="J136" s="4">
        <v>8.0399999999999991</v>
      </c>
      <c r="K136" s="2">
        <v>56</v>
      </c>
      <c r="L136" s="2">
        <v>4</v>
      </c>
      <c r="M136" s="3">
        <v>12910</v>
      </c>
      <c r="N136" t="str" cm="1">
        <f t="array" ref="N136">_xlfn.IFS(Table1_3[[#This Row],[Patient Satisfaction Score]]&gt;=83,"High",H136&lt;=75,"Low",TRUE,"Moderate")</f>
        <v>High</v>
      </c>
      <c r="O136" t="str">
        <f t="shared" si="2"/>
        <v>Pediatric</v>
      </c>
    </row>
    <row r="137" spans="1:15">
      <c r="A137" t="s">
        <v>919</v>
      </c>
      <c r="B137" t="s">
        <v>56</v>
      </c>
      <c r="C137" t="s">
        <v>45</v>
      </c>
      <c r="D137" t="s">
        <v>16</v>
      </c>
      <c r="E137" s="2">
        <v>13</v>
      </c>
      <c r="F137" t="s">
        <v>22</v>
      </c>
      <c r="G137" t="s">
        <v>49</v>
      </c>
      <c r="H137" s="2">
        <v>64</v>
      </c>
      <c r="I137" s="3">
        <v>8296</v>
      </c>
      <c r="J137" s="4">
        <v>17.73</v>
      </c>
      <c r="K137" s="2">
        <v>151</v>
      </c>
      <c r="L137" s="2">
        <v>3</v>
      </c>
      <c r="M137" s="3">
        <v>42172</v>
      </c>
      <c r="N137" t="str" cm="1">
        <f t="array" ref="N137">_xlfn.IFS(Table1_3[[#This Row],[Patient Satisfaction Score]]&gt;=83,"High",H137&lt;=75,"Low",TRUE,"Moderate")</f>
        <v>Low</v>
      </c>
      <c r="O137" t="str">
        <f t="shared" si="2"/>
        <v>Pediatric</v>
      </c>
    </row>
    <row r="138" spans="1:15">
      <c r="A138" t="s">
        <v>170</v>
      </c>
      <c r="B138" t="s">
        <v>109</v>
      </c>
      <c r="C138" t="s">
        <v>30</v>
      </c>
      <c r="D138" t="s">
        <v>16</v>
      </c>
      <c r="E138" s="2">
        <v>13</v>
      </c>
      <c r="F138" t="s">
        <v>17</v>
      </c>
      <c r="G138" t="s">
        <v>18</v>
      </c>
      <c r="H138" s="2">
        <v>57</v>
      </c>
      <c r="I138" s="3">
        <v>2603</v>
      </c>
      <c r="J138" s="4">
        <v>25.02</v>
      </c>
      <c r="K138" s="2">
        <v>122</v>
      </c>
      <c r="L138" s="2">
        <v>4</v>
      </c>
      <c r="M138" s="3">
        <v>9190</v>
      </c>
      <c r="N138" t="str" cm="1">
        <f t="array" ref="N138">_xlfn.IFS(Table1_3[[#This Row],[Patient Satisfaction Score]]&gt;=83,"High",H138&lt;=75,"Low",TRUE,"Moderate")</f>
        <v>Low</v>
      </c>
      <c r="O138" t="str">
        <f t="shared" si="2"/>
        <v>Pediatric</v>
      </c>
    </row>
    <row r="139" spans="1:15">
      <c r="A139" t="s">
        <v>849</v>
      </c>
      <c r="B139" t="s">
        <v>25</v>
      </c>
      <c r="C139" t="s">
        <v>26</v>
      </c>
      <c r="D139" t="s">
        <v>16</v>
      </c>
      <c r="E139" s="2">
        <v>14</v>
      </c>
      <c r="F139" t="s">
        <v>22</v>
      </c>
      <c r="G139" t="s">
        <v>23</v>
      </c>
      <c r="H139" s="2">
        <v>99</v>
      </c>
      <c r="I139" s="3">
        <v>2986</v>
      </c>
      <c r="J139" s="4">
        <v>2.0099999999999998</v>
      </c>
      <c r="K139" s="2">
        <v>38</v>
      </c>
      <c r="L139" s="2">
        <v>4</v>
      </c>
      <c r="M139" s="3">
        <v>8401</v>
      </c>
      <c r="N139" t="str" cm="1">
        <f t="array" ref="N139">_xlfn.IFS(Table1_3[[#This Row],[Patient Satisfaction Score]]&gt;=83,"High",H139&lt;=75,"Low",TRUE,"Moderate")</f>
        <v>High</v>
      </c>
      <c r="O139" t="str">
        <f t="shared" si="2"/>
        <v>Pediatric</v>
      </c>
    </row>
    <row r="140" spans="1:15">
      <c r="A140" t="s">
        <v>206</v>
      </c>
      <c r="B140" t="s">
        <v>47</v>
      </c>
      <c r="C140" t="s">
        <v>48</v>
      </c>
      <c r="D140" t="s">
        <v>16</v>
      </c>
      <c r="E140" s="2">
        <v>14</v>
      </c>
      <c r="F140" t="s">
        <v>22</v>
      </c>
      <c r="G140" t="s">
        <v>70</v>
      </c>
      <c r="H140" s="2">
        <v>80</v>
      </c>
      <c r="I140" s="3">
        <v>5945</v>
      </c>
      <c r="J140" s="4">
        <v>12.97</v>
      </c>
      <c r="K140" s="2">
        <v>61</v>
      </c>
      <c r="L140" s="2">
        <v>4</v>
      </c>
      <c r="M140" s="3">
        <v>19296</v>
      </c>
      <c r="N140" t="str" cm="1">
        <f t="array" ref="N140">_xlfn.IFS(Table1_3[[#This Row],[Patient Satisfaction Score]]&gt;=83,"High",H140&lt;=75,"Low",TRUE,"Moderate")</f>
        <v>Moderate</v>
      </c>
      <c r="O140" t="str">
        <f t="shared" si="2"/>
        <v>Pediatric</v>
      </c>
    </row>
    <row r="141" spans="1:15">
      <c r="A141" t="s">
        <v>510</v>
      </c>
      <c r="B141" t="s">
        <v>51</v>
      </c>
      <c r="C141" t="s">
        <v>52</v>
      </c>
      <c r="D141" t="s">
        <v>27</v>
      </c>
      <c r="E141" s="2">
        <v>14</v>
      </c>
      <c r="F141" t="s">
        <v>22</v>
      </c>
      <c r="G141" t="s">
        <v>70</v>
      </c>
      <c r="H141" s="2">
        <v>90</v>
      </c>
      <c r="I141" s="3">
        <v>7278</v>
      </c>
      <c r="J141" s="4">
        <v>16.21</v>
      </c>
      <c r="K141" s="2">
        <v>23</v>
      </c>
      <c r="L141" s="2">
        <v>4</v>
      </c>
      <c r="M141" s="3">
        <v>39175</v>
      </c>
      <c r="N141" t="str" cm="1">
        <f t="array" ref="N141">_xlfn.IFS(Table1_3[[#This Row],[Patient Satisfaction Score]]&gt;=83,"High",H141&lt;=75,"Low",TRUE,"Moderate")</f>
        <v>High</v>
      </c>
      <c r="O141" t="str">
        <f t="shared" si="2"/>
        <v>Pediatric</v>
      </c>
    </row>
    <row r="142" spans="1:15">
      <c r="A142" t="s">
        <v>248</v>
      </c>
      <c r="B142" t="s">
        <v>38</v>
      </c>
      <c r="C142" t="s">
        <v>39</v>
      </c>
      <c r="D142" t="s">
        <v>16</v>
      </c>
      <c r="E142" s="2">
        <v>14</v>
      </c>
      <c r="F142" t="s">
        <v>34</v>
      </c>
      <c r="G142" t="s">
        <v>70</v>
      </c>
      <c r="H142" s="2">
        <v>83</v>
      </c>
      <c r="I142" s="3">
        <v>4006</v>
      </c>
      <c r="J142" s="4">
        <v>5.79</v>
      </c>
      <c r="K142" s="2">
        <v>92</v>
      </c>
      <c r="L142" s="2">
        <v>5</v>
      </c>
      <c r="M142" s="3">
        <v>13859</v>
      </c>
      <c r="N142" t="str" cm="1">
        <f t="array" ref="N142">_xlfn.IFS(Table1_3[[#This Row],[Patient Satisfaction Score]]&gt;=83,"High",H142&lt;=75,"Low",TRUE,"Moderate")</f>
        <v>High</v>
      </c>
      <c r="O142" t="str">
        <f t="shared" si="2"/>
        <v>Pediatric</v>
      </c>
    </row>
    <row r="143" spans="1:15">
      <c r="A143" t="s">
        <v>397</v>
      </c>
      <c r="B143" t="s">
        <v>38</v>
      </c>
      <c r="C143" t="s">
        <v>39</v>
      </c>
      <c r="D143" t="s">
        <v>27</v>
      </c>
      <c r="E143" s="2">
        <v>14</v>
      </c>
      <c r="F143" t="s">
        <v>34</v>
      </c>
      <c r="G143" t="s">
        <v>49</v>
      </c>
      <c r="H143" s="2">
        <v>87</v>
      </c>
      <c r="I143" s="3">
        <v>2669</v>
      </c>
      <c r="J143" s="4">
        <v>3.9</v>
      </c>
      <c r="K143" s="2">
        <v>33</v>
      </c>
      <c r="L143" s="2">
        <v>5</v>
      </c>
      <c r="M143" s="3">
        <v>7337</v>
      </c>
      <c r="N143" t="str" cm="1">
        <f t="array" ref="N143">_xlfn.IFS(Table1_3[[#This Row],[Patient Satisfaction Score]]&gt;=83,"High",H143&lt;=75,"Low",TRUE,"Moderate")</f>
        <v>High</v>
      </c>
      <c r="O143" t="str">
        <f t="shared" si="2"/>
        <v>Pediatric</v>
      </c>
    </row>
    <row r="144" spans="1:15">
      <c r="A144" t="s">
        <v>803</v>
      </c>
      <c r="B144" t="s">
        <v>66</v>
      </c>
      <c r="C144" t="s">
        <v>39</v>
      </c>
      <c r="D144" t="s">
        <v>27</v>
      </c>
      <c r="E144" s="2">
        <v>14</v>
      </c>
      <c r="F144" t="s">
        <v>34</v>
      </c>
      <c r="G144" t="s">
        <v>70</v>
      </c>
      <c r="H144" s="2">
        <v>97</v>
      </c>
      <c r="I144" s="3">
        <v>3050</v>
      </c>
      <c r="J144" s="4">
        <v>6.66</v>
      </c>
      <c r="K144" s="2">
        <v>79</v>
      </c>
      <c r="L144" s="2">
        <v>5</v>
      </c>
      <c r="M144" s="3">
        <v>11461</v>
      </c>
      <c r="N144" t="str" cm="1">
        <f t="array" ref="N144">_xlfn.IFS(Table1_3[[#This Row],[Patient Satisfaction Score]]&gt;=83,"High",H144&lt;=75,"Low",TRUE,"Moderate")</f>
        <v>High</v>
      </c>
      <c r="O144" t="str">
        <f t="shared" si="2"/>
        <v>Pediatric</v>
      </c>
    </row>
    <row r="145" spans="1:15">
      <c r="A145" t="s">
        <v>908</v>
      </c>
      <c r="B145" t="s">
        <v>54</v>
      </c>
      <c r="C145" t="s">
        <v>39</v>
      </c>
      <c r="D145" t="s">
        <v>27</v>
      </c>
      <c r="E145" s="2">
        <v>14</v>
      </c>
      <c r="F145" t="s">
        <v>22</v>
      </c>
      <c r="G145" t="s">
        <v>49</v>
      </c>
      <c r="H145" s="2">
        <v>83</v>
      </c>
      <c r="I145" s="3">
        <v>2984</v>
      </c>
      <c r="J145" s="4">
        <v>7.13</v>
      </c>
      <c r="K145" s="2">
        <v>72</v>
      </c>
      <c r="L145" s="2">
        <v>4</v>
      </c>
      <c r="M145" s="3">
        <v>10995</v>
      </c>
      <c r="N145" t="str" cm="1">
        <f t="array" ref="N145">_xlfn.IFS(Table1_3[[#This Row],[Patient Satisfaction Score]]&gt;=83,"High",H145&lt;=75,"Low",TRUE,"Moderate")</f>
        <v>High</v>
      </c>
      <c r="O145" t="str">
        <f t="shared" si="2"/>
        <v>Pediatric</v>
      </c>
    </row>
    <row r="146" spans="1:15">
      <c r="A146" t="s">
        <v>160</v>
      </c>
      <c r="B146" t="s">
        <v>84</v>
      </c>
      <c r="C146" t="s">
        <v>21</v>
      </c>
      <c r="D146" t="s">
        <v>16</v>
      </c>
      <c r="E146" s="2">
        <v>14</v>
      </c>
      <c r="F146" t="s">
        <v>34</v>
      </c>
      <c r="G146" t="s">
        <v>49</v>
      </c>
      <c r="H146" s="2">
        <v>77</v>
      </c>
      <c r="I146" s="3">
        <v>5036</v>
      </c>
      <c r="J146" s="4">
        <v>14.4</v>
      </c>
      <c r="K146" s="2">
        <v>84</v>
      </c>
      <c r="L146" s="2">
        <v>3</v>
      </c>
      <c r="M146" s="3">
        <v>19973</v>
      </c>
      <c r="N146" t="str" cm="1">
        <f t="array" ref="N146">_xlfn.IFS(Table1_3[[#This Row],[Patient Satisfaction Score]]&gt;=83,"High",H146&lt;=75,"Low",TRUE,"Moderate")</f>
        <v>Moderate</v>
      </c>
      <c r="O146" t="str">
        <f t="shared" si="2"/>
        <v>Pediatric</v>
      </c>
    </row>
    <row r="147" spans="1:15">
      <c r="A147" t="s">
        <v>181</v>
      </c>
      <c r="B147" t="s">
        <v>168</v>
      </c>
      <c r="C147" t="s">
        <v>45</v>
      </c>
      <c r="D147" t="s">
        <v>27</v>
      </c>
      <c r="E147" s="2">
        <v>14</v>
      </c>
      <c r="F147" t="s">
        <v>34</v>
      </c>
      <c r="G147" t="s">
        <v>70</v>
      </c>
      <c r="H147" s="2">
        <v>77</v>
      </c>
      <c r="I147" s="3">
        <v>10473</v>
      </c>
      <c r="J147" s="4">
        <v>17.54</v>
      </c>
      <c r="K147" s="2">
        <v>93</v>
      </c>
      <c r="L147" s="2">
        <v>4</v>
      </c>
      <c r="M147" s="3">
        <v>61777</v>
      </c>
      <c r="N147" t="str" cm="1">
        <f t="array" ref="N147">_xlfn.IFS(Table1_3[[#This Row],[Patient Satisfaction Score]]&gt;=83,"High",H147&lt;=75,"Low",TRUE,"Moderate")</f>
        <v>Moderate</v>
      </c>
      <c r="O147" t="str">
        <f t="shared" si="2"/>
        <v>Pediatric</v>
      </c>
    </row>
    <row r="148" spans="1:15">
      <c r="A148" t="s">
        <v>668</v>
      </c>
      <c r="B148" t="s">
        <v>68</v>
      </c>
      <c r="C148" t="s">
        <v>45</v>
      </c>
      <c r="D148" t="s">
        <v>16</v>
      </c>
      <c r="E148" s="2">
        <v>14</v>
      </c>
      <c r="F148" t="s">
        <v>34</v>
      </c>
      <c r="G148" t="s">
        <v>31</v>
      </c>
      <c r="H148" s="2">
        <v>73</v>
      </c>
      <c r="I148" s="3">
        <v>8197</v>
      </c>
      <c r="J148" s="4">
        <v>17.45</v>
      </c>
      <c r="K148" s="2">
        <v>92</v>
      </c>
      <c r="L148" s="2">
        <v>3</v>
      </c>
      <c r="M148" s="3">
        <v>24737</v>
      </c>
      <c r="N148" t="str" cm="1">
        <f t="array" ref="N148">_xlfn.IFS(Table1_3[[#This Row],[Patient Satisfaction Score]]&gt;=83,"High",H148&lt;=75,"Low",TRUE,"Moderate")</f>
        <v>Low</v>
      </c>
      <c r="O148" t="str">
        <f t="shared" si="2"/>
        <v>Pediatric</v>
      </c>
    </row>
    <row r="149" spans="1:15">
      <c r="A149" t="s">
        <v>773</v>
      </c>
      <c r="B149" t="s">
        <v>64</v>
      </c>
      <c r="C149" t="s">
        <v>30</v>
      </c>
      <c r="D149" t="s">
        <v>16</v>
      </c>
      <c r="E149" s="2">
        <v>14</v>
      </c>
      <c r="F149" t="s">
        <v>17</v>
      </c>
      <c r="G149" t="s">
        <v>18</v>
      </c>
      <c r="H149" s="2">
        <v>65</v>
      </c>
      <c r="I149" s="3">
        <v>3453</v>
      </c>
      <c r="J149" s="4">
        <v>23.82</v>
      </c>
      <c r="K149" s="2">
        <v>118</v>
      </c>
      <c r="L149" s="2">
        <v>3</v>
      </c>
      <c r="M149" s="3">
        <v>11519</v>
      </c>
      <c r="N149" t="str" cm="1">
        <f t="array" ref="N149">_xlfn.IFS(Table1_3[[#This Row],[Patient Satisfaction Score]]&gt;=83,"High",H149&lt;=75,"Low",TRUE,"Moderate")</f>
        <v>Low</v>
      </c>
      <c r="O149" t="str">
        <f t="shared" si="2"/>
        <v>Pediatric</v>
      </c>
    </row>
    <row r="150" spans="1:15">
      <c r="A150" t="s">
        <v>573</v>
      </c>
      <c r="B150" t="s">
        <v>54</v>
      </c>
      <c r="C150" t="s">
        <v>15</v>
      </c>
      <c r="D150" t="s">
        <v>27</v>
      </c>
      <c r="E150" s="2">
        <v>14</v>
      </c>
      <c r="F150" t="s">
        <v>22</v>
      </c>
      <c r="G150" t="s">
        <v>70</v>
      </c>
      <c r="H150" s="2">
        <v>70</v>
      </c>
      <c r="I150" s="3">
        <v>6170</v>
      </c>
      <c r="J150" s="4">
        <v>16.940000000000001</v>
      </c>
      <c r="K150" s="2">
        <v>87</v>
      </c>
      <c r="L150" s="2">
        <v>3</v>
      </c>
      <c r="M150" s="3">
        <v>19408</v>
      </c>
      <c r="N150" t="str" cm="1">
        <f t="array" ref="N150">_xlfn.IFS(Table1_3[[#This Row],[Patient Satisfaction Score]]&gt;=83,"High",H150&lt;=75,"Low",TRUE,"Moderate")</f>
        <v>Low</v>
      </c>
      <c r="O150" t="str">
        <f t="shared" si="2"/>
        <v>Pediatric</v>
      </c>
    </row>
    <row r="151" spans="1:15">
      <c r="A151" t="s">
        <v>977</v>
      </c>
      <c r="B151" t="s">
        <v>135</v>
      </c>
      <c r="C151" t="s">
        <v>48</v>
      </c>
      <c r="D151" t="s">
        <v>27</v>
      </c>
      <c r="E151" s="2">
        <v>15</v>
      </c>
      <c r="F151" t="s">
        <v>22</v>
      </c>
      <c r="G151" t="s">
        <v>31</v>
      </c>
      <c r="H151" s="2">
        <v>71</v>
      </c>
      <c r="I151" s="3">
        <v>3988</v>
      </c>
      <c r="J151" s="4">
        <v>12.43</v>
      </c>
      <c r="K151" s="2">
        <v>67</v>
      </c>
      <c r="L151" s="2">
        <v>4</v>
      </c>
      <c r="M151" s="3">
        <v>15290</v>
      </c>
      <c r="N151" t="str" cm="1">
        <f t="array" ref="N151">_xlfn.IFS(Table1_3[[#This Row],[Patient Satisfaction Score]]&gt;=83,"High",H151&lt;=75,"Low",TRUE,"Moderate")</f>
        <v>Low</v>
      </c>
      <c r="O151" t="str">
        <f t="shared" si="2"/>
        <v>Pediatric</v>
      </c>
    </row>
    <row r="152" spans="1:15">
      <c r="A152" t="s">
        <v>153</v>
      </c>
      <c r="B152" t="s">
        <v>54</v>
      </c>
      <c r="C152" t="s">
        <v>39</v>
      </c>
      <c r="D152" t="s">
        <v>16</v>
      </c>
      <c r="E152" s="2">
        <v>15</v>
      </c>
      <c r="F152" t="s">
        <v>22</v>
      </c>
      <c r="G152" t="s">
        <v>23</v>
      </c>
      <c r="H152" s="2">
        <v>89</v>
      </c>
      <c r="I152" s="3">
        <v>3042</v>
      </c>
      <c r="J152" s="4">
        <v>6.09</v>
      </c>
      <c r="K152" s="2">
        <v>42</v>
      </c>
      <c r="L152" s="2">
        <v>5</v>
      </c>
      <c r="M152" s="3">
        <v>11247</v>
      </c>
      <c r="N152" t="str" cm="1">
        <f t="array" ref="N152">_xlfn.IFS(Table1_3[[#This Row],[Patient Satisfaction Score]]&gt;=83,"High",H152&lt;=75,"Low",TRUE,"Moderate")</f>
        <v>High</v>
      </c>
      <c r="O152" t="str">
        <f t="shared" si="2"/>
        <v>Pediatric</v>
      </c>
    </row>
    <row r="153" spans="1:15">
      <c r="A153" t="s">
        <v>267</v>
      </c>
      <c r="B153" t="s">
        <v>54</v>
      </c>
      <c r="C153" t="s">
        <v>39</v>
      </c>
      <c r="D153" t="s">
        <v>16</v>
      </c>
      <c r="E153" s="2">
        <v>15</v>
      </c>
      <c r="F153" t="s">
        <v>34</v>
      </c>
      <c r="G153" t="s">
        <v>70</v>
      </c>
      <c r="H153" s="2">
        <v>74</v>
      </c>
      <c r="I153" s="3">
        <v>1823</v>
      </c>
      <c r="J153" s="4">
        <v>16.239999999999998</v>
      </c>
      <c r="K153" s="2">
        <v>59</v>
      </c>
      <c r="L153" s="2">
        <v>4</v>
      </c>
      <c r="M153" s="3">
        <v>6629</v>
      </c>
      <c r="N153" t="str" cm="1">
        <f t="array" ref="N153">_xlfn.IFS(Table1_3[[#This Row],[Patient Satisfaction Score]]&gt;=83,"High",H153&lt;=75,"Low",TRUE,"Moderate")</f>
        <v>Low</v>
      </c>
      <c r="O153" t="str">
        <f t="shared" si="2"/>
        <v>Pediatric</v>
      </c>
    </row>
    <row r="154" spans="1:15">
      <c r="A154" t="s">
        <v>336</v>
      </c>
      <c r="B154" t="s">
        <v>42</v>
      </c>
      <c r="C154" t="s">
        <v>39</v>
      </c>
      <c r="D154" t="s">
        <v>27</v>
      </c>
      <c r="E154" s="2">
        <v>15</v>
      </c>
      <c r="F154" t="s">
        <v>34</v>
      </c>
      <c r="G154" t="s">
        <v>49</v>
      </c>
      <c r="H154" s="2">
        <v>79</v>
      </c>
      <c r="I154" s="3">
        <v>3571</v>
      </c>
      <c r="J154" s="4">
        <v>9.15</v>
      </c>
      <c r="K154" s="2">
        <v>64</v>
      </c>
      <c r="L154" s="2">
        <v>4</v>
      </c>
      <c r="M154" s="3">
        <v>20206</v>
      </c>
      <c r="N154" t="str" cm="1">
        <f t="array" ref="N154">_xlfn.IFS(Table1_3[[#This Row],[Patient Satisfaction Score]]&gt;=83,"High",H154&lt;=75,"Low",TRUE,"Moderate")</f>
        <v>Moderate</v>
      </c>
      <c r="O154" t="str">
        <f t="shared" si="2"/>
        <v>Pediatric</v>
      </c>
    </row>
    <row r="155" spans="1:15">
      <c r="A155" t="s">
        <v>480</v>
      </c>
      <c r="B155" t="s">
        <v>42</v>
      </c>
      <c r="C155" t="s">
        <v>39</v>
      </c>
      <c r="D155" t="s">
        <v>16</v>
      </c>
      <c r="E155" s="2">
        <v>15</v>
      </c>
      <c r="F155" t="s">
        <v>22</v>
      </c>
      <c r="G155" t="s">
        <v>70</v>
      </c>
      <c r="H155" s="2">
        <v>85</v>
      </c>
      <c r="I155" s="3">
        <v>3236</v>
      </c>
      <c r="J155" s="4">
        <v>0.28999999999999998</v>
      </c>
      <c r="K155" s="2">
        <v>67</v>
      </c>
      <c r="L155" s="2">
        <v>5</v>
      </c>
      <c r="M155" s="3">
        <v>10300</v>
      </c>
      <c r="N155" t="str" cm="1">
        <f t="array" ref="N155">_xlfn.IFS(Table1_3[[#This Row],[Patient Satisfaction Score]]&gt;=83,"High",H155&lt;=75,"Low",TRUE,"Moderate")</f>
        <v>High</v>
      </c>
      <c r="O155" t="str">
        <f t="shared" si="2"/>
        <v>Pediatric</v>
      </c>
    </row>
    <row r="156" spans="1:15">
      <c r="A156" t="s">
        <v>700</v>
      </c>
      <c r="B156" t="s">
        <v>42</v>
      </c>
      <c r="C156" t="s">
        <v>39</v>
      </c>
      <c r="D156" t="s">
        <v>16</v>
      </c>
      <c r="E156" s="2">
        <v>15</v>
      </c>
      <c r="F156" t="s">
        <v>34</v>
      </c>
      <c r="G156" t="s">
        <v>23</v>
      </c>
      <c r="H156" s="2">
        <v>82</v>
      </c>
      <c r="I156" s="3">
        <v>3723</v>
      </c>
      <c r="J156" s="4">
        <v>1.89</v>
      </c>
      <c r="K156" s="2">
        <v>55</v>
      </c>
      <c r="L156" s="2">
        <v>4</v>
      </c>
      <c r="M156" s="3">
        <v>13082</v>
      </c>
      <c r="N156" t="str" cm="1">
        <f t="array" ref="N156">_xlfn.IFS(Table1_3[[#This Row],[Patient Satisfaction Score]]&gt;=83,"High",H156&lt;=75,"Low",TRUE,"Moderate")</f>
        <v>Moderate</v>
      </c>
      <c r="O156" t="str">
        <f t="shared" si="2"/>
        <v>Pediatric</v>
      </c>
    </row>
    <row r="157" spans="1:15">
      <c r="A157" t="s">
        <v>936</v>
      </c>
      <c r="B157" t="s">
        <v>38</v>
      </c>
      <c r="C157" t="s">
        <v>39</v>
      </c>
      <c r="D157" t="s">
        <v>16</v>
      </c>
      <c r="E157" s="2">
        <v>15</v>
      </c>
      <c r="F157" t="s">
        <v>22</v>
      </c>
      <c r="G157" t="s">
        <v>70</v>
      </c>
      <c r="H157" s="2">
        <v>70</v>
      </c>
      <c r="I157" s="3">
        <v>2557</v>
      </c>
      <c r="J157" s="4">
        <v>4.66</v>
      </c>
      <c r="K157" s="2">
        <v>93</v>
      </c>
      <c r="L157" s="2">
        <v>3</v>
      </c>
      <c r="M157" s="3">
        <v>14570</v>
      </c>
      <c r="N157" t="str" cm="1">
        <f t="array" ref="N157">_xlfn.IFS(Table1_3[[#This Row],[Patient Satisfaction Score]]&gt;=83,"High",H157&lt;=75,"Low",TRUE,"Moderate")</f>
        <v>Low</v>
      </c>
      <c r="O157" t="str">
        <f t="shared" si="2"/>
        <v>Pediatric</v>
      </c>
    </row>
    <row r="158" spans="1:15">
      <c r="A158" t="s">
        <v>1032</v>
      </c>
      <c r="B158" t="s">
        <v>42</v>
      </c>
      <c r="C158" t="s">
        <v>39</v>
      </c>
      <c r="D158" t="s">
        <v>16</v>
      </c>
      <c r="E158" s="2">
        <v>15</v>
      </c>
      <c r="F158" t="s">
        <v>22</v>
      </c>
      <c r="G158" t="s">
        <v>49</v>
      </c>
      <c r="H158" s="2">
        <v>88</v>
      </c>
      <c r="I158" s="3">
        <v>2052</v>
      </c>
      <c r="J158" s="4">
        <v>4.7300000000000004</v>
      </c>
      <c r="K158" s="2">
        <v>52</v>
      </c>
      <c r="L158" s="2">
        <v>5</v>
      </c>
      <c r="M158" s="3">
        <v>11290</v>
      </c>
      <c r="N158" t="str" cm="1">
        <f t="array" ref="N158">_xlfn.IFS(Table1_3[[#This Row],[Patient Satisfaction Score]]&gt;=83,"High",H158&lt;=75,"Low",TRUE,"Moderate")</f>
        <v>High</v>
      </c>
      <c r="O158" t="str">
        <f t="shared" si="2"/>
        <v>Pediatric</v>
      </c>
    </row>
    <row r="159" spans="1:15">
      <c r="A159" t="s">
        <v>1016</v>
      </c>
      <c r="B159" t="s">
        <v>88</v>
      </c>
      <c r="C159" t="s">
        <v>15</v>
      </c>
      <c r="D159" t="s">
        <v>16</v>
      </c>
      <c r="E159" s="2">
        <v>15</v>
      </c>
      <c r="F159" t="s">
        <v>34</v>
      </c>
      <c r="G159" t="s">
        <v>18</v>
      </c>
      <c r="H159" s="2">
        <v>74</v>
      </c>
      <c r="I159" s="3">
        <v>7189</v>
      </c>
      <c r="J159" s="4">
        <v>14.7</v>
      </c>
      <c r="K159" s="2">
        <v>58</v>
      </c>
      <c r="L159" s="2">
        <v>4</v>
      </c>
      <c r="M159" s="3">
        <v>38505</v>
      </c>
      <c r="N159" t="str" cm="1">
        <f t="array" ref="N159">_xlfn.IFS(Table1_3[[#This Row],[Patient Satisfaction Score]]&gt;=83,"High",H159&lt;=75,"Low",TRUE,"Moderate")</f>
        <v>Low</v>
      </c>
      <c r="O159" t="str">
        <f t="shared" si="2"/>
        <v>Pediatric</v>
      </c>
    </row>
    <row r="160" spans="1:15">
      <c r="A160" t="s">
        <v>165</v>
      </c>
      <c r="B160" t="s">
        <v>135</v>
      </c>
      <c r="C160" t="s">
        <v>48</v>
      </c>
      <c r="D160" t="s">
        <v>16</v>
      </c>
      <c r="E160" s="2">
        <v>16</v>
      </c>
      <c r="F160" t="s">
        <v>17</v>
      </c>
      <c r="G160" t="s">
        <v>23</v>
      </c>
      <c r="H160" s="2">
        <v>83</v>
      </c>
      <c r="I160" s="3">
        <v>4667</v>
      </c>
      <c r="J160" s="4">
        <v>19.010000000000002</v>
      </c>
      <c r="K160" s="2">
        <v>59</v>
      </c>
      <c r="L160" s="2">
        <v>5</v>
      </c>
      <c r="M160" s="3">
        <v>12110</v>
      </c>
      <c r="N160" t="str" cm="1">
        <f t="array" ref="N160">_xlfn.IFS(Table1_3[[#This Row],[Patient Satisfaction Score]]&gt;=83,"High",H160&lt;=75,"Low",TRUE,"Moderate")</f>
        <v>High</v>
      </c>
      <c r="O160" t="str">
        <f t="shared" si="2"/>
        <v>Pediatric</v>
      </c>
    </row>
    <row r="161" spans="1:15">
      <c r="A161" t="s">
        <v>183</v>
      </c>
      <c r="B161" t="s">
        <v>122</v>
      </c>
      <c r="C161" t="s">
        <v>48</v>
      </c>
      <c r="D161" t="s">
        <v>16</v>
      </c>
      <c r="E161" s="2">
        <v>16</v>
      </c>
      <c r="F161" t="s">
        <v>34</v>
      </c>
      <c r="G161" t="s">
        <v>49</v>
      </c>
      <c r="H161" s="2">
        <v>75</v>
      </c>
      <c r="I161" s="3">
        <v>4749</v>
      </c>
      <c r="J161" s="4">
        <v>17.11</v>
      </c>
      <c r="K161" s="2">
        <v>85</v>
      </c>
      <c r="L161" s="2">
        <v>4</v>
      </c>
      <c r="M161" s="3">
        <v>17113</v>
      </c>
      <c r="N161" t="str" cm="1">
        <f t="array" ref="N161">_xlfn.IFS(Table1_3[[#This Row],[Patient Satisfaction Score]]&gt;=83,"High",H161&lt;=75,"Low",TRUE,"Moderate")</f>
        <v>Low</v>
      </c>
      <c r="O161" t="str">
        <f t="shared" si="2"/>
        <v>Pediatric</v>
      </c>
    </row>
    <row r="162" spans="1:15">
      <c r="A162" t="s">
        <v>291</v>
      </c>
      <c r="B162" t="s">
        <v>122</v>
      </c>
      <c r="C162" t="s">
        <v>48</v>
      </c>
      <c r="D162" t="s">
        <v>27</v>
      </c>
      <c r="E162" s="2">
        <v>16</v>
      </c>
      <c r="F162" t="s">
        <v>34</v>
      </c>
      <c r="G162" t="s">
        <v>31</v>
      </c>
      <c r="H162" s="2">
        <v>72</v>
      </c>
      <c r="I162" s="3">
        <v>5366</v>
      </c>
      <c r="J162" s="4">
        <v>15.09</v>
      </c>
      <c r="K162" s="2">
        <v>51</v>
      </c>
      <c r="L162" s="2">
        <v>4</v>
      </c>
      <c r="M162" s="3">
        <v>31081</v>
      </c>
      <c r="N162" t="str" cm="1">
        <f t="array" ref="N162">_xlfn.IFS(Table1_3[[#This Row],[Patient Satisfaction Score]]&gt;=83,"High",H162&lt;=75,"Low",TRUE,"Moderate")</f>
        <v>Low</v>
      </c>
      <c r="O162" t="str">
        <f t="shared" si="2"/>
        <v>Pediatric</v>
      </c>
    </row>
    <row r="163" spans="1:15">
      <c r="A163" t="s">
        <v>893</v>
      </c>
      <c r="B163" t="s">
        <v>122</v>
      </c>
      <c r="C163" t="s">
        <v>48</v>
      </c>
      <c r="D163" t="s">
        <v>27</v>
      </c>
      <c r="E163" s="2">
        <v>16</v>
      </c>
      <c r="F163" t="s">
        <v>17</v>
      </c>
      <c r="G163" t="s">
        <v>23</v>
      </c>
      <c r="H163" s="2">
        <v>87</v>
      </c>
      <c r="I163" s="3">
        <v>6583</v>
      </c>
      <c r="J163" s="4">
        <v>10.7</v>
      </c>
      <c r="K163" s="2">
        <v>88</v>
      </c>
      <c r="L163" s="2">
        <v>4</v>
      </c>
      <c r="M163" s="3">
        <v>37615</v>
      </c>
      <c r="N163" t="str" cm="1">
        <f t="array" ref="N163">_xlfn.IFS(Table1_3[[#This Row],[Patient Satisfaction Score]]&gt;=83,"High",H163&lt;=75,"Low",TRUE,"Moderate")</f>
        <v>High</v>
      </c>
      <c r="O163" t="str">
        <f t="shared" si="2"/>
        <v>Pediatric</v>
      </c>
    </row>
    <row r="164" spans="1:15">
      <c r="A164" t="s">
        <v>157</v>
      </c>
      <c r="B164" t="s">
        <v>38</v>
      </c>
      <c r="C164" t="s">
        <v>39</v>
      </c>
      <c r="D164" t="s">
        <v>16</v>
      </c>
      <c r="E164" s="2">
        <v>16</v>
      </c>
      <c r="F164" t="s">
        <v>34</v>
      </c>
      <c r="G164" t="s">
        <v>49</v>
      </c>
      <c r="H164" s="2">
        <v>88</v>
      </c>
      <c r="I164" s="3">
        <v>4129</v>
      </c>
      <c r="J164" s="4">
        <v>13.38</v>
      </c>
      <c r="K164" s="2">
        <v>69</v>
      </c>
      <c r="L164" s="2">
        <v>4</v>
      </c>
      <c r="M164" s="3">
        <v>23825</v>
      </c>
      <c r="N164" t="str" cm="1">
        <f t="array" ref="N164">_xlfn.IFS(Table1_3[[#This Row],[Patient Satisfaction Score]]&gt;=83,"High",H164&lt;=75,"Low",TRUE,"Moderate")</f>
        <v>High</v>
      </c>
      <c r="O164" t="str">
        <f t="shared" si="2"/>
        <v>Pediatric</v>
      </c>
    </row>
    <row r="165" spans="1:15">
      <c r="A165" t="s">
        <v>472</v>
      </c>
      <c r="B165" t="s">
        <v>42</v>
      </c>
      <c r="C165" t="s">
        <v>39</v>
      </c>
      <c r="D165" t="s">
        <v>27</v>
      </c>
      <c r="E165" s="2">
        <v>16</v>
      </c>
      <c r="F165" t="s">
        <v>34</v>
      </c>
      <c r="G165" t="s">
        <v>49</v>
      </c>
      <c r="H165" s="2">
        <v>88</v>
      </c>
      <c r="I165" s="3">
        <v>3377</v>
      </c>
      <c r="J165" s="4">
        <v>4.78</v>
      </c>
      <c r="K165" s="2">
        <v>72</v>
      </c>
      <c r="L165" s="2">
        <v>4</v>
      </c>
      <c r="M165" s="3">
        <v>20229</v>
      </c>
      <c r="N165" t="str" cm="1">
        <f t="array" ref="N165">_xlfn.IFS(Table1_3[[#This Row],[Patient Satisfaction Score]]&gt;=83,"High",H165&lt;=75,"Low",TRUE,"Moderate")</f>
        <v>High</v>
      </c>
      <c r="O165" t="str">
        <f t="shared" si="2"/>
        <v>Pediatric</v>
      </c>
    </row>
    <row r="166" spans="1:15">
      <c r="A166" t="s">
        <v>477</v>
      </c>
      <c r="B166" t="s">
        <v>54</v>
      </c>
      <c r="C166" t="s">
        <v>39</v>
      </c>
      <c r="D166" t="s">
        <v>16</v>
      </c>
      <c r="E166" s="2">
        <v>16</v>
      </c>
      <c r="F166" t="s">
        <v>17</v>
      </c>
      <c r="G166" t="s">
        <v>49</v>
      </c>
      <c r="H166" s="2">
        <v>92</v>
      </c>
      <c r="I166" s="3">
        <v>1849</v>
      </c>
      <c r="J166" s="4">
        <v>7.4</v>
      </c>
      <c r="K166" s="2">
        <v>52</v>
      </c>
      <c r="L166" s="2">
        <v>5</v>
      </c>
      <c r="M166" s="3">
        <v>5510</v>
      </c>
      <c r="N166" t="str" cm="1">
        <f t="array" ref="N166">_xlfn.IFS(Table1_3[[#This Row],[Patient Satisfaction Score]]&gt;=83,"High",H166&lt;=75,"Low",TRUE,"Moderate")</f>
        <v>High</v>
      </c>
      <c r="O166" t="str">
        <f t="shared" si="2"/>
        <v>Pediatric</v>
      </c>
    </row>
    <row r="167" spans="1:15">
      <c r="A167" t="s">
        <v>545</v>
      </c>
      <c r="B167" t="s">
        <v>42</v>
      </c>
      <c r="C167" t="s">
        <v>39</v>
      </c>
      <c r="D167" t="s">
        <v>16</v>
      </c>
      <c r="E167" s="2">
        <v>16</v>
      </c>
      <c r="F167" t="s">
        <v>22</v>
      </c>
      <c r="G167" t="s">
        <v>40</v>
      </c>
      <c r="H167" s="2">
        <v>80</v>
      </c>
      <c r="I167" s="3">
        <v>3709</v>
      </c>
      <c r="J167" s="4">
        <v>12.64</v>
      </c>
      <c r="K167" s="2">
        <v>63</v>
      </c>
      <c r="L167" s="2">
        <v>4</v>
      </c>
      <c r="M167" s="3">
        <v>9286</v>
      </c>
      <c r="N167" t="str" cm="1">
        <f t="array" ref="N167">_xlfn.IFS(Table1_3[[#This Row],[Patient Satisfaction Score]]&gt;=83,"High",H167&lt;=75,"Low",TRUE,"Moderate")</f>
        <v>Moderate</v>
      </c>
      <c r="O167" t="str">
        <f t="shared" si="2"/>
        <v>Pediatric</v>
      </c>
    </row>
    <row r="168" spans="1:15">
      <c r="A168" t="s">
        <v>661</v>
      </c>
      <c r="B168" t="s">
        <v>42</v>
      </c>
      <c r="C168" t="s">
        <v>39</v>
      </c>
      <c r="D168" t="s">
        <v>16</v>
      </c>
      <c r="E168" s="2">
        <v>16</v>
      </c>
      <c r="F168" t="s">
        <v>17</v>
      </c>
      <c r="G168" t="s">
        <v>49</v>
      </c>
      <c r="H168" s="2">
        <v>75</v>
      </c>
      <c r="I168" s="3">
        <v>4010</v>
      </c>
      <c r="J168" s="4">
        <v>15.38</v>
      </c>
      <c r="K168" s="2">
        <v>48</v>
      </c>
      <c r="L168" s="2">
        <v>3</v>
      </c>
      <c r="M168" s="3">
        <v>11521</v>
      </c>
      <c r="N168" t="str" cm="1">
        <f t="array" ref="N168">_xlfn.IFS(Table1_3[[#This Row],[Patient Satisfaction Score]]&gt;=83,"High",H168&lt;=75,"Low",TRUE,"Moderate")</f>
        <v>Low</v>
      </c>
      <c r="O168" t="str">
        <f t="shared" si="2"/>
        <v>Pediatric</v>
      </c>
    </row>
    <row r="169" spans="1:15">
      <c r="A169" t="s">
        <v>680</v>
      </c>
      <c r="B169" t="s">
        <v>66</v>
      </c>
      <c r="C169" t="s">
        <v>39</v>
      </c>
      <c r="D169" t="s">
        <v>27</v>
      </c>
      <c r="E169" s="2">
        <v>16</v>
      </c>
      <c r="F169" t="s">
        <v>22</v>
      </c>
      <c r="G169" t="s">
        <v>40</v>
      </c>
      <c r="H169" s="2">
        <v>81</v>
      </c>
      <c r="I169" s="3">
        <v>3007</v>
      </c>
      <c r="J169" s="4">
        <v>9.92</v>
      </c>
      <c r="K169" s="2">
        <v>61</v>
      </c>
      <c r="L169" s="2">
        <v>3</v>
      </c>
      <c r="M169" s="3">
        <v>16546</v>
      </c>
      <c r="N169" t="str" cm="1">
        <f t="array" ref="N169">_xlfn.IFS(Table1_3[[#This Row],[Patient Satisfaction Score]]&gt;=83,"High",H169&lt;=75,"Low",TRUE,"Moderate")</f>
        <v>Moderate</v>
      </c>
      <c r="O169" t="str">
        <f t="shared" si="2"/>
        <v>Pediatric</v>
      </c>
    </row>
    <row r="170" spans="1:15">
      <c r="A170" t="s">
        <v>699</v>
      </c>
      <c r="B170" t="s">
        <v>66</v>
      </c>
      <c r="C170" t="s">
        <v>39</v>
      </c>
      <c r="D170" t="s">
        <v>27</v>
      </c>
      <c r="E170" s="2">
        <v>16</v>
      </c>
      <c r="F170" t="s">
        <v>22</v>
      </c>
      <c r="G170" t="s">
        <v>70</v>
      </c>
      <c r="H170" s="2">
        <v>82</v>
      </c>
      <c r="I170" s="3">
        <v>3087</v>
      </c>
      <c r="J170" s="4">
        <v>5.37</v>
      </c>
      <c r="K170" s="2">
        <v>47</v>
      </c>
      <c r="L170" s="2">
        <v>4</v>
      </c>
      <c r="M170" s="3">
        <v>16810</v>
      </c>
      <c r="N170" t="str" cm="1">
        <f t="array" ref="N170">_xlfn.IFS(Table1_3[[#This Row],[Patient Satisfaction Score]]&gt;=83,"High",H170&lt;=75,"Low",TRUE,"Moderate")</f>
        <v>Moderate</v>
      </c>
      <c r="O170" t="str">
        <f t="shared" si="2"/>
        <v>Pediatric</v>
      </c>
    </row>
    <row r="171" spans="1:15">
      <c r="A171" t="s">
        <v>871</v>
      </c>
      <c r="B171" t="s">
        <v>25</v>
      </c>
      <c r="C171" t="s">
        <v>39</v>
      </c>
      <c r="D171" t="s">
        <v>27</v>
      </c>
      <c r="E171" s="2">
        <v>16</v>
      </c>
      <c r="F171" t="s">
        <v>34</v>
      </c>
      <c r="G171" t="s">
        <v>49</v>
      </c>
      <c r="H171" s="2">
        <v>76</v>
      </c>
      <c r="I171" s="3">
        <v>3802</v>
      </c>
      <c r="J171" s="4">
        <v>12.03</v>
      </c>
      <c r="K171" s="2">
        <v>50</v>
      </c>
      <c r="L171" s="2">
        <v>4</v>
      </c>
      <c r="M171" s="3">
        <v>10749</v>
      </c>
      <c r="N171" t="str" cm="1">
        <f t="array" ref="N171">_xlfn.IFS(Table1_3[[#This Row],[Patient Satisfaction Score]]&gt;=83,"High",H171&lt;=75,"Low",TRUE,"Moderate")</f>
        <v>Moderate</v>
      </c>
      <c r="O171" t="str">
        <f t="shared" si="2"/>
        <v>Pediatric</v>
      </c>
    </row>
    <row r="172" spans="1:15">
      <c r="A172" t="s">
        <v>751</v>
      </c>
      <c r="B172" t="s">
        <v>185</v>
      </c>
      <c r="C172" t="s">
        <v>52</v>
      </c>
      <c r="D172" t="s">
        <v>27</v>
      </c>
      <c r="E172" s="2">
        <v>16</v>
      </c>
      <c r="F172" t="s">
        <v>22</v>
      </c>
      <c r="G172" t="s">
        <v>31</v>
      </c>
      <c r="H172" s="2">
        <v>76</v>
      </c>
      <c r="I172" s="3">
        <v>5656</v>
      </c>
      <c r="J172" s="4">
        <v>19.260000000000002</v>
      </c>
      <c r="K172" s="2">
        <v>78</v>
      </c>
      <c r="L172" s="2">
        <v>4</v>
      </c>
      <c r="M172" s="3">
        <v>23758</v>
      </c>
      <c r="N172" t="str" cm="1">
        <f t="array" ref="N172">_xlfn.IFS(Table1_3[[#This Row],[Patient Satisfaction Score]]&gt;=83,"High",H172&lt;=75,"Low",TRUE,"Moderate")</f>
        <v>Moderate</v>
      </c>
      <c r="O172" t="str">
        <f t="shared" si="2"/>
        <v>Pediatric</v>
      </c>
    </row>
    <row r="173" spans="1:15">
      <c r="A173" t="s">
        <v>982</v>
      </c>
      <c r="B173" t="s">
        <v>143</v>
      </c>
      <c r="C173" t="s">
        <v>21</v>
      </c>
      <c r="D173" t="s">
        <v>27</v>
      </c>
      <c r="E173" s="2">
        <v>16</v>
      </c>
      <c r="F173" t="s">
        <v>22</v>
      </c>
      <c r="G173" t="s">
        <v>40</v>
      </c>
      <c r="H173" s="2">
        <v>75</v>
      </c>
      <c r="I173" s="3">
        <v>6111</v>
      </c>
      <c r="J173" s="4">
        <v>13.57</v>
      </c>
      <c r="K173" s="2">
        <v>80</v>
      </c>
      <c r="L173" s="2">
        <v>3</v>
      </c>
      <c r="M173" s="3">
        <v>22931</v>
      </c>
      <c r="N173" t="str" cm="1">
        <f t="array" ref="N173">_xlfn.IFS(Table1_3[[#This Row],[Patient Satisfaction Score]]&gt;=83,"High",H173&lt;=75,"Low",TRUE,"Moderate")</f>
        <v>Low</v>
      </c>
      <c r="O173" t="str">
        <f t="shared" si="2"/>
        <v>Pediatric</v>
      </c>
    </row>
    <row r="174" spans="1:15">
      <c r="A174" t="s">
        <v>655</v>
      </c>
      <c r="B174" t="s">
        <v>44</v>
      </c>
      <c r="C174" t="s">
        <v>45</v>
      </c>
      <c r="D174" t="s">
        <v>16</v>
      </c>
      <c r="E174" s="2">
        <v>16</v>
      </c>
      <c r="F174" t="s">
        <v>22</v>
      </c>
      <c r="G174" t="s">
        <v>23</v>
      </c>
      <c r="H174" s="2">
        <v>73</v>
      </c>
      <c r="I174" s="3">
        <v>8060</v>
      </c>
      <c r="J174" s="4">
        <v>19.03</v>
      </c>
      <c r="K174" s="2">
        <v>96</v>
      </c>
      <c r="L174" s="2">
        <v>3</v>
      </c>
      <c r="M174" s="3">
        <v>38720</v>
      </c>
      <c r="N174" t="str" cm="1">
        <f t="array" ref="N174">_xlfn.IFS(Table1_3[[#This Row],[Patient Satisfaction Score]]&gt;=83,"High",H174&lt;=75,"Low",TRUE,"Moderate")</f>
        <v>Low</v>
      </c>
      <c r="O174" t="str">
        <f t="shared" si="2"/>
        <v>Pediatric</v>
      </c>
    </row>
    <row r="175" spans="1:15">
      <c r="A175" t="s">
        <v>877</v>
      </c>
      <c r="B175" t="s">
        <v>29</v>
      </c>
      <c r="C175" t="s">
        <v>30</v>
      </c>
      <c r="D175" t="s">
        <v>16</v>
      </c>
      <c r="E175" s="2">
        <v>16</v>
      </c>
      <c r="F175" t="s">
        <v>17</v>
      </c>
      <c r="G175" t="s">
        <v>40</v>
      </c>
      <c r="H175" s="2">
        <v>78</v>
      </c>
      <c r="I175" s="3">
        <v>3061</v>
      </c>
      <c r="J175" s="4">
        <v>18.579999999999998</v>
      </c>
      <c r="K175" s="2">
        <v>107</v>
      </c>
      <c r="L175" s="2">
        <v>3</v>
      </c>
      <c r="M175" s="3">
        <v>12324</v>
      </c>
      <c r="N175" t="str" cm="1">
        <f t="array" ref="N175">_xlfn.IFS(Table1_3[[#This Row],[Patient Satisfaction Score]]&gt;=83,"High",H175&lt;=75,"Low",TRUE,"Moderate")</f>
        <v>Moderate</v>
      </c>
      <c r="O175" t="str">
        <f t="shared" si="2"/>
        <v>Pediatric</v>
      </c>
    </row>
    <row r="176" spans="1:15">
      <c r="A176" t="s">
        <v>53</v>
      </c>
      <c r="B176" t="s">
        <v>54</v>
      </c>
      <c r="C176" t="s">
        <v>15</v>
      </c>
      <c r="D176" t="s">
        <v>16</v>
      </c>
      <c r="E176" s="2">
        <v>16</v>
      </c>
      <c r="F176" t="s">
        <v>34</v>
      </c>
      <c r="G176" t="s">
        <v>40</v>
      </c>
      <c r="H176" s="2">
        <v>71</v>
      </c>
      <c r="I176" s="3">
        <v>8264</v>
      </c>
      <c r="J176" s="4">
        <v>16.079999999999998</v>
      </c>
      <c r="K176" s="2">
        <v>105</v>
      </c>
      <c r="L176" s="2">
        <v>3</v>
      </c>
      <c r="M176" s="3">
        <v>42513</v>
      </c>
      <c r="N176" t="str" cm="1">
        <f t="array" ref="N176">_xlfn.IFS(Table1_3[[#This Row],[Patient Satisfaction Score]]&gt;=83,"High",H176&lt;=75,"Low",TRUE,"Moderate")</f>
        <v>Low</v>
      </c>
      <c r="O176" t="str">
        <f t="shared" si="2"/>
        <v>Pediatric</v>
      </c>
    </row>
    <row r="177" spans="1:15">
      <c r="A177" t="s">
        <v>636</v>
      </c>
      <c r="B177" t="s">
        <v>33</v>
      </c>
      <c r="C177" t="s">
        <v>26</v>
      </c>
      <c r="D177" t="s">
        <v>27</v>
      </c>
      <c r="E177" s="2">
        <v>17</v>
      </c>
      <c r="F177" t="s">
        <v>22</v>
      </c>
      <c r="G177" t="s">
        <v>70</v>
      </c>
      <c r="H177" s="2">
        <v>84</v>
      </c>
      <c r="I177" s="3">
        <v>2138</v>
      </c>
      <c r="J177" s="4">
        <v>4.22</v>
      </c>
      <c r="K177" s="2">
        <v>56</v>
      </c>
      <c r="L177" s="2">
        <v>4</v>
      </c>
      <c r="M177" s="3">
        <v>6016</v>
      </c>
      <c r="N177" t="str" cm="1">
        <f t="array" ref="N177">_xlfn.IFS(Table1_3[[#This Row],[Patient Satisfaction Score]]&gt;=83,"High",H177&lt;=75,"Low",TRUE,"Moderate")</f>
        <v>High</v>
      </c>
      <c r="O177" t="str">
        <f t="shared" si="2"/>
        <v>Pediatric</v>
      </c>
    </row>
    <row r="178" spans="1:15">
      <c r="A178" t="s">
        <v>937</v>
      </c>
      <c r="B178" t="s">
        <v>137</v>
      </c>
      <c r="C178" t="s">
        <v>26</v>
      </c>
      <c r="D178" t="s">
        <v>27</v>
      </c>
      <c r="E178" s="2">
        <v>17</v>
      </c>
      <c r="F178" t="s">
        <v>34</v>
      </c>
      <c r="G178" t="s">
        <v>23</v>
      </c>
      <c r="H178" s="2">
        <v>97</v>
      </c>
      <c r="I178" s="3">
        <v>3050</v>
      </c>
      <c r="J178" s="4">
        <v>3.48</v>
      </c>
      <c r="K178" s="2">
        <v>16</v>
      </c>
      <c r="L178" s="2">
        <v>5</v>
      </c>
      <c r="M178" s="3">
        <v>11191</v>
      </c>
      <c r="N178" t="str" cm="1">
        <f t="array" ref="N178">_xlfn.IFS(Table1_3[[#This Row],[Patient Satisfaction Score]]&gt;=83,"High",H178&lt;=75,"Low",TRUE,"Moderate")</f>
        <v>High</v>
      </c>
      <c r="O178" t="str">
        <f t="shared" si="2"/>
        <v>Pediatric</v>
      </c>
    </row>
    <row r="179" spans="1:15">
      <c r="A179" t="s">
        <v>131</v>
      </c>
      <c r="B179" t="s">
        <v>66</v>
      </c>
      <c r="C179" t="s">
        <v>39</v>
      </c>
      <c r="D179" t="s">
        <v>16</v>
      </c>
      <c r="E179" s="2">
        <v>17</v>
      </c>
      <c r="F179" t="s">
        <v>34</v>
      </c>
      <c r="G179" t="s">
        <v>49</v>
      </c>
      <c r="H179" s="2">
        <v>81</v>
      </c>
      <c r="I179" s="3">
        <v>2834</v>
      </c>
      <c r="J179" s="4">
        <v>0</v>
      </c>
      <c r="K179" s="2">
        <v>48</v>
      </c>
      <c r="L179" s="2">
        <v>5</v>
      </c>
      <c r="M179" s="3">
        <v>11672</v>
      </c>
      <c r="N179" t="str" cm="1">
        <f t="array" ref="N179">_xlfn.IFS(Table1_3[[#This Row],[Patient Satisfaction Score]]&gt;=83,"High",H179&lt;=75,"Low",TRUE,"Moderate")</f>
        <v>Moderate</v>
      </c>
      <c r="O179" t="str">
        <f t="shared" si="2"/>
        <v>Pediatric</v>
      </c>
    </row>
    <row r="180" spans="1:15">
      <c r="A180" t="s">
        <v>340</v>
      </c>
      <c r="B180" t="s">
        <v>38</v>
      </c>
      <c r="C180" t="s">
        <v>39</v>
      </c>
      <c r="D180" t="s">
        <v>27</v>
      </c>
      <c r="E180" s="2">
        <v>17</v>
      </c>
      <c r="F180" t="s">
        <v>17</v>
      </c>
      <c r="G180" t="s">
        <v>49</v>
      </c>
      <c r="H180" s="2">
        <v>85</v>
      </c>
      <c r="I180" s="3">
        <v>2919</v>
      </c>
      <c r="J180" s="4">
        <v>11.24</v>
      </c>
      <c r="K180" s="2">
        <v>65</v>
      </c>
      <c r="L180" s="2">
        <v>4</v>
      </c>
      <c r="M180" s="3">
        <v>11089</v>
      </c>
      <c r="N180" t="str" cm="1">
        <f t="array" ref="N180">_xlfn.IFS(Table1_3[[#This Row],[Patient Satisfaction Score]]&gt;=83,"High",H180&lt;=75,"Low",TRUE,"Moderate")</f>
        <v>High</v>
      </c>
      <c r="O180" t="str">
        <f t="shared" si="2"/>
        <v>Pediatric</v>
      </c>
    </row>
    <row r="181" spans="1:15">
      <c r="A181" t="s">
        <v>600</v>
      </c>
      <c r="B181" t="s">
        <v>122</v>
      </c>
      <c r="C181" t="s">
        <v>48</v>
      </c>
      <c r="D181" t="s">
        <v>27</v>
      </c>
      <c r="E181" s="2">
        <v>17</v>
      </c>
      <c r="F181" t="s">
        <v>34</v>
      </c>
      <c r="G181" t="s">
        <v>23</v>
      </c>
      <c r="H181" s="2">
        <v>88</v>
      </c>
      <c r="I181" s="3">
        <v>3626</v>
      </c>
      <c r="J181" s="4">
        <v>12.19</v>
      </c>
      <c r="K181" s="2">
        <v>82</v>
      </c>
      <c r="L181" s="2">
        <v>4</v>
      </c>
      <c r="M181" s="3">
        <v>18522</v>
      </c>
      <c r="N181" t="str" cm="1">
        <f t="array" ref="N181">_xlfn.IFS(Table1_3[[#This Row],[Patient Satisfaction Score]]&gt;=83,"High",H181&lt;=75,"Low",TRUE,"Moderate")</f>
        <v>High</v>
      </c>
      <c r="O181" t="str">
        <f t="shared" si="2"/>
        <v>Pediatric</v>
      </c>
    </row>
    <row r="182" spans="1:15">
      <c r="A182" t="s">
        <v>376</v>
      </c>
      <c r="B182" t="s">
        <v>38</v>
      </c>
      <c r="C182" t="s">
        <v>39</v>
      </c>
      <c r="D182" t="s">
        <v>27</v>
      </c>
      <c r="E182" s="2">
        <v>17</v>
      </c>
      <c r="F182" t="s">
        <v>22</v>
      </c>
      <c r="G182" t="s">
        <v>31</v>
      </c>
      <c r="H182" s="2">
        <v>86</v>
      </c>
      <c r="I182" s="3">
        <v>3444</v>
      </c>
      <c r="J182" s="4">
        <v>5.95</v>
      </c>
      <c r="K182" s="2">
        <v>39</v>
      </c>
      <c r="L182" s="2">
        <v>4</v>
      </c>
      <c r="M182" s="3">
        <v>14550</v>
      </c>
      <c r="N182" t="str" cm="1">
        <f t="array" ref="N182">_xlfn.IFS(Table1_3[[#This Row],[Patient Satisfaction Score]]&gt;=83,"High",H182&lt;=75,"Low",TRUE,"Moderate")</f>
        <v>High</v>
      </c>
      <c r="O182" t="str">
        <f t="shared" si="2"/>
        <v>Pediatric</v>
      </c>
    </row>
    <row r="183" spans="1:15">
      <c r="A183" t="s">
        <v>379</v>
      </c>
      <c r="B183" t="s">
        <v>25</v>
      </c>
      <c r="C183" t="s">
        <v>39</v>
      </c>
      <c r="D183" t="s">
        <v>72</v>
      </c>
      <c r="E183" s="2">
        <v>17</v>
      </c>
      <c r="F183" t="s">
        <v>22</v>
      </c>
      <c r="G183" t="s">
        <v>31</v>
      </c>
      <c r="H183" s="2">
        <v>74</v>
      </c>
      <c r="I183" s="3">
        <v>3588</v>
      </c>
      <c r="J183" s="4">
        <v>5.03</v>
      </c>
      <c r="K183" s="2">
        <v>63</v>
      </c>
      <c r="L183" s="2">
        <v>4</v>
      </c>
      <c r="M183" s="3">
        <v>13638</v>
      </c>
      <c r="N183" t="str" cm="1">
        <f t="array" ref="N183">_xlfn.IFS(Table1_3[[#This Row],[Patient Satisfaction Score]]&gt;=83,"High",H183&lt;=75,"Low",TRUE,"Moderate")</f>
        <v>Low</v>
      </c>
      <c r="O183" t="str">
        <f t="shared" si="2"/>
        <v>Pediatric</v>
      </c>
    </row>
    <row r="184" spans="1:15">
      <c r="A184" t="s">
        <v>461</v>
      </c>
      <c r="B184" t="s">
        <v>54</v>
      </c>
      <c r="C184" t="s">
        <v>39</v>
      </c>
      <c r="D184" t="s">
        <v>27</v>
      </c>
      <c r="E184" s="2">
        <v>17</v>
      </c>
      <c r="F184" t="s">
        <v>34</v>
      </c>
      <c r="G184" t="s">
        <v>49</v>
      </c>
      <c r="H184" s="2">
        <v>87</v>
      </c>
      <c r="I184" s="3">
        <v>3696</v>
      </c>
      <c r="J184" s="4">
        <v>4.75</v>
      </c>
      <c r="K184" s="2">
        <v>62</v>
      </c>
      <c r="L184" s="2">
        <v>4</v>
      </c>
      <c r="M184" s="3">
        <v>22145</v>
      </c>
      <c r="N184" t="str" cm="1">
        <f t="array" ref="N184">_xlfn.IFS(Table1_3[[#This Row],[Patient Satisfaction Score]]&gt;=83,"High",H184&lt;=75,"Low",TRUE,"Moderate")</f>
        <v>High</v>
      </c>
      <c r="O184" t="str">
        <f t="shared" si="2"/>
        <v>Pediatric</v>
      </c>
    </row>
    <row r="185" spans="1:15">
      <c r="A185" t="s">
        <v>734</v>
      </c>
      <c r="B185" t="s">
        <v>58</v>
      </c>
      <c r="C185" t="s">
        <v>48</v>
      </c>
      <c r="D185" t="s">
        <v>27</v>
      </c>
      <c r="E185" s="2">
        <v>17</v>
      </c>
      <c r="F185" t="s">
        <v>17</v>
      </c>
      <c r="G185" t="s">
        <v>49</v>
      </c>
      <c r="H185" s="2">
        <v>80</v>
      </c>
      <c r="I185" s="3">
        <v>5936</v>
      </c>
      <c r="J185" s="4">
        <v>9.8000000000000007</v>
      </c>
      <c r="K185" s="2">
        <v>90</v>
      </c>
      <c r="L185" s="2">
        <v>4</v>
      </c>
      <c r="M185" s="3">
        <v>32133</v>
      </c>
      <c r="N185" t="str" cm="1">
        <f t="array" ref="N185">_xlfn.IFS(Table1_3[[#This Row],[Patient Satisfaction Score]]&gt;=83,"High",H185&lt;=75,"Low",TRUE,"Moderate")</f>
        <v>Moderate</v>
      </c>
      <c r="O185" t="str">
        <f t="shared" si="2"/>
        <v>Pediatric</v>
      </c>
    </row>
    <row r="186" spans="1:15">
      <c r="A186" t="s">
        <v>465</v>
      </c>
      <c r="B186" t="s">
        <v>66</v>
      </c>
      <c r="C186" t="s">
        <v>39</v>
      </c>
      <c r="D186" t="s">
        <v>16</v>
      </c>
      <c r="E186" s="2">
        <v>17</v>
      </c>
      <c r="F186" t="s">
        <v>34</v>
      </c>
      <c r="G186" t="s">
        <v>49</v>
      </c>
      <c r="H186" s="2">
        <v>84</v>
      </c>
      <c r="I186" s="3">
        <v>3422</v>
      </c>
      <c r="J186" s="4">
        <v>8.64</v>
      </c>
      <c r="K186" s="2">
        <v>48</v>
      </c>
      <c r="L186" s="2">
        <v>4</v>
      </c>
      <c r="M186" s="3">
        <v>14874</v>
      </c>
      <c r="N186" t="str" cm="1">
        <f t="array" ref="N186">_xlfn.IFS(Table1_3[[#This Row],[Patient Satisfaction Score]]&gt;=83,"High",H186&lt;=75,"Low",TRUE,"Moderate")</f>
        <v>High</v>
      </c>
      <c r="O186" t="str">
        <f t="shared" si="2"/>
        <v>Pediatric</v>
      </c>
    </row>
    <row r="187" spans="1:15">
      <c r="A187" t="s">
        <v>568</v>
      </c>
      <c r="B187" t="s">
        <v>25</v>
      </c>
      <c r="C187" t="s">
        <v>39</v>
      </c>
      <c r="D187" t="s">
        <v>16</v>
      </c>
      <c r="E187" s="2">
        <v>17</v>
      </c>
      <c r="F187" t="s">
        <v>34</v>
      </c>
      <c r="G187" t="s">
        <v>31</v>
      </c>
      <c r="H187" s="2">
        <v>89</v>
      </c>
      <c r="I187" s="3">
        <v>2595</v>
      </c>
      <c r="J187" s="4">
        <v>6.39</v>
      </c>
      <c r="K187" s="2">
        <v>100</v>
      </c>
      <c r="L187" s="2">
        <v>4</v>
      </c>
      <c r="M187" s="3">
        <v>9947</v>
      </c>
      <c r="N187" t="str" cm="1">
        <f t="array" ref="N187">_xlfn.IFS(Table1_3[[#This Row],[Patient Satisfaction Score]]&gt;=83,"High",H187&lt;=75,"Low",TRUE,"Moderate")</f>
        <v>High</v>
      </c>
      <c r="O187" t="str">
        <f t="shared" si="2"/>
        <v>Pediatric</v>
      </c>
    </row>
    <row r="188" spans="1:15">
      <c r="A188" t="s">
        <v>645</v>
      </c>
      <c r="B188" t="s">
        <v>38</v>
      </c>
      <c r="C188" t="s">
        <v>39</v>
      </c>
      <c r="D188" t="s">
        <v>27</v>
      </c>
      <c r="E188" s="2">
        <v>17</v>
      </c>
      <c r="F188" t="s">
        <v>17</v>
      </c>
      <c r="G188" t="s">
        <v>18</v>
      </c>
      <c r="H188" s="2">
        <v>83</v>
      </c>
      <c r="I188" s="3">
        <v>3035</v>
      </c>
      <c r="J188" s="4">
        <v>11.8</v>
      </c>
      <c r="K188" s="2">
        <v>8</v>
      </c>
      <c r="L188" s="2">
        <v>4</v>
      </c>
      <c r="M188" s="3">
        <v>12332</v>
      </c>
      <c r="N188" t="str" cm="1">
        <f t="array" ref="N188">_xlfn.IFS(Table1_3[[#This Row],[Patient Satisfaction Score]]&gt;=83,"High",H188&lt;=75,"Low",TRUE,"Moderate")</f>
        <v>High</v>
      </c>
      <c r="O188" t="str">
        <f t="shared" si="2"/>
        <v>Pediatric</v>
      </c>
    </row>
    <row r="189" spans="1:15">
      <c r="A189" t="s">
        <v>933</v>
      </c>
      <c r="B189" t="s">
        <v>47</v>
      </c>
      <c r="C189" t="s">
        <v>48</v>
      </c>
      <c r="D189" t="s">
        <v>16</v>
      </c>
      <c r="E189" s="2">
        <v>17</v>
      </c>
      <c r="F189" t="s">
        <v>22</v>
      </c>
      <c r="G189" t="s">
        <v>31</v>
      </c>
      <c r="H189" s="2">
        <v>76</v>
      </c>
      <c r="I189" s="3">
        <v>5809</v>
      </c>
      <c r="J189" s="4">
        <v>12.87</v>
      </c>
      <c r="K189" s="2">
        <v>71</v>
      </c>
      <c r="L189" s="2">
        <v>3</v>
      </c>
      <c r="M189" s="3">
        <v>17112</v>
      </c>
      <c r="N189" t="str" cm="1">
        <f t="array" ref="N189">_xlfn.IFS(Table1_3[[#This Row],[Patient Satisfaction Score]]&gt;=83,"High",H189&lt;=75,"Low",TRUE,"Moderate")</f>
        <v>Moderate</v>
      </c>
      <c r="O189" t="str">
        <f t="shared" si="2"/>
        <v>Pediatric</v>
      </c>
    </row>
    <row r="190" spans="1:15">
      <c r="A190" t="s">
        <v>646</v>
      </c>
      <c r="B190" t="s">
        <v>66</v>
      </c>
      <c r="C190" t="s">
        <v>39</v>
      </c>
      <c r="D190" t="s">
        <v>16</v>
      </c>
      <c r="E190" s="2">
        <v>17</v>
      </c>
      <c r="F190" t="s">
        <v>34</v>
      </c>
      <c r="G190" t="s">
        <v>49</v>
      </c>
      <c r="H190" s="2">
        <v>78</v>
      </c>
      <c r="I190" s="3">
        <v>3576</v>
      </c>
      <c r="J190" s="4">
        <v>9.85</v>
      </c>
      <c r="K190" s="2">
        <v>53</v>
      </c>
      <c r="L190" s="2">
        <v>4</v>
      </c>
      <c r="M190" s="3">
        <v>18053</v>
      </c>
      <c r="N190" t="str" cm="1">
        <f t="array" ref="N190">_xlfn.IFS(Table1_3[[#This Row],[Patient Satisfaction Score]]&gt;=83,"High",H190&lt;=75,"Low",TRUE,"Moderate")</f>
        <v>Moderate</v>
      </c>
      <c r="O190" t="str">
        <f t="shared" si="2"/>
        <v>Pediatric</v>
      </c>
    </row>
    <row r="191" spans="1:15">
      <c r="A191" t="s">
        <v>905</v>
      </c>
      <c r="B191" t="s">
        <v>38</v>
      </c>
      <c r="C191" t="s">
        <v>39</v>
      </c>
      <c r="D191" t="s">
        <v>16</v>
      </c>
      <c r="E191" s="2">
        <v>17</v>
      </c>
      <c r="F191" t="s">
        <v>22</v>
      </c>
      <c r="G191" t="s">
        <v>49</v>
      </c>
      <c r="H191" s="2">
        <v>82</v>
      </c>
      <c r="I191" s="3">
        <v>3033</v>
      </c>
      <c r="J191" s="4">
        <v>3.52</v>
      </c>
      <c r="K191" s="2">
        <v>70</v>
      </c>
      <c r="L191" s="2">
        <v>4</v>
      </c>
      <c r="M191" s="3">
        <v>11899</v>
      </c>
      <c r="N191" t="str" cm="1">
        <f t="array" ref="N191">_xlfn.IFS(Table1_3[[#This Row],[Patient Satisfaction Score]]&gt;=83,"High",H191&lt;=75,"Low",TRUE,"Moderate")</f>
        <v>Moderate</v>
      </c>
      <c r="O191" t="str">
        <f t="shared" si="2"/>
        <v>Pediatric</v>
      </c>
    </row>
    <row r="192" spans="1:15">
      <c r="A192" t="s">
        <v>944</v>
      </c>
      <c r="B192" t="s">
        <v>42</v>
      </c>
      <c r="C192" t="s">
        <v>39</v>
      </c>
      <c r="D192" t="s">
        <v>27</v>
      </c>
      <c r="E192" s="2">
        <v>17</v>
      </c>
      <c r="F192" t="s">
        <v>22</v>
      </c>
      <c r="G192" t="s">
        <v>40</v>
      </c>
      <c r="H192" s="2">
        <v>76</v>
      </c>
      <c r="I192" s="3">
        <v>3746</v>
      </c>
      <c r="J192" s="4">
        <v>16.93</v>
      </c>
      <c r="K192" s="2">
        <v>28</v>
      </c>
      <c r="L192" s="2">
        <v>4</v>
      </c>
      <c r="M192" s="3">
        <v>10474</v>
      </c>
      <c r="N192" t="str" cm="1">
        <f t="array" ref="N192">_xlfn.IFS(Table1_3[[#This Row],[Patient Satisfaction Score]]&gt;=83,"High",H192&lt;=75,"Low",TRUE,"Moderate")</f>
        <v>Moderate</v>
      </c>
      <c r="O192" t="str">
        <f t="shared" si="2"/>
        <v>Pediatric</v>
      </c>
    </row>
    <row r="193" spans="1:15">
      <c r="A193" t="s">
        <v>986</v>
      </c>
      <c r="B193" t="s">
        <v>25</v>
      </c>
      <c r="C193" t="s">
        <v>39</v>
      </c>
      <c r="D193" t="s">
        <v>27</v>
      </c>
      <c r="E193" s="2">
        <v>17</v>
      </c>
      <c r="F193" t="s">
        <v>22</v>
      </c>
      <c r="G193" t="s">
        <v>18</v>
      </c>
      <c r="H193" s="2">
        <v>72</v>
      </c>
      <c r="I193" s="3">
        <v>3312</v>
      </c>
      <c r="J193" s="4">
        <v>6.69</v>
      </c>
      <c r="K193" s="2">
        <v>97</v>
      </c>
      <c r="L193" s="2">
        <v>4</v>
      </c>
      <c r="M193" s="3">
        <v>11399</v>
      </c>
      <c r="N193" t="str" cm="1">
        <f t="array" ref="N193">_xlfn.IFS(Table1_3[[#This Row],[Patient Satisfaction Score]]&gt;=83,"High",H193&lt;=75,"Low",TRUE,"Moderate")</f>
        <v>Low</v>
      </c>
      <c r="O193" t="str">
        <f t="shared" si="2"/>
        <v>Pediatric</v>
      </c>
    </row>
    <row r="194" spans="1:15">
      <c r="A194" t="s">
        <v>86</v>
      </c>
      <c r="B194" t="s">
        <v>51</v>
      </c>
      <c r="C194" t="s">
        <v>52</v>
      </c>
      <c r="D194" t="s">
        <v>27</v>
      </c>
      <c r="E194" s="2">
        <v>17</v>
      </c>
      <c r="F194" t="s">
        <v>22</v>
      </c>
      <c r="G194" t="s">
        <v>23</v>
      </c>
      <c r="H194" s="2">
        <v>82</v>
      </c>
      <c r="I194" s="3">
        <v>8824</v>
      </c>
      <c r="J194" s="4">
        <v>16.059999999999999</v>
      </c>
      <c r="K194" s="2">
        <v>61</v>
      </c>
      <c r="L194" s="2">
        <v>5</v>
      </c>
      <c r="M194" s="3">
        <v>46714</v>
      </c>
      <c r="N194" t="str" cm="1">
        <f t="array" ref="N194">_xlfn.IFS(Table1_3[[#This Row],[Patient Satisfaction Score]]&gt;=83,"High",H194&lt;=75,"Low",TRUE,"Moderate")</f>
        <v>Moderate</v>
      </c>
      <c r="O194" t="str">
        <f t="shared" ref="O194:O257" si="3">IF(E194&lt;19,"Pediatric","Adult")</f>
        <v>Pediatric</v>
      </c>
    </row>
    <row r="195" spans="1:15">
      <c r="A195" t="s">
        <v>120</v>
      </c>
      <c r="B195" t="s">
        <v>62</v>
      </c>
      <c r="C195" t="s">
        <v>52</v>
      </c>
      <c r="D195" t="s">
        <v>27</v>
      </c>
      <c r="E195" s="2">
        <v>17</v>
      </c>
      <c r="F195" t="s">
        <v>22</v>
      </c>
      <c r="G195" t="s">
        <v>31</v>
      </c>
      <c r="H195" s="2">
        <v>70</v>
      </c>
      <c r="I195" s="3">
        <v>9696</v>
      </c>
      <c r="J195" s="4">
        <v>20.170000000000002</v>
      </c>
      <c r="K195" s="2">
        <v>90</v>
      </c>
      <c r="L195" s="2">
        <v>3</v>
      </c>
      <c r="M195" s="3">
        <v>47030</v>
      </c>
      <c r="N195" t="str" cm="1">
        <f t="array" ref="N195">_xlfn.IFS(Table1_3[[#This Row],[Patient Satisfaction Score]]&gt;=83,"High",H195&lt;=75,"Low",TRUE,"Moderate")</f>
        <v>Low</v>
      </c>
      <c r="O195" t="str">
        <f t="shared" si="3"/>
        <v>Pediatric</v>
      </c>
    </row>
    <row r="196" spans="1:15">
      <c r="A196" t="s">
        <v>766</v>
      </c>
      <c r="B196" t="s">
        <v>20</v>
      </c>
      <c r="C196" t="s">
        <v>21</v>
      </c>
      <c r="D196" t="s">
        <v>27</v>
      </c>
      <c r="E196" s="2">
        <v>17</v>
      </c>
      <c r="F196" t="s">
        <v>17</v>
      </c>
      <c r="G196" t="s">
        <v>40</v>
      </c>
      <c r="H196" s="2">
        <v>74</v>
      </c>
      <c r="I196" s="3">
        <v>7174</v>
      </c>
      <c r="J196" s="4">
        <v>16.98</v>
      </c>
      <c r="K196" s="2">
        <v>104</v>
      </c>
      <c r="L196" s="2">
        <v>4</v>
      </c>
      <c r="M196" s="3">
        <v>29358</v>
      </c>
      <c r="N196" t="str" cm="1">
        <f t="array" ref="N196">_xlfn.IFS(Table1_3[[#This Row],[Patient Satisfaction Score]]&gt;=83,"High",H196&lt;=75,"Low",TRUE,"Moderate")</f>
        <v>Low</v>
      </c>
      <c r="O196" t="str">
        <f t="shared" si="3"/>
        <v>Pediatric</v>
      </c>
    </row>
    <row r="197" spans="1:15">
      <c r="A197" t="s">
        <v>455</v>
      </c>
      <c r="B197" t="s">
        <v>29</v>
      </c>
      <c r="C197" t="s">
        <v>30</v>
      </c>
      <c r="D197" t="s">
        <v>27</v>
      </c>
      <c r="E197" s="2">
        <v>17</v>
      </c>
      <c r="F197" t="s">
        <v>17</v>
      </c>
      <c r="G197" t="s">
        <v>49</v>
      </c>
      <c r="H197" s="2">
        <v>79</v>
      </c>
      <c r="I197" s="3">
        <v>3655</v>
      </c>
      <c r="J197" s="4">
        <v>16.079999999999998</v>
      </c>
      <c r="K197" s="2">
        <v>110</v>
      </c>
      <c r="L197" s="2">
        <v>4</v>
      </c>
      <c r="M197" s="3">
        <v>17574</v>
      </c>
      <c r="N197" t="str" cm="1">
        <f t="array" ref="N197">_xlfn.IFS(Table1_3[[#This Row],[Patient Satisfaction Score]]&gt;=83,"High",H197&lt;=75,"Low",TRUE,"Moderate")</f>
        <v>Moderate</v>
      </c>
      <c r="O197" t="str">
        <f t="shared" si="3"/>
        <v>Pediatric</v>
      </c>
    </row>
    <row r="198" spans="1:15">
      <c r="A198" t="s">
        <v>913</v>
      </c>
      <c r="B198" t="s">
        <v>88</v>
      </c>
      <c r="C198" t="s">
        <v>15</v>
      </c>
      <c r="D198" t="s">
        <v>27</v>
      </c>
      <c r="E198" s="2">
        <v>17</v>
      </c>
      <c r="F198" t="s">
        <v>22</v>
      </c>
      <c r="G198" t="s">
        <v>70</v>
      </c>
      <c r="H198" s="2">
        <v>78</v>
      </c>
      <c r="I198" s="3">
        <v>7142</v>
      </c>
      <c r="J198" s="4">
        <v>17.329999999999998</v>
      </c>
      <c r="K198" s="2">
        <v>62</v>
      </c>
      <c r="L198" s="2">
        <v>4</v>
      </c>
      <c r="M198" s="3">
        <v>39727</v>
      </c>
      <c r="N198" t="str" cm="1">
        <f t="array" ref="N198">_xlfn.IFS(Table1_3[[#This Row],[Patient Satisfaction Score]]&gt;=83,"High",H198&lt;=75,"Low",TRUE,"Moderate")</f>
        <v>Moderate</v>
      </c>
      <c r="O198" t="str">
        <f t="shared" si="3"/>
        <v>Pediatric</v>
      </c>
    </row>
    <row r="199" spans="1:15">
      <c r="A199" t="s">
        <v>272</v>
      </c>
      <c r="B199" t="s">
        <v>25</v>
      </c>
      <c r="C199" t="s">
        <v>26</v>
      </c>
      <c r="D199" t="s">
        <v>16</v>
      </c>
      <c r="E199" s="2">
        <v>18</v>
      </c>
      <c r="F199" t="s">
        <v>22</v>
      </c>
      <c r="G199" t="s">
        <v>49</v>
      </c>
      <c r="H199" s="2">
        <v>85</v>
      </c>
      <c r="I199" s="3">
        <v>3100</v>
      </c>
      <c r="J199" s="4">
        <v>2.37</v>
      </c>
      <c r="K199" s="2">
        <v>25</v>
      </c>
      <c r="L199" s="2">
        <v>4</v>
      </c>
      <c r="M199" s="3">
        <v>9639</v>
      </c>
      <c r="N199" t="str" cm="1">
        <f t="array" ref="N199">_xlfn.IFS(Table1_3[[#This Row],[Patient Satisfaction Score]]&gt;=83,"High",H199&lt;=75,"Low",TRUE,"Moderate")</f>
        <v>High</v>
      </c>
      <c r="O199" t="str">
        <f t="shared" si="3"/>
        <v>Pediatric</v>
      </c>
    </row>
    <row r="200" spans="1:15">
      <c r="A200" t="s">
        <v>41</v>
      </c>
      <c r="B200" t="s">
        <v>42</v>
      </c>
      <c r="C200" t="s">
        <v>39</v>
      </c>
      <c r="D200" t="s">
        <v>27</v>
      </c>
      <c r="E200" s="2">
        <v>18</v>
      </c>
      <c r="F200" t="s">
        <v>17</v>
      </c>
      <c r="G200" t="s">
        <v>31</v>
      </c>
      <c r="H200" s="2">
        <v>88</v>
      </c>
      <c r="I200" s="3">
        <v>2321</v>
      </c>
      <c r="J200" s="4">
        <v>8.5399999999999991</v>
      </c>
      <c r="K200" s="2">
        <v>42</v>
      </c>
      <c r="L200" s="2">
        <v>5</v>
      </c>
      <c r="M200" s="3">
        <v>11724</v>
      </c>
      <c r="N200" t="str" cm="1">
        <f t="array" ref="N200">_xlfn.IFS(Table1_3[[#This Row],[Patient Satisfaction Score]]&gt;=83,"High",H200&lt;=75,"Low",TRUE,"Moderate")</f>
        <v>High</v>
      </c>
      <c r="O200" t="str">
        <f t="shared" si="3"/>
        <v>Pediatric</v>
      </c>
    </row>
    <row r="201" spans="1:15">
      <c r="A201" t="s">
        <v>71</v>
      </c>
      <c r="B201" t="s">
        <v>66</v>
      </c>
      <c r="C201" t="s">
        <v>39</v>
      </c>
      <c r="D201" t="s">
        <v>72</v>
      </c>
      <c r="E201" s="2">
        <v>18</v>
      </c>
      <c r="F201" t="s">
        <v>17</v>
      </c>
      <c r="G201" t="s">
        <v>49</v>
      </c>
      <c r="H201" s="2">
        <v>84</v>
      </c>
      <c r="I201" s="3">
        <v>2530</v>
      </c>
      <c r="J201" s="4">
        <v>6.71</v>
      </c>
      <c r="K201" s="2">
        <v>90</v>
      </c>
      <c r="L201" s="2">
        <v>4</v>
      </c>
      <c r="M201" s="3">
        <v>13561</v>
      </c>
      <c r="N201" t="str" cm="1">
        <f t="array" ref="N201">_xlfn.IFS(Table1_3[[#This Row],[Patient Satisfaction Score]]&gt;=83,"High",H201&lt;=75,"Low",TRUE,"Moderate")</f>
        <v>High</v>
      </c>
      <c r="O201" t="str">
        <f t="shared" si="3"/>
        <v>Pediatric</v>
      </c>
    </row>
    <row r="202" spans="1:15">
      <c r="A202" t="s">
        <v>265</v>
      </c>
      <c r="B202" t="s">
        <v>66</v>
      </c>
      <c r="C202" t="s">
        <v>39</v>
      </c>
      <c r="D202" t="s">
        <v>72</v>
      </c>
      <c r="E202" s="2">
        <v>18</v>
      </c>
      <c r="F202" t="s">
        <v>17</v>
      </c>
      <c r="G202" t="s">
        <v>49</v>
      </c>
      <c r="H202" s="2">
        <v>80</v>
      </c>
      <c r="I202" s="3">
        <v>2922</v>
      </c>
      <c r="J202" s="4">
        <v>11.96</v>
      </c>
      <c r="K202" s="2">
        <v>55</v>
      </c>
      <c r="L202" s="2">
        <v>4</v>
      </c>
      <c r="M202" s="3">
        <v>11540</v>
      </c>
      <c r="N202" t="str" cm="1">
        <f t="array" ref="N202">_xlfn.IFS(Table1_3[[#This Row],[Patient Satisfaction Score]]&gt;=83,"High",H202&lt;=75,"Low",TRUE,"Moderate")</f>
        <v>Moderate</v>
      </c>
      <c r="O202" t="str">
        <f t="shared" si="3"/>
        <v>Pediatric</v>
      </c>
    </row>
    <row r="203" spans="1:15">
      <c r="A203" t="s">
        <v>325</v>
      </c>
      <c r="B203" t="s">
        <v>54</v>
      </c>
      <c r="C203" t="s">
        <v>39</v>
      </c>
      <c r="D203" t="s">
        <v>72</v>
      </c>
      <c r="E203" s="2">
        <v>18</v>
      </c>
      <c r="F203" t="s">
        <v>22</v>
      </c>
      <c r="G203" t="s">
        <v>40</v>
      </c>
      <c r="H203" s="2">
        <v>86</v>
      </c>
      <c r="I203" s="3">
        <v>1913</v>
      </c>
      <c r="J203" s="4">
        <v>5.25</v>
      </c>
      <c r="K203" s="2">
        <v>113</v>
      </c>
      <c r="L203" s="2">
        <v>4</v>
      </c>
      <c r="M203" s="3">
        <v>8812</v>
      </c>
      <c r="N203" t="str" cm="1">
        <f t="array" ref="N203">_xlfn.IFS(Table1_3[[#This Row],[Patient Satisfaction Score]]&gt;=83,"High",H203&lt;=75,"Low",TRUE,"Moderate")</f>
        <v>High</v>
      </c>
      <c r="O203" t="str">
        <f t="shared" si="3"/>
        <v>Pediatric</v>
      </c>
    </row>
    <row r="204" spans="1:15">
      <c r="A204" t="s">
        <v>353</v>
      </c>
      <c r="B204" t="s">
        <v>38</v>
      </c>
      <c r="C204" t="s">
        <v>39</v>
      </c>
      <c r="D204" t="s">
        <v>27</v>
      </c>
      <c r="E204" s="2">
        <v>18</v>
      </c>
      <c r="F204" t="s">
        <v>22</v>
      </c>
      <c r="G204" t="s">
        <v>23</v>
      </c>
      <c r="H204" s="2">
        <v>99</v>
      </c>
      <c r="I204" s="3">
        <v>3144</v>
      </c>
      <c r="J204" s="4">
        <v>0</v>
      </c>
      <c r="K204" s="2">
        <v>45</v>
      </c>
      <c r="L204" s="2">
        <v>5</v>
      </c>
      <c r="M204" s="3">
        <v>17384</v>
      </c>
      <c r="N204" t="str" cm="1">
        <f t="array" ref="N204">_xlfn.IFS(Table1_3[[#This Row],[Patient Satisfaction Score]]&gt;=83,"High",H204&lt;=75,"Low",TRUE,"Moderate")</f>
        <v>High</v>
      </c>
      <c r="O204" t="str">
        <f t="shared" si="3"/>
        <v>Pediatric</v>
      </c>
    </row>
    <row r="205" spans="1:15">
      <c r="A205" t="s">
        <v>844</v>
      </c>
      <c r="B205" t="s">
        <v>137</v>
      </c>
      <c r="C205" t="s">
        <v>26</v>
      </c>
      <c r="D205" t="s">
        <v>27</v>
      </c>
      <c r="E205" s="2">
        <v>18</v>
      </c>
      <c r="F205" t="s">
        <v>22</v>
      </c>
      <c r="G205" t="s">
        <v>31</v>
      </c>
      <c r="H205" s="2">
        <v>74</v>
      </c>
      <c r="I205" s="3">
        <v>3145</v>
      </c>
      <c r="J205" s="4">
        <v>15.35</v>
      </c>
      <c r="K205" s="2">
        <v>59</v>
      </c>
      <c r="L205" s="2">
        <v>4</v>
      </c>
      <c r="M205" s="3">
        <v>17377</v>
      </c>
      <c r="N205" t="str" cm="1">
        <f t="array" ref="N205">_xlfn.IFS(Table1_3[[#This Row],[Patient Satisfaction Score]]&gt;=83,"High",H205&lt;=75,"Low",TRUE,"Moderate")</f>
        <v>Low</v>
      </c>
      <c r="O205" t="str">
        <f t="shared" si="3"/>
        <v>Pediatric</v>
      </c>
    </row>
    <row r="206" spans="1:15">
      <c r="A206" t="s">
        <v>368</v>
      </c>
      <c r="B206" t="s">
        <v>25</v>
      </c>
      <c r="C206" t="s">
        <v>39</v>
      </c>
      <c r="D206" t="s">
        <v>27</v>
      </c>
      <c r="E206" s="2">
        <v>18</v>
      </c>
      <c r="F206" t="s">
        <v>17</v>
      </c>
      <c r="G206" t="s">
        <v>49</v>
      </c>
      <c r="H206" s="2">
        <v>85</v>
      </c>
      <c r="I206" s="3">
        <v>2714</v>
      </c>
      <c r="J206" s="4">
        <v>11.5</v>
      </c>
      <c r="K206" s="2">
        <v>43</v>
      </c>
      <c r="L206" s="2">
        <v>4</v>
      </c>
      <c r="M206" s="3">
        <v>10905</v>
      </c>
      <c r="N206" t="str" cm="1">
        <f t="array" ref="N206">_xlfn.IFS(Table1_3[[#This Row],[Patient Satisfaction Score]]&gt;=83,"High",H206&lt;=75,"Low",TRUE,"Moderate")</f>
        <v>High</v>
      </c>
      <c r="O206" t="str">
        <f t="shared" si="3"/>
        <v>Pediatric</v>
      </c>
    </row>
    <row r="207" spans="1:15">
      <c r="A207" t="s">
        <v>391</v>
      </c>
      <c r="B207" t="s">
        <v>42</v>
      </c>
      <c r="C207" t="s">
        <v>39</v>
      </c>
      <c r="D207" t="s">
        <v>72</v>
      </c>
      <c r="E207" s="2">
        <v>18</v>
      </c>
      <c r="F207" t="s">
        <v>34</v>
      </c>
      <c r="G207" t="s">
        <v>40</v>
      </c>
      <c r="H207" s="2">
        <v>83</v>
      </c>
      <c r="I207" s="3">
        <v>2907</v>
      </c>
      <c r="J207" s="4">
        <v>4.51</v>
      </c>
      <c r="K207" s="2">
        <v>74</v>
      </c>
      <c r="L207" s="2">
        <v>4</v>
      </c>
      <c r="M207" s="3">
        <v>14007</v>
      </c>
      <c r="N207" t="str" cm="1">
        <f t="array" ref="N207">_xlfn.IFS(Table1_3[[#This Row],[Patient Satisfaction Score]]&gt;=83,"High",H207&lt;=75,"Low",TRUE,"Moderate")</f>
        <v>High</v>
      </c>
      <c r="O207" t="str">
        <f t="shared" si="3"/>
        <v>Pediatric</v>
      </c>
    </row>
    <row r="208" spans="1:15">
      <c r="A208" t="s">
        <v>468</v>
      </c>
      <c r="B208" t="s">
        <v>38</v>
      </c>
      <c r="C208" t="s">
        <v>39</v>
      </c>
      <c r="D208" t="s">
        <v>27</v>
      </c>
      <c r="E208" s="2">
        <v>18</v>
      </c>
      <c r="F208" t="s">
        <v>34</v>
      </c>
      <c r="G208" t="s">
        <v>49</v>
      </c>
      <c r="H208" s="2">
        <v>84</v>
      </c>
      <c r="I208" s="3">
        <v>3738</v>
      </c>
      <c r="J208" s="4">
        <v>14.74</v>
      </c>
      <c r="K208" s="2">
        <v>50</v>
      </c>
      <c r="L208" s="2">
        <v>4</v>
      </c>
      <c r="M208" s="3">
        <v>15300</v>
      </c>
      <c r="N208" t="str" cm="1">
        <f t="array" ref="N208">_xlfn.IFS(Table1_3[[#This Row],[Patient Satisfaction Score]]&gt;=83,"High",H208&lt;=75,"Low",TRUE,"Moderate")</f>
        <v>High</v>
      </c>
      <c r="O208" t="str">
        <f t="shared" si="3"/>
        <v>Pediatric</v>
      </c>
    </row>
    <row r="209" spans="1:15">
      <c r="A209" t="s">
        <v>574</v>
      </c>
      <c r="B209" t="s">
        <v>38</v>
      </c>
      <c r="C209" t="s">
        <v>39</v>
      </c>
      <c r="D209" t="s">
        <v>16</v>
      </c>
      <c r="E209" s="2">
        <v>18</v>
      </c>
      <c r="F209" t="s">
        <v>22</v>
      </c>
      <c r="G209" t="s">
        <v>49</v>
      </c>
      <c r="H209" s="2">
        <v>73</v>
      </c>
      <c r="I209" s="3">
        <v>2923</v>
      </c>
      <c r="J209" s="4">
        <v>5.76</v>
      </c>
      <c r="K209" s="2">
        <v>34</v>
      </c>
      <c r="L209" s="2">
        <v>4</v>
      </c>
      <c r="M209" s="3">
        <v>11223</v>
      </c>
      <c r="N209" t="str" cm="1">
        <f t="array" ref="N209">_xlfn.IFS(Table1_3[[#This Row],[Patient Satisfaction Score]]&gt;=83,"High",H209&lt;=75,"Low",TRUE,"Moderate")</f>
        <v>Low</v>
      </c>
      <c r="O209" t="str">
        <f t="shared" si="3"/>
        <v>Pediatric</v>
      </c>
    </row>
    <row r="210" spans="1:15">
      <c r="A210" t="s">
        <v>589</v>
      </c>
      <c r="B210" t="s">
        <v>38</v>
      </c>
      <c r="C210" t="s">
        <v>39</v>
      </c>
      <c r="D210" t="s">
        <v>72</v>
      </c>
      <c r="E210" s="2">
        <v>18</v>
      </c>
      <c r="F210" t="s">
        <v>22</v>
      </c>
      <c r="G210" t="s">
        <v>18</v>
      </c>
      <c r="H210" s="2">
        <v>89</v>
      </c>
      <c r="I210" s="3">
        <v>2998</v>
      </c>
      <c r="J210" s="4">
        <v>7.09</v>
      </c>
      <c r="K210" s="2">
        <v>62</v>
      </c>
      <c r="L210" s="2">
        <v>4</v>
      </c>
      <c r="M210" s="3">
        <v>7746</v>
      </c>
      <c r="N210" t="str" cm="1">
        <f t="array" ref="N210">_xlfn.IFS(Table1_3[[#This Row],[Patient Satisfaction Score]]&gt;=83,"High",H210&lt;=75,"Low",TRUE,"Moderate")</f>
        <v>High</v>
      </c>
      <c r="O210" t="str">
        <f t="shared" si="3"/>
        <v>Pediatric</v>
      </c>
    </row>
    <row r="211" spans="1:15">
      <c r="A211" t="s">
        <v>684</v>
      </c>
      <c r="B211" t="s">
        <v>38</v>
      </c>
      <c r="C211" t="s">
        <v>39</v>
      </c>
      <c r="D211" t="s">
        <v>72</v>
      </c>
      <c r="E211" s="2">
        <v>18</v>
      </c>
      <c r="F211" t="s">
        <v>34</v>
      </c>
      <c r="G211" t="s">
        <v>31</v>
      </c>
      <c r="H211" s="2">
        <v>90</v>
      </c>
      <c r="I211" s="3">
        <v>3237</v>
      </c>
      <c r="J211" s="4">
        <v>9.0500000000000007</v>
      </c>
      <c r="K211" s="2">
        <v>58</v>
      </c>
      <c r="L211" s="2">
        <v>4</v>
      </c>
      <c r="M211" s="3">
        <v>13496</v>
      </c>
      <c r="N211" t="str" cm="1">
        <f t="array" ref="N211">_xlfn.IFS(Table1_3[[#This Row],[Patient Satisfaction Score]]&gt;=83,"High",H211&lt;=75,"Low",TRUE,"Moderate")</f>
        <v>High</v>
      </c>
      <c r="O211" t="str">
        <f t="shared" si="3"/>
        <v>Pediatric</v>
      </c>
    </row>
    <row r="212" spans="1:15">
      <c r="A212" t="s">
        <v>774</v>
      </c>
      <c r="B212" t="s">
        <v>66</v>
      </c>
      <c r="C212" t="s">
        <v>39</v>
      </c>
      <c r="D212" t="s">
        <v>16</v>
      </c>
      <c r="E212" s="2">
        <v>18</v>
      </c>
      <c r="F212" t="s">
        <v>34</v>
      </c>
      <c r="G212" t="s">
        <v>23</v>
      </c>
      <c r="H212" s="2">
        <v>88</v>
      </c>
      <c r="I212" s="3">
        <v>2909</v>
      </c>
      <c r="J212" s="4">
        <v>2.94</v>
      </c>
      <c r="K212" s="2">
        <v>65</v>
      </c>
      <c r="L212" s="2">
        <v>4</v>
      </c>
      <c r="M212" s="3">
        <v>12889</v>
      </c>
      <c r="N212" t="str" cm="1">
        <f t="array" ref="N212">_xlfn.IFS(Table1_3[[#This Row],[Patient Satisfaction Score]]&gt;=83,"High",H212&lt;=75,"Low",TRUE,"Moderate")</f>
        <v>High</v>
      </c>
      <c r="O212" t="str">
        <f t="shared" si="3"/>
        <v>Pediatric</v>
      </c>
    </row>
    <row r="213" spans="1:15">
      <c r="A213" t="s">
        <v>776</v>
      </c>
      <c r="B213" t="s">
        <v>38</v>
      </c>
      <c r="C213" t="s">
        <v>39</v>
      </c>
      <c r="D213" t="s">
        <v>27</v>
      </c>
      <c r="E213" s="2">
        <v>18</v>
      </c>
      <c r="F213" t="s">
        <v>22</v>
      </c>
      <c r="G213" t="s">
        <v>70</v>
      </c>
      <c r="H213" s="2">
        <v>86</v>
      </c>
      <c r="I213" s="3">
        <v>3856</v>
      </c>
      <c r="J213" s="4">
        <v>6.32</v>
      </c>
      <c r="K213" s="2">
        <v>73</v>
      </c>
      <c r="L213" s="2">
        <v>4</v>
      </c>
      <c r="M213" s="3">
        <v>12406</v>
      </c>
      <c r="N213" t="str" cm="1">
        <f t="array" ref="N213">_xlfn.IFS(Table1_3[[#This Row],[Patient Satisfaction Score]]&gt;=83,"High",H213&lt;=75,"Low",TRUE,"Moderate")</f>
        <v>High</v>
      </c>
      <c r="O213" t="str">
        <f t="shared" si="3"/>
        <v>Pediatric</v>
      </c>
    </row>
    <row r="214" spans="1:15">
      <c r="A214" t="s">
        <v>783</v>
      </c>
      <c r="B214" t="s">
        <v>38</v>
      </c>
      <c r="C214" t="s">
        <v>39</v>
      </c>
      <c r="D214" t="s">
        <v>27</v>
      </c>
      <c r="E214" s="2">
        <v>18</v>
      </c>
      <c r="F214" t="s">
        <v>34</v>
      </c>
      <c r="G214" t="s">
        <v>18</v>
      </c>
      <c r="H214" s="2">
        <v>79</v>
      </c>
      <c r="I214" s="3">
        <v>2618</v>
      </c>
      <c r="J214" s="4">
        <v>8.23</v>
      </c>
      <c r="K214" s="2">
        <v>72</v>
      </c>
      <c r="L214" s="2">
        <v>4</v>
      </c>
      <c r="M214" s="3">
        <v>14205</v>
      </c>
      <c r="N214" t="str" cm="1">
        <f t="array" ref="N214">_xlfn.IFS(Table1_3[[#This Row],[Patient Satisfaction Score]]&gt;=83,"High",H214&lt;=75,"Low",TRUE,"Moderate")</f>
        <v>Moderate</v>
      </c>
      <c r="O214" t="str">
        <f t="shared" si="3"/>
        <v>Pediatric</v>
      </c>
    </row>
    <row r="215" spans="1:15">
      <c r="A215" t="s">
        <v>930</v>
      </c>
      <c r="B215" t="s">
        <v>42</v>
      </c>
      <c r="C215" t="s">
        <v>39</v>
      </c>
      <c r="D215" t="s">
        <v>16</v>
      </c>
      <c r="E215" s="2">
        <v>18</v>
      </c>
      <c r="F215" t="s">
        <v>34</v>
      </c>
      <c r="G215" t="s">
        <v>49</v>
      </c>
      <c r="H215" s="2">
        <v>94</v>
      </c>
      <c r="I215" s="3">
        <v>2103</v>
      </c>
      <c r="J215" s="4">
        <v>0</v>
      </c>
      <c r="K215" s="2">
        <v>36</v>
      </c>
      <c r="L215" s="2">
        <v>4</v>
      </c>
      <c r="M215" s="3">
        <v>8829</v>
      </c>
      <c r="N215" t="str" cm="1">
        <f t="array" ref="N215">_xlfn.IFS(Table1_3[[#This Row],[Patient Satisfaction Score]]&gt;=83,"High",H215&lt;=75,"Low",TRUE,"Moderate")</f>
        <v>High</v>
      </c>
      <c r="O215" t="str">
        <f t="shared" si="3"/>
        <v>Pediatric</v>
      </c>
    </row>
    <row r="216" spans="1:15">
      <c r="A216" t="s">
        <v>1037</v>
      </c>
      <c r="B216" t="s">
        <v>54</v>
      </c>
      <c r="C216" t="s">
        <v>39</v>
      </c>
      <c r="D216" t="s">
        <v>27</v>
      </c>
      <c r="E216" s="2">
        <v>18</v>
      </c>
      <c r="F216" t="s">
        <v>17</v>
      </c>
      <c r="G216" t="s">
        <v>70</v>
      </c>
      <c r="H216" s="2">
        <v>88</v>
      </c>
      <c r="I216" s="3">
        <v>2608</v>
      </c>
      <c r="J216" s="4">
        <v>8.18</v>
      </c>
      <c r="K216" s="2">
        <v>40</v>
      </c>
      <c r="L216" s="2">
        <v>4</v>
      </c>
      <c r="M216" s="3">
        <v>7730</v>
      </c>
      <c r="N216" t="str" cm="1">
        <f t="array" ref="N216">_xlfn.IFS(Table1_3[[#This Row],[Patient Satisfaction Score]]&gt;=83,"High",H216&lt;=75,"Low",TRUE,"Moderate")</f>
        <v>High</v>
      </c>
      <c r="O216" t="str">
        <f t="shared" si="3"/>
        <v>Pediatric</v>
      </c>
    </row>
    <row r="217" spans="1:15">
      <c r="A217" t="s">
        <v>598</v>
      </c>
      <c r="B217" t="s">
        <v>36</v>
      </c>
      <c r="C217" t="s">
        <v>21</v>
      </c>
      <c r="D217" t="s">
        <v>16</v>
      </c>
      <c r="E217" s="2">
        <v>18</v>
      </c>
      <c r="F217" t="s">
        <v>22</v>
      </c>
      <c r="G217" t="s">
        <v>18</v>
      </c>
      <c r="H217" s="2">
        <v>76</v>
      </c>
      <c r="I217" s="3">
        <v>6544</v>
      </c>
      <c r="J217" s="4">
        <v>15.45</v>
      </c>
      <c r="K217" s="2">
        <v>81</v>
      </c>
      <c r="L217" s="2">
        <v>4</v>
      </c>
      <c r="M217" s="3">
        <v>34268</v>
      </c>
      <c r="N217" t="str" cm="1">
        <f t="array" ref="N217">_xlfn.IFS(Table1_3[[#This Row],[Patient Satisfaction Score]]&gt;=83,"High",H217&lt;=75,"Low",TRUE,"Moderate")</f>
        <v>Moderate</v>
      </c>
      <c r="O217" t="str">
        <f t="shared" si="3"/>
        <v>Pediatric</v>
      </c>
    </row>
    <row r="218" spans="1:15">
      <c r="A218" t="s">
        <v>277</v>
      </c>
      <c r="B218" t="s">
        <v>64</v>
      </c>
      <c r="C218" t="s">
        <v>30</v>
      </c>
      <c r="D218" t="s">
        <v>16</v>
      </c>
      <c r="E218" s="2">
        <v>18</v>
      </c>
      <c r="F218" t="s">
        <v>34</v>
      </c>
      <c r="G218" t="s">
        <v>40</v>
      </c>
      <c r="H218" s="2">
        <v>74</v>
      </c>
      <c r="I218" s="3">
        <v>3712</v>
      </c>
      <c r="J218" s="4">
        <v>19.059999999999999</v>
      </c>
      <c r="K218" s="2">
        <v>128</v>
      </c>
      <c r="L218" s="2">
        <v>3</v>
      </c>
      <c r="M218" s="3">
        <v>15263</v>
      </c>
      <c r="N218" t="str" cm="1">
        <f t="array" ref="N218">_xlfn.IFS(Table1_3[[#This Row],[Patient Satisfaction Score]]&gt;=83,"High",H218&lt;=75,"Low",TRUE,"Moderate")</f>
        <v>Low</v>
      </c>
      <c r="O218" t="str">
        <f t="shared" si="3"/>
        <v>Pediatric</v>
      </c>
    </row>
    <row r="219" spans="1:15">
      <c r="A219" t="s">
        <v>117</v>
      </c>
      <c r="B219" t="s">
        <v>78</v>
      </c>
      <c r="C219" t="s">
        <v>15</v>
      </c>
      <c r="D219" t="s">
        <v>27</v>
      </c>
      <c r="E219" s="2">
        <v>18</v>
      </c>
      <c r="F219" t="s">
        <v>22</v>
      </c>
      <c r="G219" t="s">
        <v>23</v>
      </c>
      <c r="H219" s="2">
        <v>64</v>
      </c>
      <c r="I219" s="3">
        <v>8651</v>
      </c>
      <c r="J219" s="4">
        <v>14.12</v>
      </c>
      <c r="K219" s="2">
        <v>121</v>
      </c>
      <c r="L219" s="2">
        <v>4</v>
      </c>
      <c r="M219" s="3">
        <v>50995</v>
      </c>
      <c r="N219" t="str" cm="1">
        <f t="array" ref="N219">_xlfn.IFS(Table1_3[[#This Row],[Patient Satisfaction Score]]&gt;=83,"High",H219&lt;=75,"Low",TRUE,"Moderate")</f>
        <v>Low</v>
      </c>
      <c r="O219" t="str">
        <f t="shared" si="3"/>
        <v>Pediatric</v>
      </c>
    </row>
    <row r="220" spans="1:15">
      <c r="A220" t="s">
        <v>890</v>
      </c>
      <c r="B220" t="s">
        <v>14</v>
      </c>
      <c r="C220" t="s">
        <v>15</v>
      </c>
      <c r="D220" t="s">
        <v>16</v>
      </c>
      <c r="E220" s="2">
        <v>18</v>
      </c>
      <c r="F220" t="s">
        <v>22</v>
      </c>
      <c r="G220" t="s">
        <v>70</v>
      </c>
      <c r="H220" s="2">
        <v>83</v>
      </c>
      <c r="I220" s="3">
        <v>9660</v>
      </c>
      <c r="J220" s="4">
        <v>20.09</v>
      </c>
      <c r="K220" s="2">
        <v>85</v>
      </c>
      <c r="L220" s="2">
        <v>4</v>
      </c>
      <c r="M220" s="3">
        <v>35496</v>
      </c>
      <c r="N220" t="str" cm="1">
        <f t="array" ref="N220">_xlfn.IFS(Table1_3[[#This Row],[Patient Satisfaction Score]]&gt;=83,"High",H220&lt;=75,"Low",TRUE,"Moderate")</f>
        <v>High</v>
      </c>
      <c r="O220" t="str">
        <f t="shared" si="3"/>
        <v>Pediatric</v>
      </c>
    </row>
    <row r="221" spans="1:15">
      <c r="A221" t="s">
        <v>979</v>
      </c>
      <c r="B221" t="s">
        <v>14</v>
      </c>
      <c r="C221" t="s">
        <v>15</v>
      </c>
      <c r="D221" t="s">
        <v>27</v>
      </c>
      <c r="E221" s="2">
        <v>18</v>
      </c>
      <c r="F221" t="s">
        <v>22</v>
      </c>
      <c r="G221" t="s">
        <v>70</v>
      </c>
      <c r="H221" s="2">
        <v>75</v>
      </c>
      <c r="I221" s="3">
        <v>10133</v>
      </c>
      <c r="J221" s="4">
        <v>12.24</v>
      </c>
      <c r="K221" s="2">
        <v>77</v>
      </c>
      <c r="L221" s="2">
        <v>4</v>
      </c>
      <c r="M221" s="3">
        <v>56155</v>
      </c>
      <c r="N221" t="str" cm="1">
        <f t="array" ref="N221">_xlfn.IFS(Table1_3[[#This Row],[Patient Satisfaction Score]]&gt;=83,"High",H221&lt;=75,"Low",TRUE,"Moderate")</f>
        <v>Low</v>
      </c>
      <c r="O221" t="str">
        <f t="shared" si="3"/>
        <v>Pediatric</v>
      </c>
    </row>
    <row r="222" spans="1:15">
      <c r="A222" t="s">
        <v>894</v>
      </c>
      <c r="B222" t="s">
        <v>150</v>
      </c>
      <c r="C222" t="s">
        <v>48</v>
      </c>
      <c r="D222" t="s">
        <v>16</v>
      </c>
      <c r="E222" s="2">
        <v>19</v>
      </c>
      <c r="F222" t="s">
        <v>34</v>
      </c>
      <c r="G222" t="s">
        <v>70</v>
      </c>
      <c r="H222" s="2">
        <v>84</v>
      </c>
      <c r="I222" s="3">
        <v>7078</v>
      </c>
      <c r="J222" s="4">
        <v>12.15</v>
      </c>
      <c r="K222" s="2">
        <v>67</v>
      </c>
      <c r="L222" s="2">
        <v>5</v>
      </c>
      <c r="M222" s="3">
        <v>40175</v>
      </c>
      <c r="N222" t="str" cm="1">
        <f t="array" ref="N222">_xlfn.IFS(Table1_3[[#This Row],[Patient Satisfaction Score]]&gt;=83,"High",H222&lt;=75,"Low",TRUE,"Moderate")</f>
        <v>High</v>
      </c>
      <c r="O222" t="str">
        <f t="shared" si="3"/>
        <v>Adult</v>
      </c>
    </row>
    <row r="223" spans="1:15">
      <c r="A223" t="s">
        <v>759</v>
      </c>
      <c r="B223" t="s">
        <v>62</v>
      </c>
      <c r="C223" t="s">
        <v>52</v>
      </c>
      <c r="D223" t="s">
        <v>16</v>
      </c>
      <c r="E223" s="2">
        <v>19</v>
      </c>
      <c r="F223" t="s">
        <v>22</v>
      </c>
      <c r="G223" t="s">
        <v>70</v>
      </c>
      <c r="H223" s="2">
        <v>83</v>
      </c>
      <c r="I223" s="3">
        <v>7529</v>
      </c>
      <c r="J223" s="4">
        <v>15.08</v>
      </c>
      <c r="K223" s="2">
        <v>55</v>
      </c>
      <c r="L223" s="2">
        <v>4</v>
      </c>
      <c r="M223" s="3">
        <v>35062</v>
      </c>
      <c r="N223" t="str" cm="1">
        <f t="array" ref="N223">_xlfn.IFS(Table1_3[[#This Row],[Patient Satisfaction Score]]&gt;=83,"High",H223&lt;=75,"Low",TRUE,"Moderate")</f>
        <v>High</v>
      </c>
      <c r="O223" t="str">
        <f t="shared" si="3"/>
        <v>Adult</v>
      </c>
    </row>
    <row r="224" spans="1:15">
      <c r="A224" t="s">
        <v>1014</v>
      </c>
      <c r="B224" t="s">
        <v>60</v>
      </c>
      <c r="C224" t="s">
        <v>52</v>
      </c>
      <c r="D224" t="s">
        <v>27</v>
      </c>
      <c r="E224" s="2">
        <v>19</v>
      </c>
      <c r="F224" t="s">
        <v>34</v>
      </c>
      <c r="G224" t="s">
        <v>49</v>
      </c>
      <c r="H224" s="2">
        <v>69</v>
      </c>
      <c r="I224" s="3">
        <v>8786</v>
      </c>
      <c r="J224" s="4">
        <v>13.08</v>
      </c>
      <c r="K224" s="2">
        <v>109</v>
      </c>
      <c r="L224" s="2">
        <v>3</v>
      </c>
      <c r="M224" s="3">
        <v>38392</v>
      </c>
      <c r="N224" t="str" cm="1">
        <f t="array" ref="N224">_xlfn.IFS(Table1_3[[#This Row],[Patient Satisfaction Score]]&gt;=83,"High",H224&lt;=75,"Low",TRUE,"Moderate")</f>
        <v>Low</v>
      </c>
      <c r="O224" t="str">
        <f t="shared" si="3"/>
        <v>Adult</v>
      </c>
    </row>
    <row r="225" spans="1:15">
      <c r="A225" t="s">
        <v>1053</v>
      </c>
      <c r="B225" t="s">
        <v>51</v>
      </c>
      <c r="C225" t="s">
        <v>52</v>
      </c>
      <c r="D225" t="s">
        <v>72</v>
      </c>
      <c r="E225" s="2">
        <v>19</v>
      </c>
      <c r="F225" t="s">
        <v>17</v>
      </c>
      <c r="G225" t="s">
        <v>40</v>
      </c>
      <c r="H225" s="2">
        <v>75</v>
      </c>
      <c r="I225" s="3">
        <v>6832</v>
      </c>
      <c r="J225" s="4">
        <v>6.89</v>
      </c>
      <c r="K225" s="2">
        <v>84</v>
      </c>
      <c r="L225" s="2">
        <v>3</v>
      </c>
      <c r="M225" s="3">
        <v>40327</v>
      </c>
      <c r="N225" t="str" cm="1">
        <f t="array" ref="N225">_xlfn.IFS(Table1_3[[#This Row],[Patient Satisfaction Score]]&gt;=83,"High",H225&lt;=75,"Low",TRUE,"Moderate")</f>
        <v>Low</v>
      </c>
      <c r="O225" t="str">
        <f t="shared" si="3"/>
        <v>Adult</v>
      </c>
    </row>
    <row r="226" spans="1:15">
      <c r="A226" t="s">
        <v>424</v>
      </c>
      <c r="B226" t="s">
        <v>84</v>
      </c>
      <c r="C226" t="s">
        <v>21</v>
      </c>
      <c r="D226" t="s">
        <v>27</v>
      </c>
      <c r="E226" s="2">
        <v>19</v>
      </c>
      <c r="F226" t="s">
        <v>17</v>
      </c>
      <c r="G226" t="s">
        <v>23</v>
      </c>
      <c r="H226" s="2">
        <v>76</v>
      </c>
      <c r="I226" s="3">
        <v>5846</v>
      </c>
      <c r="J226" s="4">
        <v>16.05</v>
      </c>
      <c r="K226" s="2">
        <v>103</v>
      </c>
      <c r="L226" s="2">
        <v>4</v>
      </c>
      <c r="M226" s="3">
        <v>29730</v>
      </c>
      <c r="N226" t="str" cm="1">
        <f t="array" ref="N226">_xlfn.IFS(Table1_3[[#This Row],[Patient Satisfaction Score]]&gt;=83,"High",H226&lt;=75,"Low",TRUE,"Moderate")</f>
        <v>Moderate</v>
      </c>
      <c r="O226" t="str">
        <f t="shared" si="3"/>
        <v>Adult</v>
      </c>
    </row>
    <row r="227" spans="1:15">
      <c r="A227" t="s">
        <v>747</v>
      </c>
      <c r="B227" t="s">
        <v>64</v>
      </c>
      <c r="C227" t="s">
        <v>30</v>
      </c>
      <c r="D227" t="s">
        <v>27</v>
      </c>
      <c r="E227" s="2">
        <v>19</v>
      </c>
      <c r="F227" t="s">
        <v>17</v>
      </c>
      <c r="G227" t="s">
        <v>23</v>
      </c>
      <c r="H227" s="2">
        <v>67</v>
      </c>
      <c r="I227" s="3">
        <v>3314</v>
      </c>
      <c r="J227" s="4">
        <v>22.15</v>
      </c>
      <c r="K227" s="2">
        <v>110</v>
      </c>
      <c r="L227" s="2">
        <v>4</v>
      </c>
      <c r="M227" s="3">
        <v>8384</v>
      </c>
      <c r="N227" t="str" cm="1">
        <f t="array" ref="N227">_xlfn.IFS(Table1_3[[#This Row],[Patient Satisfaction Score]]&gt;=83,"High",H227&lt;=75,"Low",TRUE,"Moderate")</f>
        <v>Low</v>
      </c>
      <c r="O227" t="str">
        <f t="shared" si="3"/>
        <v>Adult</v>
      </c>
    </row>
    <row r="228" spans="1:15">
      <c r="A228" t="s">
        <v>516</v>
      </c>
      <c r="B228" t="s">
        <v>150</v>
      </c>
      <c r="C228" t="s">
        <v>48</v>
      </c>
      <c r="D228" t="s">
        <v>27</v>
      </c>
      <c r="E228" s="2">
        <v>20</v>
      </c>
      <c r="F228" t="s">
        <v>22</v>
      </c>
      <c r="G228" t="s">
        <v>49</v>
      </c>
      <c r="H228" s="2">
        <v>81</v>
      </c>
      <c r="I228" s="3">
        <v>6380</v>
      </c>
      <c r="J228" s="4">
        <v>10.67</v>
      </c>
      <c r="K228" s="2">
        <v>67</v>
      </c>
      <c r="L228" s="2">
        <v>4</v>
      </c>
      <c r="M228" s="3">
        <v>19705</v>
      </c>
      <c r="N228" t="str" cm="1">
        <f t="array" ref="N228">_xlfn.IFS(Table1_3[[#This Row],[Patient Satisfaction Score]]&gt;=83,"High",H228&lt;=75,"Low",TRUE,"Moderate")</f>
        <v>Moderate</v>
      </c>
      <c r="O228" t="str">
        <f t="shared" si="3"/>
        <v>Adult</v>
      </c>
    </row>
    <row r="229" spans="1:15">
      <c r="A229" t="s">
        <v>884</v>
      </c>
      <c r="B229" t="s">
        <v>47</v>
      </c>
      <c r="C229" t="s">
        <v>48</v>
      </c>
      <c r="D229" t="s">
        <v>16</v>
      </c>
      <c r="E229" s="2">
        <v>20</v>
      </c>
      <c r="F229" t="s">
        <v>17</v>
      </c>
      <c r="G229" t="s">
        <v>70</v>
      </c>
      <c r="H229" s="2">
        <v>80</v>
      </c>
      <c r="I229" s="3">
        <v>8027</v>
      </c>
      <c r="J229" s="4">
        <v>18.68</v>
      </c>
      <c r="K229" s="2">
        <v>94</v>
      </c>
      <c r="L229" s="2">
        <v>4</v>
      </c>
      <c r="M229" s="3">
        <v>27511</v>
      </c>
      <c r="N229" t="str" cm="1">
        <f t="array" ref="N229">_xlfn.IFS(Table1_3[[#This Row],[Patient Satisfaction Score]]&gt;=83,"High",H229&lt;=75,"Low",TRUE,"Moderate")</f>
        <v>Moderate</v>
      </c>
      <c r="O229" t="str">
        <f t="shared" si="3"/>
        <v>Adult</v>
      </c>
    </row>
    <row r="230" spans="1:15">
      <c r="A230" t="s">
        <v>350</v>
      </c>
      <c r="B230" t="s">
        <v>60</v>
      </c>
      <c r="C230" t="s">
        <v>52</v>
      </c>
      <c r="D230" t="s">
        <v>16</v>
      </c>
      <c r="E230" s="2">
        <v>20</v>
      </c>
      <c r="F230" t="s">
        <v>34</v>
      </c>
      <c r="G230" t="s">
        <v>40</v>
      </c>
      <c r="H230" s="2">
        <v>90</v>
      </c>
      <c r="I230" s="3">
        <v>7255</v>
      </c>
      <c r="J230" s="4">
        <v>13.58</v>
      </c>
      <c r="K230" s="2">
        <v>89</v>
      </c>
      <c r="L230" s="2">
        <v>4</v>
      </c>
      <c r="M230" s="3">
        <v>23920</v>
      </c>
      <c r="N230" t="str" cm="1">
        <f t="array" ref="N230">_xlfn.IFS(Table1_3[[#This Row],[Patient Satisfaction Score]]&gt;=83,"High",H230&lt;=75,"Low",TRUE,"Moderate")</f>
        <v>High</v>
      </c>
      <c r="O230" t="str">
        <f t="shared" si="3"/>
        <v>Adult</v>
      </c>
    </row>
    <row r="231" spans="1:15">
      <c r="A231" t="s">
        <v>889</v>
      </c>
      <c r="B231" t="s">
        <v>185</v>
      </c>
      <c r="C231" t="s">
        <v>52</v>
      </c>
      <c r="D231" t="s">
        <v>27</v>
      </c>
      <c r="E231" s="2">
        <v>20</v>
      </c>
      <c r="F231" t="s">
        <v>17</v>
      </c>
      <c r="G231" t="s">
        <v>23</v>
      </c>
      <c r="H231" s="2">
        <v>90</v>
      </c>
      <c r="I231" s="3">
        <v>7235</v>
      </c>
      <c r="J231" s="4">
        <v>9.51</v>
      </c>
      <c r="K231" s="2">
        <v>79</v>
      </c>
      <c r="L231" s="2">
        <v>4</v>
      </c>
      <c r="M231" s="3">
        <v>19972</v>
      </c>
      <c r="N231" t="str" cm="1">
        <f t="array" ref="N231">_xlfn.IFS(Table1_3[[#This Row],[Patient Satisfaction Score]]&gt;=83,"High",H231&lt;=75,"Low",TRUE,"Moderate")</f>
        <v>High</v>
      </c>
      <c r="O231" t="str">
        <f t="shared" si="3"/>
        <v>Adult</v>
      </c>
    </row>
    <row r="232" spans="1:15">
      <c r="A232" t="s">
        <v>463</v>
      </c>
      <c r="B232" t="s">
        <v>68</v>
      </c>
      <c r="C232" t="s">
        <v>45</v>
      </c>
      <c r="D232" t="s">
        <v>27</v>
      </c>
      <c r="E232" s="2">
        <v>20</v>
      </c>
      <c r="F232" t="s">
        <v>17</v>
      </c>
      <c r="G232" t="s">
        <v>40</v>
      </c>
      <c r="H232" s="2">
        <v>77</v>
      </c>
      <c r="I232" s="3">
        <v>11402</v>
      </c>
      <c r="J232" s="4">
        <v>19.52</v>
      </c>
      <c r="K232" s="2">
        <v>108</v>
      </c>
      <c r="L232" s="2">
        <v>5</v>
      </c>
      <c r="M232" s="3">
        <v>53431</v>
      </c>
      <c r="N232" t="str" cm="1">
        <f t="array" ref="N232">_xlfn.IFS(Table1_3[[#This Row],[Patient Satisfaction Score]]&gt;=83,"High",H232&lt;=75,"Low",TRUE,"Moderate")</f>
        <v>Moderate</v>
      </c>
      <c r="O232" t="str">
        <f t="shared" si="3"/>
        <v>Adult</v>
      </c>
    </row>
    <row r="233" spans="1:15">
      <c r="A233" t="s">
        <v>619</v>
      </c>
      <c r="B233" t="s">
        <v>68</v>
      </c>
      <c r="C233" t="s">
        <v>45</v>
      </c>
      <c r="D233" t="s">
        <v>16</v>
      </c>
      <c r="E233" s="2">
        <v>20</v>
      </c>
      <c r="F233" t="s">
        <v>17</v>
      </c>
      <c r="G233" t="s">
        <v>40</v>
      </c>
      <c r="H233" s="2">
        <v>76</v>
      </c>
      <c r="I233" s="3">
        <v>11620</v>
      </c>
      <c r="J233" s="4">
        <v>20.23</v>
      </c>
      <c r="K233" s="2">
        <v>65</v>
      </c>
      <c r="L233" s="2">
        <v>4</v>
      </c>
      <c r="M233" s="3">
        <v>61683</v>
      </c>
      <c r="N233" t="str" cm="1">
        <f t="array" ref="N233">_xlfn.IFS(Table1_3[[#This Row],[Patient Satisfaction Score]]&gt;=83,"High",H233&lt;=75,"Low",TRUE,"Moderate")</f>
        <v>Moderate</v>
      </c>
      <c r="O233" t="str">
        <f t="shared" si="3"/>
        <v>Adult</v>
      </c>
    </row>
    <row r="234" spans="1:15">
      <c r="A234" t="s">
        <v>879</v>
      </c>
      <c r="B234" t="s">
        <v>29</v>
      </c>
      <c r="C234" t="s">
        <v>30</v>
      </c>
      <c r="D234" t="s">
        <v>72</v>
      </c>
      <c r="E234" s="2">
        <v>20</v>
      </c>
      <c r="F234" t="s">
        <v>22</v>
      </c>
      <c r="G234" t="s">
        <v>23</v>
      </c>
      <c r="H234" s="2">
        <v>83</v>
      </c>
      <c r="I234" s="3">
        <v>2949</v>
      </c>
      <c r="J234" s="4">
        <v>14.86</v>
      </c>
      <c r="K234" s="2">
        <v>107</v>
      </c>
      <c r="L234" s="2">
        <v>4</v>
      </c>
      <c r="M234" s="3">
        <v>16781</v>
      </c>
      <c r="N234" t="str" cm="1">
        <f t="array" ref="N234">_xlfn.IFS(Table1_3[[#This Row],[Patient Satisfaction Score]]&gt;=83,"High",H234&lt;=75,"Low",TRUE,"Moderate")</f>
        <v>High</v>
      </c>
      <c r="O234" t="str">
        <f t="shared" si="3"/>
        <v>Adult</v>
      </c>
    </row>
    <row r="235" spans="1:15">
      <c r="A235" t="s">
        <v>915</v>
      </c>
      <c r="B235" t="s">
        <v>109</v>
      </c>
      <c r="C235" t="s">
        <v>30</v>
      </c>
      <c r="D235" t="s">
        <v>27</v>
      </c>
      <c r="E235" s="2">
        <v>20</v>
      </c>
      <c r="F235" t="s">
        <v>17</v>
      </c>
      <c r="G235" t="s">
        <v>49</v>
      </c>
      <c r="H235" s="2">
        <v>71</v>
      </c>
      <c r="I235" s="3">
        <v>5662</v>
      </c>
      <c r="J235" s="4">
        <v>19.12</v>
      </c>
      <c r="K235" s="2">
        <v>120</v>
      </c>
      <c r="L235" s="2">
        <v>4</v>
      </c>
      <c r="M235" s="3">
        <v>30850</v>
      </c>
      <c r="N235" t="str" cm="1">
        <f t="array" ref="N235">_xlfn.IFS(Table1_3[[#This Row],[Patient Satisfaction Score]]&gt;=83,"High",H235&lt;=75,"Low",TRUE,"Moderate")</f>
        <v>Low</v>
      </c>
      <c r="O235" t="str">
        <f t="shared" si="3"/>
        <v>Adult</v>
      </c>
    </row>
    <row r="236" spans="1:15">
      <c r="A236" t="s">
        <v>1047</v>
      </c>
      <c r="B236" t="s">
        <v>14</v>
      </c>
      <c r="C236" t="s">
        <v>15</v>
      </c>
      <c r="D236" t="s">
        <v>27</v>
      </c>
      <c r="E236" s="2">
        <v>20</v>
      </c>
      <c r="F236" t="s">
        <v>34</v>
      </c>
      <c r="G236" t="s">
        <v>23</v>
      </c>
      <c r="H236" s="2">
        <v>77</v>
      </c>
      <c r="I236" s="3">
        <v>7872</v>
      </c>
      <c r="J236" s="4">
        <v>23.24</v>
      </c>
      <c r="K236" s="2">
        <v>78</v>
      </c>
      <c r="L236" s="2">
        <v>4</v>
      </c>
      <c r="M236" s="3">
        <v>22848</v>
      </c>
      <c r="N236" t="str" cm="1">
        <f t="array" ref="N236">_xlfn.IFS(Table1_3[[#This Row],[Patient Satisfaction Score]]&gt;=83,"High",H236&lt;=75,"Low",TRUE,"Moderate")</f>
        <v>Moderate</v>
      </c>
      <c r="O236" t="str">
        <f t="shared" si="3"/>
        <v>Adult</v>
      </c>
    </row>
    <row r="237" spans="1:15">
      <c r="A237" t="s">
        <v>742</v>
      </c>
      <c r="B237" t="s">
        <v>25</v>
      </c>
      <c r="C237" t="s">
        <v>26</v>
      </c>
      <c r="D237" t="s">
        <v>16</v>
      </c>
      <c r="E237" s="2">
        <v>21</v>
      </c>
      <c r="F237" t="s">
        <v>17</v>
      </c>
      <c r="G237" t="s">
        <v>70</v>
      </c>
      <c r="H237" s="2">
        <v>82</v>
      </c>
      <c r="I237" s="3">
        <v>2216</v>
      </c>
      <c r="J237" s="4">
        <v>8.33</v>
      </c>
      <c r="K237" s="2">
        <v>81</v>
      </c>
      <c r="L237" s="2">
        <v>4</v>
      </c>
      <c r="M237" s="3">
        <v>12743</v>
      </c>
      <c r="N237" t="str" cm="1">
        <f t="array" ref="N237">_xlfn.IFS(Table1_3[[#This Row],[Patient Satisfaction Score]]&gt;=83,"High",H237&lt;=75,"Low",TRUE,"Moderate")</f>
        <v>Moderate</v>
      </c>
      <c r="O237" t="str">
        <f t="shared" si="3"/>
        <v>Adult</v>
      </c>
    </row>
    <row r="238" spans="1:15">
      <c r="A238" t="s">
        <v>653</v>
      </c>
      <c r="B238" t="s">
        <v>62</v>
      </c>
      <c r="C238" t="s">
        <v>52</v>
      </c>
      <c r="D238" t="s">
        <v>27</v>
      </c>
      <c r="E238" s="2">
        <v>21</v>
      </c>
      <c r="F238" t="s">
        <v>17</v>
      </c>
      <c r="G238" t="s">
        <v>49</v>
      </c>
      <c r="H238" s="2">
        <v>81</v>
      </c>
      <c r="I238" s="3">
        <v>10332</v>
      </c>
      <c r="J238" s="4">
        <v>8.02</v>
      </c>
      <c r="K238" s="2">
        <v>86</v>
      </c>
      <c r="L238" s="2">
        <v>4</v>
      </c>
      <c r="M238" s="3">
        <v>47227</v>
      </c>
      <c r="N238" t="str" cm="1">
        <f t="array" ref="N238">_xlfn.IFS(Table1_3[[#This Row],[Patient Satisfaction Score]]&gt;=83,"High",H238&lt;=75,"Low",TRUE,"Moderate")</f>
        <v>Moderate</v>
      </c>
      <c r="O238" t="str">
        <f t="shared" si="3"/>
        <v>Adult</v>
      </c>
    </row>
    <row r="239" spans="1:15">
      <c r="A239" t="s">
        <v>378</v>
      </c>
      <c r="B239" t="s">
        <v>129</v>
      </c>
      <c r="C239" t="s">
        <v>21</v>
      </c>
      <c r="D239" t="s">
        <v>27</v>
      </c>
      <c r="E239" s="2">
        <v>21</v>
      </c>
      <c r="F239" t="s">
        <v>22</v>
      </c>
      <c r="G239" t="s">
        <v>18</v>
      </c>
      <c r="H239" s="2">
        <v>74</v>
      </c>
      <c r="I239" s="3">
        <v>7429</v>
      </c>
      <c r="J239" s="4">
        <v>17.87</v>
      </c>
      <c r="K239" s="2">
        <v>112</v>
      </c>
      <c r="L239" s="2">
        <v>4</v>
      </c>
      <c r="M239" s="3">
        <v>21836</v>
      </c>
      <c r="N239" t="str" cm="1">
        <f t="array" ref="N239">_xlfn.IFS(Table1_3[[#This Row],[Patient Satisfaction Score]]&gt;=83,"High",H239&lt;=75,"Low",TRUE,"Moderate")</f>
        <v>Low</v>
      </c>
      <c r="O239" t="str">
        <f t="shared" si="3"/>
        <v>Adult</v>
      </c>
    </row>
    <row r="240" spans="1:15">
      <c r="A240" t="s">
        <v>675</v>
      </c>
      <c r="B240" t="s">
        <v>84</v>
      </c>
      <c r="C240" t="s">
        <v>21</v>
      </c>
      <c r="D240" t="s">
        <v>16</v>
      </c>
      <c r="E240" s="2">
        <v>21</v>
      </c>
      <c r="F240" t="s">
        <v>34</v>
      </c>
      <c r="G240" t="s">
        <v>31</v>
      </c>
      <c r="H240" s="2">
        <v>90</v>
      </c>
      <c r="I240" s="3">
        <v>6655</v>
      </c>
      <c r="J240" s="4">
        <v>12.46</v>
      </c>
      <c r="K240" s="2">
        <v>56</v>
      </c>
      <c r="L240" s="2">
        <v>5</v>
      </c>
      <c r="M240" s="3">
        <v>26404</v>
      </c>
      <c r="N240" t="str" cm="1">
        <f t="array" ref="N240">_xlfn.IFS(Table1_3[[#This Row],[Patient Satisfaction Score]]&gt;=83,"High",H240&lt;=75,"Low",TRUE,"Moderate")</f>
        <v>High</v>
      </c>
      <c r="O240" t="str">
        <f t="shared" si="3"/>
        <v>Adult</v>
      </c>
    </row>
    <row r="241" spans="1:15">
      <c r="A241" t="s">
        <v>770</v>
      </c>
      <c r="B241" t="s">
        <v>84</v>
      </c>
      <c r="C241" t="s">
        <v>21</v>
      </c>
      <c r="D241" t="s">
        <v>16</v>
      </c>
      <c r="E241" s="2">
        <v>21</v>
      </c>
      <c r="F241" t="s">
        <v>34</v>
      </c>
      <c r="G241" t="s">
        <v>49</v>
      </c>
      <c r="H241" s="2">
        <v>75</v>
      </c>
      <c r="I241" s="3">
        <v>7838</v>
      </c>
      <c r="J241" s="4">
        <v>18.190000000000001</v>
      </c>
      <c r="K241" s="2">
        <v>84</v>
      </c>
      <c r="L241" s="2">
        <v>3</v>
      </c>
      <c r="M241" s="3">
        <v>41942</v>
      </c>
      <c r="N241" t="str" cm="1">
        <f t="array" ref="N241">_xlfn.IFS(Table1_3[[#This Row],[Patient Satisfaction Score]]&gt;=83,"High",H241&lt;=75,"Low",TRUE,"Moderate")</f>
        <v>Low</v>
      </c>
      <c r="O241" t="str">
        <f t="shared" si="3"/>
        <v>Adult</v>
      </c>
    </row>
    <row r="242" spans="1:15">
      <c r="A242" t="s">
        <v>246</v>
      </c>
      <c r="B242" t="s">
        <v>56</v>
      </c>
      <c r="C242" t="s">
        <v>45</v>
      </c>
      <c r="D242" t="s">
        <v>27</v>
      </c>
      <c r="E242" s="2">
        <v>21</v>
      </c>
      <c r="F242" t="s">
        <v>22</v>
      </c>
      <c r="G242" t="s">
        <v>70</v>
      </c>
      <c r="H242" s="2">
        <v>72</v>
      </c>
      <c r="I242" s="3">
        <v>10140</v>
      </c>
      <c r="J242" s="4">
        <v>18.66</v>
      </c>
      <c r="K242" s="2">
        <v>101</v>
      </c>
      <c r="L242" s="2">
        <v>4</v>
      </c>
      <c r="M242" s="3">
        <v>26188</v>
      </c>
      <c r="N242" t="str" cm="1">
        <f t="array" ref="N242">_xlfn.IFS(Table1_3[[#This Row],[Patient Satisfaction Score]]&gt;=83,"High",H242&lt;=75,"Low",TRUE,"Moderate")</f>
        <v>Low</v>
      </c>
      <c r="O242" t="str">
        <f t="shared" si="3"/>
        <v>Adult</v>
      </c>
    </row>
    <row r="243" spans="1:15">
      <c r="A243" t="s">
        <v>1004</v>
      </c>
      <c r="B243" t="s">
        <v>68</v>
      </c>
      <c r="C243" t="s">
        <v>45</v>
      </c>
      <c r="D243" t="s">
        <v>27</v>
      </c>
      <c r="E243" s="2">
        <v>21</v>
      </c>
      <c r="F243" t="s">
        <v>34</v>
      </c>
      <c r="G243" t="s">
        <v>18</v>
      </c>
      <c r="H243" s="2">
        <v>72</v>
      </c>
      <c r="I243" s="3">
        <v>14003</v>
      </c>
      <c r="J243" s="4">
        <v>12.85</v>
      </c>
      <c r="K243" s="2">
        <v>80</v>
      </c>
      <c r="L243" s="2">
        <v>4</v>
      </c>
      <c r="M243" s="3">
        <v>81501</v>
      </c>
      <c r="N243" t="str" cm="1">
        <f t="array" ref="N243">_xlfn.IFS(Table1_3[[#This Row],[Patient Satisfaction Score]]&gt;=83,"High",H243&lt;=75,"Low",TRUE,"Moderate")</f>
        <v>Low</v>
      </c>
      <c r="O243" t="str">
        <f t="shared" si="3"/>
        <v>Adult</v>
      </c>
    </row>
    <row r="244" spans="1:15">
      <c r="A244" t="s">
        <v>616</v>
      </c>
      <c r="B244" t="s">
        <v>78</v>
      </c>
      <c r="C244" t="s">
        <v>15</v>
      </c>
      <c r="D244" t="s">
        <v>27</v>
      </c>
      <c r="E244" s="2">
        <v>21</v>
      </c>
      <c r="F244" t="s">
        <v>22</v>
      </c>
      <c r="G244" t="s">
        <v>18</v>
      </c>
      <c r="H244" s="2">
        <v>74</v>
      </c>
      <c r="I244" s="3">
        <v>8201</v>
      </c>
      <c r="J244" s="4">
        <v>12.69</v>
      </c>
      <c r="K244" s="2">
        <v>38</v>
      </c>
      <c r="L244" s="2">
        <v>4</v>
      </c>
      <c r="M244" s="3">
        <v>37611</v>
      </c>
      <c r="N244" t="str" cm="1">
        <f t="array" ref="N244">_xlfn.IFS(Table1_3[[#This Row],[Patient Satisfaction Score]]&gt;=83,"High",H244&lt;=75,"Low",TRUE,"Moderate")</f>
        <v>Low</v>
      </c>
      <c r="O244" t="str">
        <f t="shared" si="3"/>
        <v>Adult</v>
      </c>
    </row>
    <row r="245" spans="1:15">
      <c r="A245" t="s">
        <v>506</v>
      </c>
      <c r="B245" t="s">
        <v>103</v>
      </c>
      <c r="C245" t="s">
        <v>26</v>
      </c>
      <c r="D245" t="s">
        <v>27</v>
      </c>
      <c r="E245" s="2">
        <v>22</v>
      </c>
      <c r="F245" t="s">
        <v>22</v>
      </c>
      <c r="G245" t="s">
        <v>40</v>
      </c>
      <c r="H245" s="2">
        <v>80</v>
      </c>
      <c r="I245" s="3">
        <v>3258</v>
      </c>
      <c r="J245" s="4">
        <v>7.41</v>
      </c>
      <c r="K245" s="2">
        <v>93</v>
      </c>
      <c r="L245" s="2">
        <v>4</v>
      </c>
      <c r="M245" s="3">
        <v>14214</v>
      </c>
      <c r="N245" t="str" cm="1">
        <f t="array" ref="N245">_xlfn.IFS(Table1_3[[#This Row],[Patient Satisfaction Score]]&gt;=83,"High",H245&lt;=75,"Low",TRUE,"Moderate")</f>
        <v>Moderate</v>
      </c>
      <c r="O245" t="str">
        <f t="shared" si="3"/>
        <v>Adult</v>
      </c>
    </row>
    <row r="246" spans="1:15">
      <c r="A246" t="s">
        <v>605</v>
      </c>
      <c r="B246" t="s">
        <v>95</v>
      </c>
      <c r="C246" t="s">
        <v>52</v>
      </c>
      <c r="D246" t="s">
        <v>16</v>
      </c>
      <c r="E246" s="2">
        <v>22</v>
      </c>
      <c r="F246" t="s">
        <v>22</v>
      </c>
      <c r="G246" t="s">
        <v>70</v>
      </c>
      <c r="H246" s="2">
        <v>70</v>
      </c>
      <c r="I246" s="3">
        <v>11553</v>
      </c>
      <c r="J246" s="4">
        <v>14.04</v>
      </c>
      <c r="K246" s="2">
        <v>104</v>
      </c>
      <c r="L246" s="2">
        <v>4</v>
      </c>
      <c r="M246" s="3">
        <v>41500</v>
      </c>
      <c r="N246" t="str" cm="1">
        <f t="array" ref="N246">_xlfn.IFS(Table1_3[[#This Row],[Patient Satisfaction Score]]&gt;=83,"High",H246&lt;=75,"Low",TRUE,"Moderate")</f>
        <v>Low</v>
      </c>
      <c r="O246" t="str">
        <f t="shared" si="3"/>
        <v>Adult</v>
      </c>
    </row>
    <row r="247" spans="1:15">
      <c r="A247" t="s">
        <v>1055</v>
      </c>
      <c r="B247" t="s">
        <v>95</v>
      </c>
      <c r="C247" t="s">
        <v>52</v>
      </c>
      <c r="D247" t="s">
        <v>27</v>
      </c>
      <c r="E247" s="2">
        <v>22</v>
      </c>
      <c r="F247" t="s">
        <v>22</v>
      </c>
      <c r="G247" t="s">
        <v>23</v>
      </c>
      <c r="H247" s="2">
        <v>73</v>
      </c>
      <c r="I247" s="3">
        <v>7870</v>
      </c>
      <c r="J247" s="4">
        <v>17.2</v>
      </c>
      <c r="K247" s="2">
        <v>103</v>
      </c>
      <c r="L247" s="2">
        <v>4</v>
      </c>
      <c r="M247" s="3">
        <v>31364</v>
      </c>
      <c r="N247" t="str" cm="1">
        <f t="array" ref="N247">_xlfn.IFS(Table1_3[[#This Row],[Patient Satisfaction Score]]&gt;=83,"High",H247&lt;=75,"Low",TRUE,"Moderate")</f>
        <v>Low</v>
      </c>
      <c r="O247" t="str">
        <f t="shared" si="3"/>
        <v>Adult</v>
      </c>
    </row>
    <row r="248" spans="1:15">
      <c r="A248" t="s">
        <v>256</v>
      </c>
      <c r="B248" t="s">
        <v>129</v>
      </c>
      <c r="C248" t="s">
        <v>21</v>
      </c>
      <c r="D248" t="s">
        <v>16</v>
      </c>
      <c r="E248" s="2">
        <v>22</v>
      </c>
      <c r="F248" t="s">
        <v>22</v>
      </c>
      <c r="G248" t="s">
        <v>70</v>
      </c>
      <c r="H248" s="2">
        <v>77</v>
      </c>
      <c r="I248" s="3">
        <v>7005</v>
      </c>
      <c r="J248" s="4">
        <v>24.97</v>
      </c>
      <c r="K248" s="2">
        <v>46</v>
      </c>
      <c r="L248" s="2">
        <v>4</v>
      </c>
      <c r="M248" s="3">
        <v>41837</v>
      </c>
      <c r="N248" t="str" cm="1">
        <f t="array" ref="N248">_xlfn.IFS(Table1_3[[#This Row],[Patient Satisfaction Score]]&gt;=83,"High",H248&lt;=75,"Low",TRUE,"Moderate")</f>
        <v>Moderate</v>
      </c>
      <c r="O248" t="str">
        <f t="shared" si="3"/>
        <v>Adult</v>
      </c>
    </row>
    <row r="249" spans="1:15">
      <c r="A249" t="s">
        <v>249</v>
      </c>
      <c r="B249" t="s">
        <v>56</v>
      </c>
      <c r="C249" t="s">
        <v>45</v>
      </c>
      <c r="D249" t="s">
        <v>16</v>
      </c>
      <c r="E249" s="2">
        <v>22</v>
      </c>
      <c r="F249" t="s">
        <v>34</v>
      </c>
      <c r="G249" t="s">
        <v>49</v>
      </c>
      <c r="H249" s="2">
        <v>73</v>
      </c>
      <c r="I249" s="3">
        <v>7944</v>
      </c>
      <c r="J249" s="4">
        <v>16.21</v>
      </c>
      <c r="K249" s="2">
        <v>80</v>
      </c>
      <c r="L249" s="2">
        <v>4</v>
      </c>
      <c r="M249" s="3">
        <v>42113</v>
      </c>
      <c r="N249" t="str" cm="1">
        <f t="array" ref="N249">_xlfn.IFS(Table1_3[[#This Row],[Patient Satisfaction Score]]&gt;=83,"High",H249&lt;=75,"Low",TRUE,"Moderate")</f>
        <v>Low</v>
      </c>
      <c r="O249" t="str">
        <f t="shared" si="3"/>
        <v>Adult</v>
      </c>
    </row>
    <row r="250" spans="1:15">
      <c r="A250" t="s">
        <v>733</v>
      </c>
      <c r="B250" t="s">
        <v>74</v>
      </c>
      <c r="C250" t="s">
        <v>45</v>
      </c>
      <c r="D250" t="s">
        <v>72</v>
      </c>
      <c r="E250" s="2">
        <v>22</v>
      </c>
      <c r="F250" t="s">
        <v>17</v>
      </c>
      <c r="G250" t="s">
        <v>31</v>
      </c>
      <c r="H250" s="2">
        <v>86</v>
      </c>
      <c r="I250" s="3">
        <v>11423</v>
      </c>
      <c r="J250" s="4">
        <v>11.96</v>
      </c>
      <c r="K250" s="2">
        <v>105</v>
      </c>
      <c r="L250" s="2">
        <v>4</v>
      </c>
      <c r="M250" s="3">
        <v>55851</v>
      </c>
      <c r="N250" t="str" cm="1">
        <f t="array" ref="N250">_xlfn.IFS(Table1_3[[#This Row],[Patient Satisfaction Score]]&gt;=83,"High",H250&lt;=75,"Low",TRUE,"Moderate")</f>
        <v>High</v>
      </c>
      <c r="O250" t="str">
        <f t="shared" si="3"/>
        <v>Adult</v>
      </c>
    </row>
    <row r="251" spans="1:15">
      <c r="A251" t="s">
        <v>127</v>
      </c>
      <c r="B251" t="s">
        <v>29</v>
      </c>
      <c r="C251" t="s">
        <v>30</v>
      </c>
      <c r="D251" t="s">
        <v>27</v>
      </c>
      <c r="E251" s="2">
        <v>22</v>
      </c>
      <c r="F251" t="s">
        <v>22</v>
      </c>
      <c r="G251" t="s">
        <v>23</v>
      </c>
      <c r="H251" s="2">
        <v>82</v>
      </c>
      <c r="I251" s="3">
        <v>4023</v>
      </c>
      <c r="J251" s="4">
        <v>16.84</v>
      </c>
      <c r="K251" s="2">
        <v>119</v>
      </c>
      <c r="L251" s="2">
        <v>4</v>
      </c>
      <c r="M251" s="3">
        <v>12483</v>
      </c>
      <c r="N251" t="str" cm="1">
        <f t="array" ref="N251">_xlfn.IFS(Table1_3[[#This Row],[Patient Satisfaction Score]]&gt;=83,"High",H251&lt;=75,"Low",TRUE,"Moderate")</f>
        <v>Moderate</v>
      </c>
      <c r="O251" t="str">
        <f t="shared" si="3"/>
        <v>Adult</v>
      </c>
    </row>
    <row r="252" spans="1:15">
      <c r="A252" t="s">
        <v>1033</v>
      </c>
      <c r="B252" t="s">
        <v>88</v>
      </c>
      <c r="C252" t="s">
        <v>15</v>
      </c>
      <c r="D252" t="s">
        <v>27</v>
      </c>
      <c r="E252" s="2">
        <v>22</v>
      </c>
      <c r="F252" t="s">
        <v>34</v>
      </c>
      <c r="G252" t="s">
        <v>18</v>
      </c>
      <c r="H252" s="2">
        <v>72</v>
      </c>
      <c r="I252" s="3">
        <v>5628</v>
      </c>
      <c r="J252" s="4">
        <v>18.62</v>
      </c>
      <c r="K252" s="2">
        <v>84</v>
      </c>
      <c r="L252" s="2">
        <v>4</v>
      </c>
      <c r="M252" s="3">
        <v>30326</v>
      </c>
      <c r="N252" t="str" cm="1">
        <f t="array" ref="N252">_xlfn.IFS(Table1_3[[#This Row],[Patient Satisfaction Score]]&gt;=83,"High",H252&lt;=75,"Low",TRUE,"Moderate")</f>
        <v>Low</v>
      </c>
      <c r="O252" t="str">
        <f t="shared" si="3"/>
        <v>Adult</v>
      </c>
    </row>
    <row r="253" spans="1:15">
      <c r="A253" t="s">
        <v>637</v>
      </c>
      <c r="B253" t="s">
        <v>25</v>
      </c>
      <c r="C253" t="s">
        <v>26</v>
      </c>
      <c r="D253" t="s">
        <v>16</v>
      </c>
      <c r="E253" s="2">
        <v>23</v>
      </c>
      <c r="F253" t="s">
        <v>17</v>
      </c>
      <c r="G253" t="s">
        <v>70</v>
      </c>
      <c r="H253" s="2">
        <v>91</v>
      </c>
      <c r="I253" s="3">
        <v>2736</v>
      </c>
      <c r="J253" s="4">
        <v>4.1500000000000004</v>
      </c>
      <c r="K253" s="2">
        <v>44</v>
      </c>
      <c r="L253" s="2">
        <v>4</v>
      </c>
      <c r="M253" s="3">
        <v>12074</v>
      </c>
      <c r="N253" t="str" cm="1">
        <f t="array" ref="N253">_xlfn.IFS(Table1_3[[#This Row],[Patient Satisfaction Score]]&gt;=83,"High",H253&lt;=75,"Low",TRUE,"Moderate")</f>
        <v>High</v>
      </c>
      <c r="O253" t="str">
        <f t="shared" si="3"/>
        <v>Adult</v>
      </c>
    </row>
    <row r="254" spans="1:15">
      <c r="A254" t="s">
        <v>385</v>
      </c>
      <c r="B254" t="s">
        <v>58</v>
      </c>
      <c r="C254" t="s">
        <v>48</v>
      </c>
      <c r="D254" t="s">
        <v>16</v>
      </c>
      <c r="E254" s="2">
        <v>23</v>
      </c>
      <c r="F254" t="s">
        <v>22</v>
      </c>
      <c r="G254" t="s">
        <v>31</v>
      </c>
      <c r="H254" s="2">
        <v>79</v>
      </c>
      <c r="I254" s="3">
        <v>6045</v>
      </c>
      <c r="J254" s="4">
        <v>14.34</v>
      </c>
      <c r="K254" s="2">
        <v>71</v>
      </c>
      <c r="L254" s="2">
        <v>3</v>
      </c>
      <c r="M254" s="3">
        <v>29491</v>
      </c>
      <c r="N254" t="str" cm="1">
        <f t="array" ref="N254">_xlfn.IFS(Table1_3[[#This Row],[Patient Satisfaction Score]]&gt;=83,"High",H254&lt;=75,"Low",TRUE,"Moderate")</f>
        <v>Moderate</v>
      </c>
      <c r="O254" t="str">
        <f t="shared" si="3"/>
        <v>Adult</v>
      </c>
    </row>
    <row r="255" spans="1:15">
      <c r="A255" t="s">
        <v>985</v>
      </c>
      <c r="B255" t="s">
        <v>58</v>
      </c>
      <c r="C255" t="s">
        <v>48</v>
      </c>
      <c r="D255" t="s">
        <v>27</v>
      </c>
      <c r="E255" s="2">
        <v>23</v>
      </c>
      <c r="F255" t="s">
        <v>22</v>
      </c>
      <c r="G255" t="s">
        <v>70</v>
      </c>
      <c r="H255" s="2">
        <v>78</v>
      </c>
      <c r="I255" s="3">
        <v>7705</v>
      </c>
      <c r="J255" s="4">
        <v>12.07</v>
      </c>
      <c r="K255" s="2">
        <v>68</v>
      </c>
      <c r="L255" s="2">
        <v>3</v>
      </c>
      <c r="M255" s="3">
        <v>42151</v>
      </c>
      <c r="N255" t="str" cm="1">
        <f t="array" ref="N255">_xlfn.IFS(Table1_3[[#This Row],[Patient Satisfaction Score]]&gt;=83,"High",H255&lt;=75,"Low",TRUE,"Moderate")</f>
        <v>Moderate</v>
      </c>
      <c r="O255" t="str">
        <f t="shared" si="3"/>
        <v>Adult</v>
      </c>
    </row>
    <row r="256" spans="1:15">
      <c r="A256" t="s">
        <v>772</v>
      </c>
      <c r="B256" t="s">
        <v>95</v>
      </c>
      <c r="C256" t="s">
        <v>52</v>
      </c>
      <c r="D256" t="s">
        <v>27</v>
      </c>
      <c r="E256" s="2">
        <v>23</v>
      </c>
      <c r="F256" t="s">
        <v>22</v>
      </c>
      <c r="G256" t="s">
        <v>70</v>
      </c>
      <c r="H256" s="2">
        <v>77</v>
      </c>
      <c r="I256" s="3">
        <v>8446</v>
      </c>
      <c r="J256" s="4">
        <v>15.17</v>
      </c>
      <c r="K256" s="2">
        <v>16</v>
      </c>
      <c r="L256" s="2">
        <v>3</v>
      </c>
      <c r="M256" s="3">
        <v>35656</v>
      </c>
      <c r="N256" t="str" cm="1">
        <f t="array" ref="N256">_xlfn.IFS(Table1_3[[#This Row],[Patient Satisfaction Score]]&gt;=83,"High",H256&lt;=75,"Low",TRUE,"Moderate")</f>
        <v>Moderate</v>
      </c>
      <c r="O256" t="str">
        <f t="shared" si="3"/>
        <v>Adult</v>
      </c>
    </row>
    <row r="257" spans="1:15">
      <c r="A257" t="s">
        <v>179</v>
      </c>
      <c r="B257" t="s">
        <v>143</v>
      </c>
      <c r="C257" t="s">
        <v>21</v>
      </c>
      <c r="D257" t="s">
        <v>27</v>
      </c>
      <c r="E257" s="2">
        <v>23</v>
      </c>
      <c r="F257" t="s">
        <v>17</v>
      </c>
      <c r="G257" t="s">
        <v>31</v>
      </c>
      <c r="H257" s="2">
        <v>65</v>
      </c>
      <c r="I257" s="3">
        <v>4208</v>
      </c>
      <c r="J257" s="4">
        <v>19.579999999999998</v>
      </c>
      <c r="K257" s="2">
        <v>108</v>
      </c>
      <c r="L257" s="2">
        <v>3</v>
      </c>
      <c r="M257" s="3">
        <v>18501</v>
      </c>
      <c r="N257" t="str" cm="1">
        <f t="array" ref="N257">_xlfn.IFS(Table1_3[[#This Row],[Patient Satisfaction Score]]&gt;=83,"High",H257&lt;=75,"Low",TRUE,"Moderate")</f>
        <v>Low</v>
      </c>
      <c r="O257" t="str">
        <f t="shared" si="3"/>
        <v>Adult</v>
      </c>
    </row>
    <row r="258" spans="1:15">
      <c r="A258" t="s">
        <v>260</v>
      </c>
      <c r="B258" t="s">
        <v>44</v>
      </c>
      <c r="C258" t="s">
        <v>45</v>
      </c>
      <c r="D258" t="s">
        <v>27</v>
      </c>
      <c r="E258" s="2">
        <v>23</v>
      </c>
      <c r="F258" t="s">
        <v>17</v>
      </c>
      <c r="G258" t="s">
        <v>49</v>
      </c>
      <c r="H258" s="2">
        <v>76</v>
      </c>
      <c r="I258" s="3">
        <v>7902</v>
      </c>
      <c r="J258" s="4">
        <v>16.25</v>
      </c>
      <c r="K258" s="2">
        <v>88</v>
      </c>
      <c r="L258" s="2">
        <v>4</v>
      </c>
      <c r="M258" s="3">
        <v>46466</v>
      </c>
      <c r="N258" t="str" cm="1">
        <f t="array" ref="N258">_xlfn.IFS(Table1_3[[#This Row],[Patient Satisfaction Score]]&gt;=83,"High",H258&lt;=75,"Low",TRUE,"Moderate")</f>
        <v>Moderate</v>
      </c>
      <c r="O258" t="str">
        <f t="shared" ref="O258:O321" si="4">IF(E258&lt;19,"Pediatric","Adult")</f>
        <v>Adult</v>
      </c>
    </row>
    <row r="259" spans="1:15">
      <c r="A259" t="s">
        <v>542</v>
      </c>
      <c r="B259" t="s">
        <v>187</v>
      </c>
      <c r="C259" t="s">
        <v>30</v>
      </c>
      <c r="D259" t="s">
        <v>16</v>
      </c>
      <c r="E259" s="2">
        <v>23</v>
      </c>
      <c r="F259" t="s">
        <v>22</v>
      </c>
      <c r="G259" t="s">
        <v>23</v>
      </c>
      <c r="H259" s="2">
        <v>72</v>
      </c>
      <c r="I259" s="3">
        <v>2603</v>
      </c>
      <c r="J259" s="4">
        <v>18.760000000000002</v>
      </c>
      <c r="K259" s="2">
        <v>148</v>
      </c>
      <c r="L259" s="2">
        <v>3</v>
      </c>
      <c r="M259" s="3">
        <v>15301</v>
      </c>
      <c r="N259" t="str" cm="1">
        <f t="array" ref="N259">_xlfn.IFS(Table1_3[[#This Row],[Patient Satisfaction Score]]&gt;=83,"High",H259&lt;=75,"Low",TRUE,"Moderate")</f>
        <v>Low</v>
      </c>
      <c r="O259" t="str">
        <f t="shared" si="4"/>
        <v>Adult</v>
      </c>
    </row>
    <row r="260" spans="1:15">
      <c r="A260" t="s">
        <v>255</v>
      </c>
      <c r="B260" t="s">
        <v>14</v>
      </c>
      <c r="C260" t="s">
        <v>15</v>
      </c>
      <c r="D260" t="s">
        <v>72</v>
      </c>
      <c r="E260" s="2">
        <v>23</v>
      </c>
      <c r="F260" t="s">
        <v>22</v>
      </c>
      <c r="G260" t="s">
        <v>18</v>
      </c>
      <c r="H260" s="2">
        <v>80</v>
      </c>
      <c r="I260" s="3">
        <v>6013</v>
      </c>
      <c r="J260" s="4">
        <v>15.04</v>
      </c>
      <c r="K260" s="2">
        <v>67</v>
      </c>
      <c r="L260" s="2">
        <v>4</v>
      </c>
      <c r="M260" s="3">
        <v>21462</v>
      </c>
      <c r="N260" t="str" cm="1">
        <f t="array" ref="N260">_xlfn.IFS(Table1_3[[#This Row],[Patient Satisfaction Score]]&gt;=83,"High",H260&lt;=75,"Low",TRUE,"Moderate")</f>
        <v>Moderate</v>
      </c>
      <c r="O260" t="str">
        <f t="shared" si="4"/>
        <v>Adult</v>
      </c>
    </row>
    <row r="261" spans="1:15">
      <c r="A261" t="s">
        <v>310</v>
      </c>
      <c r="B261" t="s">
        <v>54</v>
      </c>
      <c r="C261" t="s">
        <v>15</v>
      </c>
      <c r="D261" t="s">
        <v>16</v>
      </c>
      <c r="E261" s="2">
        <v>23</v>
      </c>
      <c r="F261" t="s">
        <v>22</v>
      </c>
      <c r="G261" t="s">
        <v>23</v>
      </c>
      <c r="H261" s="2">
        <v>79</v>
      </c>
      <c r="I261" s="3">
        <v>6737</v>
      </c>
      <c r="J261" s="4">
        <v>19.940000000000001</v>
      </c>
      <c r="K261" s="2">
        <v>93</v>
      </c>
      <c r="L261" s="2">
        <v>5</v>
      </c>
      <c r="M261" s="3">
        <v>33804</v>
      </c>
      <c r="N261" t="str" cm="1">
        <f t="array" ref="N261">_xlfn.IFS(Table1_3[[#This Row],[Patient Satisfaction Score]]&gt;=83,"High",H261&lt;=75,"Low",TRUE,"Moderate")</f>
        <v>Moderate</v>
      </c>
      <c r="O261" t="str">
        <f t="shared" si="4"/>
        <v>Adult</v>
      </c>
    </row>
    <row r="262" spans="1:15">
      <c r="A262" t="s">
        <v>345</v>
      </c>
      <c r="B262" t="s">
        <v>80</v>
      </c>
      <c r="C262" t="s">
        <v>15</v>
      </c>
      <c r="D262" t="s">
        <v>27</v>
      </c>
      <c r="E262" s="2">
        <v>23</v>
      </c>
      <c r="F262" t="s">
        <v>34</v>
      </c>
      <c r="G262" t="s">
        <v>70</v>
      </c>
      <c r="H262" s="2">
        <v>78</v>
      </c>
      <c r="I262" s="3">
        <v>4474</v>
      </c>
      <c r="J262" s="4">
        <v>14.58</v>
      </c>
      <c r="K262" s="2">
        <v>77</v>
      </c>
      <c r="L262" s="2">
        <v>4</v>
      </c>
      <c r="M262" s="3">
        <v>25096</v>
      </c>
      <c r="N262" t="str" cm="1">
        <f t="array" ref="N262">_xlfn.IFS(Table1_3[[#This Row],[Patient Satisfaction Score]]&gt;=83,"High",H262&lt;=75,"Low",TRUE,"Moderate")</f>
        <v>Moderate</v>
      </c>
      <c r="O262" t="str">
        <f t="shared" si="4"/>
        <v>Adult</v>
      </c>
    </row>
    <row r="263" spans="1:15">
      <c r="A263" t="s">
        <v>746</v>
      </c>
      <c r="B263" t="s">
        <v>54</v>
      </c>
      <c r="C263" t="s">
        <v>15</v>
      </c>
      <c r="D263" t="s">
        <v>72</v>
      </c>
      <c r="E263" s="2">
        <v>23</v>
      </c>
      <c r="F263" t="s">
        <v>34</v>
      </c>
      <c r="G263" t="s">
        <v>49</v>
      </c>
      <c r="H263" s="2">
        <v>80</v>
      </c>
      <c r="I263" s="3">
        <v>6516</v>
      </c>
      <c r="J263" s="4">
        <v>17.96</v>
      </c>
      <c r="K263" s="2">
        <v>79</v>
      </c>
      <c r="L263" s="2">
        <v>4</v>
      </c>
      <c r="M263" s="3">
        <v>23588</v>
      </c>
      <c r="N263" t="str" cm="1">
        <f t="array" ref="N263">_xlfn.IFS(Table1_3[[#This Row],[Patient Satisfaction Score]]&gt;=83,"High",H263&lt;=75,"Low",TRUE,"Moderate")</f>
        <v>Moderate</v>
      </c>
      <c r="O263" t="str">
        <f t="shared" si="4"/>
        <v>Adult</v>
      </c>
    </row>
    <row r="264" spans="1:15">
      <c r="A264" t="s">
        <v>214</v>
      </c>
      <c r="B264" t="s">
        <v>103</v>
      </c>
      <c r="C264" t="s">
        <v>26</v>
      </c>
      <c r="D264" t="s">
        <v>16</v>
      </c>
      <c r="E264" s="2">
        <v>24</v>
      </c>
      <c r="F264" t="s">
        <v>17</v>
      </c>
      <c r="G264" t="s">
        <v>31</v>
      </c>
      <c r="H264" s="2">
        <v>83</v>
      </c>
      <c r="I264" s="3">
        <v>3398</v>
      </c>
      <c r="J264" s="4">
        <v>7.56</v>
      </c>
      <c r="K264" s="2">
        <v>39</v>
      </c>
      <c r="L264" s="2">
        <v>4</v>
      </c>
      <c r="M264" s="3">
        <v>10486</v>
      </c>
      <c r="N264" t="str" cm="1">
        <f t="array" ref="N264">_xlfn.IFS(Table1_3[[#This Row],[Patient Satisfaction Score]]&gt;=83,"High",H264&lt;=75,"Low",TRUE,"Moderate")</f>
        <v>High</v>
      </c>
      <c r="O264" t="str">
        <f t="shared" si="4"/>
        <v>Adult</v>
      </c>
    </row>
    <row r="265" spans="1:15">
      <c r="A265" t="s">
        <v>534</v>
      </c>
      <c r="B265" t="s">
        <v>25</v>
      </c>
      <c r="C265" t="s">
        <v>26</v>
      </c>
      <c r="D265" t="s">
        <v>72</v>
      </c>
      <c r="E265" s="2">
        <v>24</v>
      </c>
      <c r="F265" t="s">
        <v>34</v>
      </c>
      <c r="G265" t="s">
        <v>70</v>
      </c>
      <c r="H265" s="2">
        <v>95</v>
      </c>
      <c r="I265" s="3">
        <v>1766</v>
      </c>
      <c r="J265" s="4">
        <v>2.99</v>
      </c>
      <c r="K265" s="2">
        <v>29</v>
      </c>
      <c r="L265" s="2">
        <v>5</v>
      </c>
      <c r="M265" s="3">
        <v>8575</v>
      </c>
      <c r="N265" t="str" cm="1">
        <f t="array" ref="N265">_xlfn.IFS(Table1_3[[#This Row],[Patient Satisfaction Score]]&gt;=83,"High",H265&lt;=75,"Low",TRUE,"Moderate")</f>
        <v>High</v>
      </c>
      <c r="O265" t="str">
        <f t="shared" si="4"/>
        <v>Adult</v>
      </c>
    </row>
    <row r="266" spans="1:15">
      <c r="A266" t="s">
        <v>872</v>
      </c>
      <c r="B266" t="s">
        <v>135</v>
      </c>
      <c r="C266" t="s">
        <v>48</v>
      </c>
      <c r="D266" t="s">
        <v>27</v>
      </c>
      <c r="E266" s="2">
        <v>24</v>
      </c>
      <c r="F266" t="s">
        <v>17</v>
      </c>
      <c r="G266" t="s">
        <v>40</v>
      </c>
      <c r="H266" s="2">
        <v>84</v>
      </c>
      <c r="I266" s="3">
        <v>5956</v>
      </c>
      <c r="J266" s="4">
        <v>14.64</v>
      </c>
      <c r="K266" s="2">
        <v>70</v>
      </c>
      <c r="L266" s="2">
        <v>4</v>
      </c>
      <c r="M266" s="3">
        <v>25270</v>
      </c>
      <c r="N266" t="str" cm="1">
        <f t="array" ref="N266">_xlfn.IFS(Table1_3[[#This Row],[Patient Satisfaction Score]]&gt;=83,"High",H266&lt;=75,"Low",TRUE,"Moderate")</f>
        <v>High</v>
      </c>
      <c r="O266" t="str">
        <f t="shared" si="4"/>
        <v>Adult</v>
      </c>
    </row>
    <row r="267" spans="1:15">
      <c r="A267" t="s">
        <v>789</v>
      </c>
      <c r="B267" t="s">
        <v>60</v>
      </c>
      <c r="C267" t="s">
        <v>52</v>
      </c>
      <c r="D267" t="s">
        <v>27</v>
      </c>
      <c r="E267" s="2">
        <v>24</v>
      </c>
      <c r="F267" t="s">
        <v>17</v>
      </c>
      <c r="G267" t="s">
        <v>40</v>
      </c>
      <c r="H267" s="2">
        <v>82</v>
      </c>
      <c r="I267" s="3">
        <v>7991</v>
      </c>
      <c r="J267" s="4">
        <v>11.37</v>
      </c>
      <c r="K267" s="2">
        <v>46</v>
      </c>
      <c r="L267" s="2">
        <v>4</v>
      </c>
      <c r="M267" s="3">
        <v>29786</v>
      </c>
      <c r="N267" t="str" cm="1">
        <f t="array" ref="N267">_xlfn.IFS(Table1_3[[#This Row],[Patient Satisfaction Score]]&gt;=83,"High",H267&lt;=75,"Low",TRUE,"Moderate")</f>
        <v>Moderate</v>
      </c>
      <c r="O267" t="str">
        <f t="shared" si="4"/>
        <v>Adult</v>
      </c>
    </row>
    <row r="268" spans="1:15">
      <c r="A268" t="s">
        <v>159</v>
      </c>
      <c r="B268" t="s">
        <v>143</v>
      </c>
      <c r="C268" t="s">
        <v>21</v>
      </c>
      <c r="D268" t="s">
        <v>27</v>
      </c>
      <c r="E268" s="2">
        <v>24</v>
      </c>
      <c r="F268" t="s">
        <v>34</v>
      </c>
      <c r="G268" t="s">
        <v>31</v>
      </c>
      <c r="H268" s="2">
        <v>74</v>
      </c>
      <c r="I268" s="3">
        <v>7570</v>
      </c>
      <c r="J268" s="4">
        <v>15.29</v>
      </c>
      <c r="K268" s="2">
        <v>56</v>
      </c>
      <c r="L268" s="2">
        <v>3</v>
      </c>
      <c r="M268" s="3">
        <v>38465</v>
      </c>
      <c r="N268" t="str" cm="1">
        <f t="array" ref="N268">_xlfn.IFS(Table1_3[[#This Row],[Patient Satisfaction Score]]&gt;=83,"High",H268&lt;=75,"Low",TRUE,"Moderate")</f>
        <v>Low</v>
      </c>
      <c r="O268" t="str">
        <f t="shared" si="4"/>
        <v>Adult</v>
      </c>
    </row>
    <row r="269" spans="1:15">
      <c r="A269" t="s">
        <v>123</v>
      </c>
      <c r="B269" t="s">
        <v>44</v>
      </c>
      <c r="C269" t="s">
        <v>45</v>
      </c>
      <c r="D269" t="s">
        <v>72</v>
      </c>
      <c r="E269" s="2">
        <v>24</v>
      </c>
      <c r="F269" t="s">
        <v>17</v>
      </c>
      <c r="G269" t="s">
        <v>23</v>
      </c>
      <c r="H269" s="2">
        <v>71</v>
      </c>
      <c r="I269" s="3">
        <v>11680</v>
      </c>
      <c r="J269" s="4">
        <v>20.51</v>
      </c>
      <c r="K269" s="2">
        <v>89</v>
      </c>
      <c r="L269" s="2">
        <v>3</v>
      </c>
      <c r="M269" s="3">
        <v>29794</v>
      </c>
      <c r="N269" t="str" cm="1">
        <f t="array" ref="N269">_xlfn.IFS(Table1_3[[#This Row],[Patient Satisfaction Score]]&gt;=83,"High",H269&lt;=75,"Low",TRUE,"Moderate")</f>
        <v>Low</v>
      </c>
      <c r="O269" t="str">
        <f t="shared" si="4"/>
        <v>Adult</v>
      </c>
    </row>
    <row r="270" spans="1:15">
      <c r="A270" t="s">
        <v>189</v>
      </c>
      <c r="B270" t="s">
        <v>187</v>
      </c>
      <c r="C270" t="s">
        <v>30</v>
      </c>
      <c r="D270" t="s">
        <v>16</v>
      </c>
      <c r="E270" s="2">
        <v>24</v>
      </c>
      <c r="F270" t="s">
        <v>22</v>
      </c>
      <c r="G270" t="s">
        <v>23</v>
      </c>
      <c r="H270" s="2">
        <v>72</v>
      </c>
      <c r="I270" s="3">
        <v>2146</v>
      </c>
      <c r="J270" s="4">
        <v>13.17</v>
      </c>
      <c r="K270" s="2">
        <v>88</v>
      </c>
      <c r="L270" s="2">
        <v>4</v>
      </c>
      <c r="M270" s="3">
        <v>12500</v>
      </c>
      <c r="N270" t="str" cm="1">
        <f t="array" ref="N270">_xlfn.IFS(Table1_3[[#This Row],[Patient Satisfaction Score]]&gt;=83,"High",H270&lt;=75,"Low",TRUE,"Moderate")</f>
        <v>Low</v>
      </c>
      <c r="O270" t="str">
        <f t="shared" si="4"/>
        <v>Adult</v>
      </c>
    </row>
    <row r="271" spans="1:15">
      <c r="A271" t="s">
        <v>300</v>
      </c>
      <c r="B271" t="s">
        <v>29</v>
      </c>
      <c r="C271" t="s">
        <v>30</v>
      </c>
      <c r="D271" t="s">
        <v>16</v>
      </c>
      <c r="E271" s="2">
        <v>24</v>
      </c>
      <c r="F271" t="s">
        <v>22</v>
      </c>
      <c r="G271" t="s">
        <v>40</v>
      </c>
      <c r="H271" s="2">
        <v>72</v>
      </c>
      <c r="I271" s="3">
        <v>3800</v>
      </c>
      <c r="J271" s="4">
        <v>20.77</v>
      </c>
      <c r="K271" s="2">
        <v>111</v>
      </c>
      <c r="L271" s="2">
        <v>3</v>
      </c>
      <c r="M271" s="3">
        <v>16729</v>
      </c>
      <c r="N271" t="str" cm="1">
        <f t="array" ref="N271">_xlfn.IFS(Table1_3[[#This Row],[Patient Satisfaction Score]]&gt;=83,"High",H271&lt;=75,"Low",TRUE,"Moderate")</f>
        <v>Low</v>
      </c>
      <c r="O271" t="str">
        <f t="shared" si="4"/>
        <v>Adult</v>
      </c>
    </row>
    <row r="272" spans="1:15">
      <c r="A272" t="s">
        <v>558</v>
      </c>
      <c r="B272" t="s">
        <v>97</v>
      </c>
      <c r="C272" t="s">
        <v>30</v>
      </c>
      <c r="D272" t="s">
        <v>16</v>
      </c>
      <c r="E272" s="2">
        <v>24</v>
      </c>
      <c r="F272" t="s">
        <v>22</v>
      </c>
      <c r="G272" t="s">
        <v>23</v>
      </c>
      <c r="H272" s="2">
        <v>65</v>
      </c>
      <c r="I272" s="3">
        <v>2824</v>
      </c>
      <c r="J272" s="4">
        <v>24.51</v>
      </c>
      <c r="K272" s="2">
        <v>134</v>
      </c>
      <c r="L272" s="2">
        <v>4</v>
      </c>
      <c r="M272" s="3">
        <v>11134</v>
      </c>
      <c r="N272" t="str" cm="1">
        <f t="array" ref="N272">_xlfn.IFS(Table1_3[[#This Row],[Patient Satisfaction Score]]&gt;=83,"High",H272&lt;=75,"Low",TRUE,"Moderate")</f>
        <v>Low</v>
      </c>
      <c r="O272" t="str">
        <f t="shared" si="4"/>
        <v>Adult</v>
      </c>
    </row>
    <row r="273" spans="1:15">
      <c r="A273" t="s">
        <v>276</v>
      </c>
      <c r="B273" t="s">
        <v>88</v>
      </c>
      <c r="C273" t="s">
        <v>15</v>
      </c>
      <c r="D273" t="s">
        <v>27</v>
      </c>
      <c r="E273" s="2">
        <v>24</v>
      </c>
      <c r="F273" t="s">
        <v>34</v>
      </c>
      <c r="G273" t="s">
        <v>23</v>
      </c>
      <c r="H273" s="2">
        <v>82</v>
      </c>
      <c r="I273" s="3">
        <v>9878</v>
      </c>
      <c r="J273" s="4">
        <v>11.59</v>
      </c>
      <c r="K273" s="2">
        <v>45</v>
      </c>
      <c r="L273" s="2">
        <v>4</v>
      </c>
      <c r="M273" s="3">
        <v>55358</v>
      </c>
      <c r="N273" t="str" cm="1">
        <f t="array" ref="N273">_xlfn.IFS(Table1_3[[#This Row],[Patient Satisfaction Score]]&gt;=83,"High",H273&lt;=75,"Low",TRUE,"Moderate")</f>
        <v>Moderate</v>
      </c>
      <c r="O273" t="str">
        <f t="shared" si="4"/>
        <v>Adult</v>
      </c>
    </row>
    <row r="274" spans="1:15">
      <c r="A274" t="s">
        <v>412</v>
      </c>
      <c r="B274" t="s">
        <v>80</v>
      </c>
      <c r="C274" t="s">
        <v>15</v>
      </c>
      <c r="D274" t="s">
        <v>27</v>
      </c>
      <c r="E274" s="2">
        <v>24</v>
      </c>
      <c r="F274" t="s">
        <v>22</v>
      </c>
      <c r="G274" t="s">
        <v>31</v>
      </c>
      <c r="H274" s="2">
        <v>75</v>
      </c>
      <c r="I274" s="3">
        <v>4868</v>
      </c>
      <c r="J274" s="4">
        <v>20.45</v>
      </c>
      <c r="K274" s="2">
        <v>57</v>
      </c>
      <c r="L274" s="2">
        <v>4</v>
      </c>
      <c r="M274" s="3">
        <v>13334</v>
      </c>
      <c r="N274" t="str" cm="1">
        <f t="array" ref="N274">_xlfn.IFS(Table1_3[[#This Row],[Patient Satisfaction Score]]&gt;=83,"High",H274&lt;=75,"Low",TRUE,"Moderate")</f>
        <v>Low</v>
      </c>
      <c r="O274" t="str">
        <f t="shared" si="4"/>
        <v>Adult</v>
      </c>
    </row>
    <row r="275" spans="1:15">
      <c r="A275" t="s">
        <v>433</v>
      </c>
      <c r="B275" t="s">
        <v>78</v>
      </c>
      <c r="C275" t="s">
        <v>15</v>
      </c>
      <c r="D275" t="s">
        <v>27</v>
      </c>
      <c r="E275" s="2">
        <v>24</v>
      </c>
      <c r="F275" t="s">
        <v>34</v>
      </c>
      <c r="G275" t="s">
        <v>70</v>
      </c>
      <c r="H275" s="2">
        <v>72</v>
      </c>
      <c r="I275" s="3">
        <v>7139</v>
      </c>
      <c r="J275" s="4">
        <v>9.36</v>
      </c>
      <c r="K275" s="2">
        <v>62</v>
      </c>
      <c r="L275" s="2">
        <v>4</v>
      </c>
      <c r="M275" s="3">
        <v>26687</v>
      </c>
      <c r="N275" t="str" cm="1">
        <f t="array" ref="N275">_xlfn.IFS(Table1_3[[#This Row],[Patient Satisfaction Score]]&gt;=83,"High",H275&lt;=75,"Low",TRUE,"Moderate")</f>
        <v>Low</v>
      </c>
      <c r="O275" t="str">
        <f t="shared" si="4"/>
        <v>Adult</v>
      </c>
    </row>
    <row r="276" spans="1:15">
      <c r="A276" t="s">
        <v>462</v>
      </c>
      <c r="B276" t="s">
        <v>80</v>
      </c>
      <c r="C276" t="s">
        <v>15</v>
      </c>
      <c r="D276" t="s">
        <v>27</v>
      </c>
      <c r="E276" s="2">
        <v>24</v>
      </c>
      <c r="F276" t="s">
        <v>17</v>
      </c>
      <c r="G276" t="s">
        <v>40</v>
      </c>
      <c r="H276" s="2">
        <v>79</v>
      </c>
      <c r="I276" s="3">
        <v>6944</v>
      </c>
      <c r="J276" s="4">
        <v>15.46</v>
      </c>
      <c r="K276" s="2">
        <v>80</v>
      </c>
      <c r="L276" s="2">
        <v>5</v>
      </c>
      <c r="M276" s="3">
        <v>24961</v>
      </c>
      <c r="N276" t="str" cm="1">
        <f t="array" ref="N276">_xlfn.IFS(Table1_3[[#This Row],[Patient Satisfaction Score]]&gt;=83,"High",H276&lt;=75,"Low",TRUE,"Moderate")</f>
        <v>Moderate</v>
      </c>
      <c r="O276" t="str">
        <f t="shared" si="4"/>
        <v>Adult</v>
      </c>
    </row>
    <row r="277" spans="1:15">
      <c r="A277" t="s">
        <v>305</v>
      </c>
      <c r="B277" t="s">
        <v>137</v>
      </c>
      <c r="C277" t="s">
        <v>26</v>
      </c>
      <c r="D277" t="s">
        <v>16</v>
      </c>
      <c r="E277" s="2">
        <v>25</v>
      </c>
      <c r="F277" t="s">
        <v>17</v>
      </c>
      <c r="G277" t="s">
        <v>70</v>
      </c>
      <c r="H277" s="2">
        <v>93</v>
      </c>
      <c r="I277" s="3">
        <v>3019</v>
      </c>
      <c r="J277" s="4">
        <v>7.02</v>
      </c>
      <c r="K277" s="2">
        <v>44</v>
      </c>
      <c r="L277" s="2">
        <v>4</v>
      </c>
      <c r="M277" s="3">
        <v>17738</v>
      </c>
      <c r="N277" t="str" cm="1">
        <f t="array" ref="N277">_xlfn.IFS(Table1_3[[#This Row],[Patient Satisfaction Score]]&gt;=83,"High",H277&lt;=75,"Low",TRUE,"Moderate")</f>
        <v>High</v>
      </c>
      <c r="O277" t="str">
        <f t="shared" si="4"/>
        <v>Adult</v>
      </c>
    </row>
    <row r="278" spans="1:15">
      <c r="A278" t="s">
        <v>867</v>
      </c>
      <c r="B278" t="s">
        <v>103</v>
      </c>
      <c r="C278" t="s">
        <v>26</v>
      </c>
      <c r="D278" t="s">
        <v>27</v>
      </c>
      <c r="E278" s="2">
        <v>25</v>
      </c>
      <c r="F278" t="s">
        <v>34</v>
      </c>
      <c r="G278" t="s">
        <v>70</v>
      </c>
      <c r="H278" s="2">
        <v>85</v>
      </c>
      <c r="I278" s="3">
        <v>964</v>
      </c>
      <c r="J278" s="4">
        <v>8.11</v>
      </c>
      <c r="K278" s="2">
        <v>37</v>
      </c>
      <c r="L278" s="2">
        <v>3</v>
      </c>
      <c r="M278" s="3">
        <v>5433</v>
      </c>
      <c r="N278" t="str" cm="1">
        <f t="array" ref="N278">_xlfn.IFS(Table1_3[[#This Row],[Patient Satisfaction Score]]&gt;=83,"High",H278&lt;=75,"Low",TRUE,"Moderate")</f>
        <v>High</v>
      </c>
      <c r="O278" t="str">
        <f t="shared" si="4"/>
        <v>Adult</v>
      </c>
    </row>
    <row r="279" spans="1:15">
      <c r="A279" t="s">
        <v>971</v>
      </c>
      <c r="B279" t="s">
        <v>25</v>
      </c>
      <c r="C279" t="s">
        <v>26</v>
      </c>
      <c r="D279" t="s">
        <v>27</v>
      </c>
      <c r="E279" s="2">
        <v>25</v>
      </c>
      <c r="F279" t="s">
        <v>22</v>
      </c>
      <c r="G279" t="s">
        <v>23</v>
      </c>
      <c r="H279" s="2">
        <v>77</v>
      </c>
      <c r="I279" s="3">
        <v>2119</v>
      </c>
      <c r="J279" s="4">
        <v>6.54</v>
      </c>
      <c r="K279" s="2">
        <v>54</v>
      </c>
      <c r="L279" s="2">
        <v>4</v>
      </c>
      <c r="M279" s="3">
        <v>10847</v>
      </c>
      <c r="N279" t="str" cm="1">
        <f t="array" ref="N279">_xlfn.IFS(Table1_3[[#This Row],[Patient Satisfaction Score]]&gt;=83,"High",H279&lt;=75,"Low",TRUE,"Moderate")</f>
        <v>Moderate</v>
      </c>
      <c r="O279" t="str">
        <f t="shared" si="4"/>
        <v>Adult</v>
      </c>
    </row>
    <row r="280" spans="1:15">
      <c r="A280" t="s">
        <v>176</v>
      </c>
      <c r="B280" t="s">
        <v>47</v>
      </c>
      <c r="C280" t="s">
        <v>48</v>
      </c>
      <c r="D280" t="s">
        <v>16</v>
      </c>
      <c r="E280" s="2">
        <v>25</v>
      </c>
      <c r="F280" t="s">
        <v>17</v>
      </c>
      <c r="G280" t="s">
        <v>40</v>
      </c>
      <c r="H280" s="2">
        <v>74</v>
      </c>
      <c r="I280" s="3">
        <v>4860</v>
      </c>
      <c r="J280" s="4">
        <v>22.53</v>
      </c>
      <c r="K280" s="2">
        <v>96</v>
      </c>
      <c r="L280" s="2">
        <v>4</v>
      </c>
      <c r="M280" s="3">
        <v>24611</v>
      </c>
      <c r="N280" t="str" cm="1">
        <f t="array" ref="N280">_xlfn.IFS(Table1_3[[#This Row],[Patient Satisfaction Score]]&gt;=83,"High",H280&lt;=75,"Low",TRUE,"Moderate")</f>
        <v>Low</v>
      </c>
      <c r="O280" t="str">
        <f t="shared" si="4"/>
        <v>Adult</v>
      </c>
    </row>
    <row r="281" spans="1:15">
      <c r="A281" t="s">
        <v>294</v>
      </c>
      <c r="B281" t="s">
        <v>135</v>
      </c>
      <c r="C281" t="s">
        <v>48</v>
      </c>
      <c r="D281" t="s">
        <v>27</v>
      </c>
      <c r="E281" s="2">
        <v>25</v>
      </c>
      <c r="F281" t="s">
        <v>34</v>
      </c>
      <c r="G281" t="s">
        <v>40</v>
      </c>
      <c r="H281" s="2">
        <v>76</v>
      </c>
      <c r="I281" s="3">
        <v>6919</v>
      </c>
      <c r="J281" s="4">
        <v>16.91</v>
      </c>
      <c r="K281" s="2">
        <v>81</v>
      </c>
      <c r="L281" s="2">
        <v>4</v>
      </c>
      <c r="M281" s="3">
        <v>23635</v>
      </c>
      <c r="N281" t="str" cm="1">
        <f t="array" ref="N281">_xlfn.IFS(Table1_3[[#This Row],[Patient Satisfaction Score]]&gt;=83,"High",H281&lt;=75,"Low",TRUE,"Moderate")</f>
        <v>Moderate</v>
      </c>
      <c r="O281" t="str">
        <f t="shared" si="4"/>
        <v>Adult</v>
      </c>
    </row>
    <row r="282" spans="1:15">
      <c r="A282" t="s">
        <v>437</v>
      </c>
      <c r="B282" t="s">
        <v>122</v>
      </c>
      <c r="C282" t="s">
        <v>48</v>
      </c>
      <c r="D282" t="s">
        <v>27</v>
      </c>
      <c r="E282" s="2">
        <v>25</v>
      </c>
      <c r="F282" t="s">
        <v>17</v>
      </c>
      <c r="G282" t="s">
        <v>23</v>
      </c>
      <c r="H282" s="2">
        <v>77</v>
      </c>
      <c r="I282" s="3">
        <v>4755</v>
      </c>
      <c r="J282" s="4">
        <v>14.98</v>
      </c>
      <c r="K282" s="2">
        <v>85</v>
      </c>
      <c r="L282" s="2">
        <v>5</v>
      </c>
      <c r="M282" s="3">
        <v>14572</v>
      </c>
      <c r="N282" t="str" cm="1">
        <f t="array" ref="N282">_xlfn.IFS(Table1_3[[#This Row],[Patient Satisfaction Score]]&gt;=83,"High",H282&lt;=75,"Low",TRUE,"Moderate")</f>
        <v>Moderate</v>
      </c>
      <c r="O282" t="str">
        <f t="shared" si="4"/>
        <v>Adult</v>
      </c>
    </row>
    <row r="283" spans="1:15">
      <c r="A283" t="s">
        <v>399</v>
      </c>
      <c r="B283" t="s">
        <v>51</v>
      </c>
      <c r="C283" t="s">
        <v>52</v>
      </c>
      <c r="D283" t="s">
        <v>27</v>
      </c>
      <c r="E283" s="2">
        <v>25</v>
      </c>
      <c r="F283" t="s">
        <v>17</v>
      </c>
      <c r="G283" t="s">
        <v>31</v>
      </c>
      <c r="H283" s="2">
        <v>72</v>
      </c>
      <c r="I283" s="3">
        <v>8175</v>
      </c>
      <c r="J283" s="4">
        <v>18.21</v>
      </c>
      <c r="K283" s="2">
        <v>88</v>
      </c>
      <c r="L283" s="2">
        <v>3</v>
      </c>
      <c r="M283" s="3">
        <v>21512</v>
      </c>
      <c r="N283" t="str" cm="1">
        <f t="array" ref="N283">_xlfn.IFS(Table1_3[[#This Row],[Patient Satisfaction Score]]&gt;=83,"High",H283&lt;=75,"Low",TRUE,"Moderate")</f>
        <v>Low</v>
      </c>
      <c r="O283" t="str">
        <f t="shared" si="4"/>
        <v>Adult</v>
      </c>
    </row>
    <row r="284" spans="1:15">
      <c r="A284" t="s">
        <v>681</v>
      </c>
      <c r="B284" t="s">
        <v>185</v>
      </c>
      <c r="C284" t="s">
        <v>52</v>
      </c>
      <c r="D284" t="s">
        <v>16</v>
      </c>
      <c r="E284" s="2">
        <v>25</v>
      </c>
      <c r="F284" t="s">
        <v>22</v>
      </c>
      <c r="G284" t="s">
        <v>23</v>
      </c>
      <c r="H284" s="2">
        <v>80</v>
      </c>
      <c r="I284" s="3">
        <v>7371</v>
      </c>
      <c r="J284" s="4">
        <v>11.12</v>
      </c>
      <c r="K284" s="2">
        <v>67</v>
      </c>
      <c r="L284" s="2">
        <v>5</v>
      </c>
      <c r="M284" s="3">
        <v>24296</v>
      </c>
      <c r="N284" t="str" cm="1">
        <f t="array" ref="N284">_xlfn.IFS(Table1_3[[#This Row],[Patient Satisfaction Score]]&gt;=83,"High",H284&lt;=75,"Low",TRUE,"Moderate")</f>
        <v>Moderate</v>
      </c>
      <c r="O284" t="str">
        <f t="shared" si="4"/>
        <v>Adult</v>
      </c>
    </row>
    <row r="285" spans="1:15">
      <c r="A285" t="s">
        <v>730</v>
      </c>
      <c r="B285" t="s">
        <v>95</v>
      </c>
      <c r="C285" t="s">
        <v>52</v>
      </c>
      <c r="D285" t="s">
        <v>27</v>
      </c>
      <c r="E285" s="2">
        <v>25</v>
      </c>
      <c r="F285" t="s">
        <v>22</v>
      </c>
      <c r="G285" t="s">
        <v>23</v>
      </c>
      <c r="H285" s="2">
        <v>80</v>
      </c>
      <c r="I285" s="3">
        <v>5466</v>
      </c>
      <c r="J285" s="4">
        <v>15.65</v>
      </c>
      <c r="K285" s="2">
        <v>52</v>
      </c>
      <c r="L285" s="2">
        <v>4</v>
      </c>
      <c r="M285" s="3">
        <v>30802</v>
      </c>
      <c r="N285" t="str" cm="1">
        <f t="array" ref="N285">_xlfn.IFS(Table1_3[[#This Row],[Patient Satisfaction Score]]&gt;=83,"High",H285&lt;=75,"Low",TRUE,"Moderate")</f>
        <v>Moderate</v>
      </c>
      <c r="O285" t="str">
        <f t="shared" si="4"/>
        <v>Adult</v>
      </c>
    </row>
    <row r="286" spans="1:15">
      <c r="A286" t="s">
        <v>240</v>
      </c>
      <c r="B286" t="s">
        <v>129</v>
      </c>
      <c r="C286" t="s">
        <v>21</v>
      </c>
      <c r="D286" t="s">
        <v>16</v>
      </c>
      <c r="E286" s="2">
        <v>25</v>
      </c>
      <c r="F286" t="s">
        <v>22</v>
      </c>
      <c r="G286" t="s">
        <v>40</v>
      </c>
      <c r="H286" s="2">
        <v>81</v>
      </c>
      <c r="I286" s="3">
        <v>6733</v>
      </c>
      <c r="J286" s="4">
        <v>20.57</v>
      </c>
      <c r="K286" s="2">
        <v>67</v>
      </c>
      <c r="L286" s="2">
        <v>3</v>
      </c>
      <c r="M286" s="3">
        <v>33708</v>
      </c>
      <c r="N286" t="str" cm="1">
        <f t="array" ref="N286">_xlfn.IFS(Table1_3[[#This Row],[Patient Satisfaction Score]]&gt;=83,"High",H286&lt;=75,"Low",TRUE,"Moderate")</f>
        <v>Moderate</v>
      </c>
      <c r="O286" t="str">
        <f t="shared" si="4"/>
        <v>Adult</v>
      </c>
    </row>
    <row r="287" spans="1:15">
      <c r="A287" t="s">
        <v>596</v>
      </c>
      <c r="B287" t="s">
        <v>84</v>
      </c>
      <c r="C287" t="s">
        <v>21</v>
      </c>
      <c r="D287" t="s">
        <v>16</v>
      </c>
      <c r="E287" s="2">
        <v>25</v>
      </c>
      <c r="F287" t="s">
        <v>17</v>
      </c>
      <c r="G287" t="s">
        <v>49</v>
      </c>
      <c r="H287" s="2">
        <v>70</v>
      </c>
      <c r="I287" s="3">
        <v>6936</v>
      </c>
      <c r="J287" s="4">
        <v>14.09</v>
      </c>
      <c r="K287" s="2">
        <v>110</v>
      </c>
      <c r="L287" s="2">
        <v>3</v>
      </c>
      <c r="M287" s="3">
        <v>20693</v>
      </c>
      <c r="N287" t="str" cm="1">
        <f t="array" ref="N287">_xlfn.IFS(Table1_3[[#This Row],[Patient Satisfaction Score]]&gt;=83,"High",H287&lt;=75,"Low",TRUE,"Moderate")</f>
        <v>Low</v>
      </c>
      <c r="O287" t="str">
        <f t="shared" si="4"/>
        <v>Adult</v>
      </c>
    </row>
    <row r="288" spans="1:15">
      <c r="A288" t="s">
        <v>538</v>
      </c>
      <c r="B288" t="s">
        <v>44</v>
      </c>
      <c r="C288" t="s">
        <v>45</v>
      </c>
      <c r="D288" t="s">
        <v>27</v>
      </c>
      <c r="E288" s="2">
        <v>25</v>
      </c>
      <c r="F288" t="s">
        <v>34</v>
      </c>
      <c r="G288" t="s">
        <v>18</v>
      </c>
      <c r="H288" s="2">
        <v>79</v>
      </c>
      <c r="I288" s="3">
        <v>7609</v>
      </c>
      <c r="J288" s="4">
        <v>20.32</v>
      </c>
      <c r="K288" s="2">
        <v>81</v>
      </c>
      <c r="L288" s="2">
        <v>4</v>
      </c>
      <c r="M288" s="3">
        <v>27659</v>
      </c>
      <c r="N288" t="str" cm="1">
        <f t="array" ref="N288">_xlfn.IFS(Table1_3[[#This Row],[Patient Satisfaction Score]]&gt;=83,"High",H288&lt;=75,"Low",TRUE,"Moderate")</f>
        <v>Moderate</v>
      </c>
      <c r="O288" t="str">
        <f t="shared" si="4"/>
        <v>Adult</v>
      </c>
    </row>
    <row r="289" spans="1:15">
      <c r="A289" t="s">
        <v>77</v>
      </c>
      <c r="B289" t="s">
        <v>78</v>
      </c>
      <c r="C289" t="s">
        <v>15</v>
      </c>
      <c r="D289" t="s">
        <v>16</v>
      </c>
      <c r="E289" s="2">
        <v>25</v>
      </c>
      <c r="F289" t="s">
        <v>22</v>
      </c>
      <c r="G289" t="s">
        <v>40</v>
      </c>
      <c r="H289" s="2">
        <v>81</v>
      </c>
      <c r="I289" s="3">
        <v>8622</v>
      </c>
      <c r="J289" s="4">
        <v>12.72</v>
      </c>
      <c r="K289" s="2">
        <v>100</v>
      </c>
      <c r="L289" s="2">
        <v>4</v>
      </c>
      <c r="M289" s="3">
        <v>41399</v>
      </c>
      <c r="N289" t="str" cm="1">
        <f t="array" ref="N289">_xlfn.IFS(Table1_3[[#This Row],[Patient Satisfaction Score]]&gt;=83,"High",H289&lt;=75,"Low",TRUE,"Moderate")</f>
        <v>Moderate</v>
      </c>
      <c r="O289" t="str">
        <f t="shared" si="4"/>
        <v>Adult</v>
      </c>
    </row>
    <row r="290" spans="1:15">
      <c r="A290" t="s">
        <v>327</v>
      </c>
      <c r="B290" t="s">
        <v>78</v>
      </c>
      <c r="C290" t="s">
        <v>15</v>
      </c>
      <c r="D290" t="s">
        <v>16</v>
      </c>
      <c r="E290" s="2">
        <v>25</v>
      </c>
      <c r="F290" t="s">
        <v>17</v>
      </c>
      <c r="G290" t="s">
        <v>70</v>
      </c>
      <c r="H290" s="2">
        <v>83</v>
      </c>
      <c r="I290" s="3">
        <v>6640</v>
      </c>
      <c r="J290" s="4">
        <v>6.39</v>
      </c>
      <c r="K290" s="2">
        <v>85</v>
      </c>
      <c r="L290" s="2">
        <v>4</v>
      </c>
      <c r="M290" s="3">
        <v>30559</v>
      </c>
      <c r="N290" t="str" cm="1">
        <f t="array" ref="N290">_xlfn.IFS(Table1_3[[#This Row],[Patient Satisfaction Score]]&gt;=83,"High",H290&lt;=75,"Low",TRUE,"Moderate")</f>
        <v>High</v>
      </c>
      <c r="O290" t="str">
        <f t="shared" si="4"/>
        <v>Adult</v>
      </c>
    </row>
    <row r="291" spans="1:15">
      <c r="A291" t="s">
        <v>660</v>
      </c>
      <c r="B291" t="s">
        <v>54</v>
      </c>
      <c r="C291" t="s">
        <v>15</v>
      </c>
      <c r="D291" t="s">
        <v>27</v>
      </c>
      <c r="E291" s="2">
        <v>25</v>
      </c>
      <c r="F291" t="s">
        <v>22</v>
      </c>
      <c r="G291" t="s">
        <v>49</v>
      </c>
      <c r="H291" s="2">
        <v>75</v>
      </c>
      <c r="I291" s="3">
        <v>6889</v>
      </c>
      <c r="J291" s="4">
        <v>13.68</v>
      </c>
      <c r="K291" s="2">
        <v>88</v>
      </c>
      <c r="L291" s="2">
        <v>4</v>
      </c>
      <c r="M291" s="3">
        <v>27390</v>
      </c>
      <c r="N291" t="str" cm="1">
        <f t="array" ref="N291">_xlfn.IFS(Table1_3[[#This Row],[Patient Satisfaction Score]]&gt;=83,"High",H291&lt;=75,"Low",TRUE,"Moderate")</f>
        <v>Low</v>
      </c>
      <c r="O291" t="str">
        <f t="shared" si="4"/>
        <v>Adult</v>
      </c>
    </row>
    <row r="292" spans="1:15">
      <c r="A292" t="s">
        <v>917</v>
      </c>
      <c r="B292" t="s">
        <v>47</v>
      </c>
      <c r="C292" t="s">
        <v>48</v>
      </c>
      <c r="D292" t="s">
        <v>16</v>
      </c>
      <c r="E292" s="2">
        <v>26</v>
      </c>
      <c r="F292" t="s">
        <v>22</v>
      </c>
      <c r="G292" t="s">
        <v>31</v>
      </c>
      <c r="H292" s="2">
        <v>85</v>
      </c>
      <c r="I292" s="3">
        <v>4012</v>
      </c>
      <c r="J292" s="4">
        <v>9.9499999999999993</v>
      </c>
      <c r="K292" s="2">
        <v>81</v>
      </c>
      <c r="L292" s="2">
        <v>4</v>
      </c>
      <c r="M292" s="3">
        <v>10468</v>
      </c>
      <c r="N292" t="str" cm="1">
        <f t="array" ref="N292">_xlfn.IFS(Table1_3[[#This Row],[Patient Satisfaction Score]]&gt;=83,"High",H292&lt;=75,"Low",TRUE,"Moderate")</f>
        <v>High</v>
      </c>
      <c r="O292" t="str">
        <f t="shared" si="4"/>
        <v>Adult</v>
      </c>
    </row>
    <row r="293" spans="1:15">
      <c r="A293" t="s">
        <v>954</v>
      </c>
      <c r="B293" t="s">
        <v>60</v>
      </c>
      <c r="C293" t="s">
        <v>52</v>
      </c>
      <c r="D293" t="s">
        <v>16</v>
      </c>
      <c r="E293" s="2">
        <v>26</v>
      </c>
      <c r="F293" t="s">
        <v>22</v>
      </c>
      <c r="G293" t="s">
        <v>18</v>
      </c>
      <c r="H293" s="2">
        <v>76</v>
      </c>
      <c r="I293" s="3">
        <v>7657</v>
      </c>
      <c r="J293" s="4">
        <v>17.350000000000001</v>
      </c>
      <c r="K293" s="2">
        <v>69</v>
      </c>
      <c r="L293" s="2">
        <v>3</v>
      </c>
      <c r="M293" s="3">
        <v>27732</v>
      </c>
      <c r="N293" t="str" cm="1">
        <f t="array" ref="N293">_xlfn.IFS(Table1_3[[#This Row],[Patient Satisfaction Score]]&gt;=83,"High",H293&lt;=75,"Low",TRUE,"Moderate")</f>
        <v>Moderate</v>
      </c>
      <c r="O293" t="str">
        <f t="shared" si="4"/>
        <v>Adult</v>
      </c>
    </row>
    <row r="294" spans="1:15">
      <c r="A294" t="s">
        <v>612</v>
      </c>
      <c r="B294" t="s">
        <v>129</v>
      </c>
      <c r="C294" t="s">
        <v>21</v>
      </c>
      <c r="D294" t="s">
        <v>27</v>
      </c>
      <c r="E294" s="2">
        <v>26</v>
      </c>
      <c r="F294" t="s">
        <v>22</v>
      </c>
      <c r="G294" t="s">
        <v>18</v>
      </c>
      <c r="H294" s="2">
        <v>75</v>
      </c>
      <c r="I294" s="3">
        <v>6317</v>
      </c>
      <c r="J294" s="4">
        <v>16.23</v>
      </c>
      <c r="K294" s="2">
        <v>73</v>
      </c>
      <c r="L294" s="2">
        <v>4</v>
      </c>
      <c r="M294" s="3">
        <v>18871</v>
      </c>
      <c r="N294" t="str" cm="1">
        <f t="array" ref="N294">_xlfn.IFS(Table1_3[[#This Row],[Patient Satisfaction Score]]&gt;=83,"High",H294&lt;=75,"Low",TRUE,"Moderate")</f>
        <v>Low</v>
      </c>
      <c r="O294" t="str">
        <f t="shared" si="4"/>
        <v>Adult</v>
      </c>
    </row>
    <row r="295" spans="1:15">
      <c r="A295" t="s">
        <v>963</v>
      </c>
      <c r="B295" t="s">
        <v>168</v>
      </c>
      <c r="C295" t="s">
        <v>45</v>
      </c>
      <c r="D295" t="s">
        <v>27</v>
      </c>
      <c r="E295" s="2">
        <v>26</v>
      </c>
      <c r="F295" t="s">
        <v>22</v>
      </c>
      <c r="G295" t="s">
        <v>18</v>
      </c>
      <c r="H295" s="2">
        <v>67</v>
      </c>
      <c r="I295" s="3">
        <v>10371</v>
      </c>
      <c r="J295" s="4">
        <v>20.3</v>
      </c>
      <c r="K295" s="2">
        <v>94</v>
      </c>
      <c r="L295" s="2">
        <v>3</v>
      </c>
      <c r="M295" s="3">
        <v>56339</v>
      </c>
      <c r="N295" t="str" cm="1">
        <f t="array" ref="N295">_xlfn.IFS(Table1_3[[#This Row],[Patient Satisfaction Score]]&gt;=83,"High",H295&lt;=75,"Low",TRUE,"Moderate")</f>
        <v>Low</v>
      </c>
      <c r="O295" t="str">
        <f t="shared" si="4"/>
        <v>Adult</v>
      </c>
    </row>
    <row r="296" spans="1:15">
      <c r="A296" t="s">
        <v>90</v>
      </c>
      <c r="B296" t="s">
        <v>33</v>
      </c>
      <c r="C296" t="s">
        <v>26</v>
      </c>
      <c r="D296" t="s">
        <v>16</v>
      </c>
      <c r="E296" s="2">
        <v>27</v>
      </c>
      <c r="F296" t="s">
        <v>22</v>
      </c>
      <c r="G296" t="s">
        <v>31</v>
      </c>
      <c r="H296" s="2">
        <v>90</v>
      </c>
      <c r="I296" s="3">
        <v>3280</v>
      </c>
      <c r="J296" s="4">
        <v>5.51</v>
      </c>
      <c r="K296" s="2">
        <v>38</v>
      </c>
      <c r="L296" s="2">
        <v>4</v>
      </c>
      <c r="M296" s="3">
        <v>9179</v>
      </c>
      <c r="N296" t="str" cm="1">
        <f t="array" ref="N296">_xlfn.IFS(Table1_3[[#This Row],[Patient Satisfaction Score]]&gt;=83,"High",H296&lt;=75,"Low",TRUE,"Moderate")</f>
        <v>High</v>
      </c>
      <c r="O296" t="str">
        <f t="shared" si="4"/>
        <v>Adult</v>
      </c>
    </row>
    <row r="297" spans="1:15">
      <c r="A297" t="s">
        <v>396</v>
      </c>
      <c r="B297" t="s">
        <v>25</v>
      </c>
      <c r="C297" t="s">
        <v>26</v>
      </c>
      <c r="D297" t="s">
        <v>16</v>
      </c>
      <c r="E297" s="2">
        <v>27</v>
      </c>
      <c r="F297" t="s">
        <v>17</v>
      </c>
      <c r="G297" t="s">
        <v>70</v>
      </c>
      <c r="H297" s="2">
        <v>88</v>
      </c>
      <c r="I297" s="3">
        <v>2405</v>
      </c>
      <c r="J297" s="4">
        <v>8.69</v>
      </c>
      <c r="K297" s="2">
        <v>18</v>
      </c>
      <c r="L297" s="2">
        <v>5</v>
      </c>
      <c r="M297" s="3">
        <v>10200</v>
      </c>
      <c r="N297" t="str" cm="1">
        <f t="array" ref="N297">_xlfn.IFS(Table1_3[[#This Row],[Patient Satisfaction Score]]&gt;=83,"High",H297&lt;=75,"Low",TRUE,"Moderate")</f>
        <v>High</v>
      </c>
      <c r="O297" t="str">
        <f t="shared" si="4"/>
        <v>Adult</v>
      </c>
    </row>
    <row r="298" spans="1:15">
      <c r="A298" t="s">
        <v>581</v>
      </c>
      <c r="B298" t="s">
        <v>103</v>
      </c>
      <c r="C298" t="s">
        <v>26</v>
      </c>
      <c r="D298" t="s">
        <v>16</v>
      </c>
      <c r="E298" s="2">
        <v>27</v>
      </c>
      <c r="F298" t="s">
        <v>22</v>
      </c>
      <c r="G298" t="s">
        <v>18</v>
      </c>
      <c r="H298" s="2">
        <v>88</v>
      </c>
      <c r="I298" s="3">
        <v>2751</v>
      </c>
      <c r="J298" s="4">
        <v>3.61</v>
      </c>
      <c r="K298" s="2">
        <v>18</v>
      </c>
      <c r="L298" s="2">
        <v>5</v>
      </c>
      <c r="M298" s="3">
        <v>10722</v>
      </c>
      <c r="N298" t="str" cm="1">
        <f t="array" ref="N298">_xlfn.IFS(Table1_3[[#This Row],[Patient Satisfaction Score]]&gt;=83,"High",H298&lt;=75,"Low",TRUE,"Moderate")</f>
        <v>High</v>
      </c>
      <c r="O298" t="str">
        <f t="shared" si="4"/>
        <v>Adult</v>
      </c>
    </row>
    <row r="299" spans="1:15">
      <c r="A299" t="s">
        <v>625</v>
      </c>
      <c r="B299" t="s">
        <v>25</v>
      </c>
      <c r="C299" t="s">
        <v>26</v>
      </c>
      <c r="D299" t="s">
        <v>72</v>
      </c>
      <c r="E299" s="2">
        <v>27</v>
      </c>
      <c r="F299" t="s">
        <v>34</v>
      </c>
      <c r="G299" t="s">
        <v>23</v>
      </c>
      <c r="H299" s="2">
        <v>83</v>
      </c>
      <c r="I299" s="3">
        <v>2742</v>
      </c>
      <c r="J299" s="4">
        <v>3.13</v>
      </c>
      <c r="K299" s="2">
        <v>51</v>
      </c>
      <c r="L299" s="2">
        <v>4</v>
      </c>
      <c r="M299" s="3">
        <v>16024</v>
      </c>
      <c r="N299" t="str" cm="1">
        <f t="array" ref="N299">_xlfn.IFS(Table1_3[[#This Row],[Patient Satisfaction Score]]&gt;=83,"High",H299&lt;=75,"Low",TRUE,"Moderate")</f>
        <v>High</v>
      </c>
      <c r="O299" t="str">
        <f t="shared" si="4"/>
        <v>Adult</v>
      </c>
    </row>
    <row r="300" spans="1:15">
      <c r="A300" t="s">
        <v>970</v>
      </c>
      <c r="B300" t="s">
        <v>122</v>
      </c>
      <c r="C300" t="s">
        <v>48</v>
      </c>
      <c r="D300" t="s">
        <v>27</v>
      </c>
      <c r="E300" s="2">
        <v>27</v>
      </c>
      <c r="F300" t="s">
        <v>22</v>
      </c>
      <c r="G300" t="s">
        <v>70</v>
      </c>
      <c r="H300" s="2">
        <v>81</v>
      </c>
      <c r="I300" s="3">
        <v>8805</v>
      </c>
      <c r="J300" s="4">
        <v>8.56</v>
      </c>
      <c r="K300" s="2">
        <v>96</v>
      </c>
      <c r="L300" s="2">
        <v>4</v>
      </c>
      <c r="M300" s="3">
        <v>31339</v>
      </c>
      <c r="N300" t="str" cm="1">
        <f t="array" ref="N300">_xlfn.IFS(Table1_3[[#This Row],[Patient Satisfaction Score]]&gt;=83,"High",H300&lt;=75,"Low",TRUE,"Moderate")</f>
        <v>Moderate</v>
      </c>
      <c r="O300" t="str">
        <f t="shared" si="4"/>
        <v>Adult</v>
      </c>
    </row>
    <row r="301" spans="1:15">
      <c r="A301" t="s">
        <v>546</v>
      </c>
      <c r="B301" t="s">
        <v>62</v>
      </c>
      <c r="C301" t="s">
        <v>52</v>
      </c>
      <c r="D301" t="s">
        <v>16</v>
      </c>
      <c r="E301" s="2">
        <v>27</v>
      </c>
      <c r="F301" t="s">
        <v>22</v>
      </c>
      <c r="G301" t="s">
        <v>49</v>
      </c>
      <c r="H301" s="2">
        <v>76</v>
      </c>
      <c r="I301" s="3">
        <v>9898</v>
      </c>
      <c r="J301" s="4">
        <v>19.75</v>
      </c>
      <c r="K301" s="2">
        <v>65</v>
      </c>
      <c r="L301" s="2">
        <v>4</v>
      </c>
      <c r="M301" s="3">
        <v>49992</v>
      </c>
      <c r="N301" t="str" cm="1">
        <f t="array" ref="N301">_xlfn.IFS(Table1_3[[#This Row],[Patient Satisfaction Score]]&gt;=83,"High",H301&lt;=75,"Low",TRUE,"Moderate")</f>
        <v>Moderate</v>
      </c>
      <c r="O301" t="str">
        <f t="shared" si="4"/>
        <v>Adult</v>
      </c>
    </row>
    <row r="302" spans="1:15">
      <c r="A302" t="s">
        <v>658</v>
      </c>
      <c r="B302" t="s">
        <v>62</v>
      </c>
      <c r="C302" t="s">
        <v>52</v>
      </c>
      <c r="D302" t="s">
        <v>16</v>
      </c>
      <c r="E302" s="2">
        <v>27</v>
      </c>
      <c r="F302" t="s">
        <v>17</v>
      </c>
      <c r="G302" t="s">
        <v>70</v>
      </c>
      <c r="H302" s="2">
        <v>70</v>
      </c>
      <c r="I302" s="3">
        <v>8028</v>
      </c>
      <c r="J302" s="4">
        <v>15.89</v>
      </c>
      <c r="K302" s="2">
        <v>79</v>
      </c>
      <c r="L302" s="2">
        <v>4</v>
      </c>
      <c r="M302" s="3">
        <v>33655</v>
      </c>
      <c r="N302" t="str" cm="1">
        <f t="array" ref="N302">_xlfn.IFS(Table1_3[[#This Row],[Patient Satisfaction Score]]&gt;=83,"High",H302&lt;=75,"Low",TRUE,"Moderate")</f>
        <v>Low</v>
      </c>
      <c r="O302" t="str">
        <f t="shared" si="4"/>
        <v>Adult</v>
      </c>
    </row>
    <row r="303" spans="1:15">
      <c r="A303" t="s">
        <v>442</v>
      </c>
      <c r="B303" t="s">
        <v>143</v>
      </c>
      <c r="C303" t="s">
        <v>21</v>
      </c>
      <c r="D303" t="s">
        <v>16</v>
      </c>
      <c r="E303" s="2">
        <v>27</v>
      </c>
      <c r="F303" t="s">
        <v>17</v>
      </c>
      <c r="G303" t="s">
        <v>40</v>
      </c>
      <c r="H303" s="2">
        <v>80</v>
      </c>
      <c r="I303" s="3">
        <v>5205</v>
      </c>
      <c r="J303" s="4">
        <v>17.600000000000001</v>
      </c>
      <c r="K303" s="2">
        <v>81</v>
      </c>
      <c r="L303" s="2">
        <v>4</v>
      </c>
      <c r="M303" s="3">
        <v>16734</v>
      </c>
      <c r="N303" t="str" cm="1">
        <f t="array" ref="N303">_xlfn.IFS(Table1_3[[#This Row],[Patient Satisfaction Score]]&gt;=83,"High",H303&lt;=75,"Low",TRUE,"Moderate")</f>
        <v>Moderate</v>
      </c>
      <c r="O303" t="str">
        <f t="shared" si="4"/>
        <v>Adult</v>
      </c>
    </row>
    <row r="304" spans="1:15">
      <c r="A304" t="s">
        <v>628</v>
      </c>
      <c r="B304" t="s">
        <v>129</v>
      </c>
      <c r="C304" t="s">
        <v>21</v>
      </c>
      <c r="D304" t="s">
        <v>72</v>
      </c>
      <c r="E304" s="2">
        <v>27</v>
      </c>
      <c r="F304" t="s">
        <v>34</v>
      </c>
      <c r="G304" t="s">
        <v>23</v>
      </c>
      <c r="H304" s="2">
        <v>82</v>
      </c>
      <c r="I304" s="3">
        <v>6545</v>
      </c>
      <c r="J304" s="4">
        <v>7.13</v>
      </c>
      <c r="K304" s="2">
        <v>100</v>
      </c>
      <c r="L304" s="2">
        <v>4</v>
      </c>
      <c r="M304" s="3">
        <v>31150</v>
      </c>
      <c r="N304" t="str" cm="1">
        <f t="array" ref="N304">_xlfn.IFS(Table1_3[[#This Row],[Patient Satisfaction Score]]&gt;=83,"High",H304&lt;=75,"Low",TRUE,"Moderate")</f>
        <v>Moderate</v>
      </c>
      <c r="O304" t="str">
        <f t="shared" si="4"/>
        <v>Adult</v>
      </c>
    </row>
    <row r="305" spans="1:15">
      <c r="A305" t="s">
        <v>811</v>
      </c>
      <c r="B305" t="s">
        <v>20</v>
      </c>
      <c r="C305" t="s">
        <v>21</v>
      </c>
      <c r="D305" t="s">
        <v>16</v>
      </c>
      <c r="E305" s="2">
        <v>27</v>
      </c>
      <c r="F305" t="s">
        <v>34</v>
      </c>
      <c r="G305" t="s">
        <v>18</v>
      </c>
      <c r="H305" s="2">
        <v>81</v>
      </c>
      <c r="I305" s="3">
        <v>5405</v>
      </c>
      <c r="J305" s="4">
        <v>15.53</v>
      </c>
      <c r="K305" s="2">
        <v>109</v>
      </c>
      <c r="L305" s="2">
        <v>4</v>
      </c>
      <c r="M305" s="3">
        <v>26629</v>
      </c>
      <c r="N305" t="str" cm="1">
        <f t="array" ref="N305">_xlfn.IFS(Table1_3[[#This Row],[Patient Satisfaction Score]]&gt;=83,"High",H305&lt;=75,"Low",TRUE,"Moderate")</f>
        <v>Moderate</v>
      </c>
      <c r="O305" t="str">
        <f t="shared" si="4"/>
        <v>Adult</v>
      </c>
    </row>
    <row r="306" spans="1:15">
      <c r="A306" t="s">
        <v>756</v>
      </c>
      <c r="B306" t="s">
        <v>74</v>
      </c>
      <c r="C306" t="s">
        <v>45</v>
      </c>
      <c r="D306" t="s">
        <v>27</v>
      </c>
      <c r="E306" s="2">
        <v>27</v>
      </c>
      <c r="F306" t="s">
        <v>34</v>
      </c>
      <c r="G306" t="s">
        <v>18</v>
      </c>
      <c r="H306" s="2">
        <v>80</v>
      </c>
      <c r="I306" s="3">
        <v>10174</v>
      </c>
      <c r="J306" s="4">
        <v>10.47</v>
      </c>
      <c r="K306" s="2">
        <v>95</v>
      </c>
      <c r="L306" s="2">
        <v>4</v>
      </c>
      <c r="M306" s="3">
        <v>34175</v>
      </c>
      <c r="N306" t="str" cm="1">
        <f t="array" ref="N306">_xlfn.IFS(Table1_3[[#This Row],[Patient Satisfaction Score]]&gt;=83,"High",H306&lt;=75,"Low",TRUE,"Moderate")</f>
        <v>Moderate</v>
      </c>
      <c r="O306" t="str">
        <f t="shared" si="4"/>
        <v>Adult</v>
      </c>
    </row>
    <row r="307" spans="1:15">
      <c r="A307" t="s">
        <v>828</v>
      </c>
      <c r="B307" t="s">
        <v>44</v>
      </c>
      <c r="C307" t="s">
        <v>45</v>
      </c>
      <c r="D307" t="s">
        <v>16</v>
      </c>
      <c r="E307" s="2">
        <v>27</v>
      </c>
      <c r="F307" t="s">
        <v>17</v>
      </c>
      <c r="G307" t="s">
        <v>49</v>
      </c>
      <c r="H307" s="2">
        <v>68</v>
      </c>
      <c r="I307" s="3">
        <v>9247</v>
      </c>
      <c r="J307" s="4">
        <v>28.67</v>
      </c>
      <c r="K307" s="2">
        <v>94</v>
      </c>
      <c r="L307" s="2">
        <v>3</v>
      </c>
      <c r="M307" s="3">
        <v>33930</v>
      </c>
      <c r="N307" t="str" cm="1">
        <f t="array" ref="N307">_xlfn.IFS(Table1_3[[#This Row],[Patient Satisfaction Score]]&gt;=83,"High",H307&lt;=75,"Low",TRUE,"Moderate")</f>
        <v>Low</v>
      </c>
      <c r="O307" t="str">
        <f t="shared" si="4"/>
        <v>Adult</v>
      </c>
    </row>
    <row r="308" spans="1:15">
      <c r="A308" t="s">
        <v>79</v>
      </c>
      <c r="B308" t="s">
        <v>80</v>
      </c>
      <c r="C308" t="s">
        <v>15</v>
      </c>
      <c r="D308" t="s">
        <v>27</v>
      </c>
      <c r="E308" s="2">
        <v>27</v>
      </c>
      <c r="F308" t="s">
        <v>34</v>
      </c>
      <c r="G308" t="s">
        <v>23</v>
      </c>
      <c r="H308" s="2">
        <v>82</v>
      </c>
      <c r="I308" s="3">
        <v>5082</v>
      </c>
      <c r="J308" s="4">
        <v>12.91</v>
      </c>
      <c r="K308" s="2">
        <v>87</v>
      </c>
      <c r="L308" s="2">
        <v>4</v>
      </c>
      <c r="M308" s="3">
        <v>23931</v>
      </c>
      <c r="N308" t="str" cm="1">
        <f t="array" ref="N308">_xlfn.IFS(Table1_3[[#This Row],[Patient Satisfaction Score]]&gt;=83,"High",H308&lt;=75,"Low",TRUE,"Moderate")</f>
        <v>Moderate</v>
      </c>
      <c r="O308" t="str">
        <f t="shared" si="4"/>
        <v>Adult</v>
      </c>
    </row>
    <row r="309" spans="1:15">
      <c r="A309" t="s">
        <v>299</v>
      </c>
      <c r="B309" t="s">
        <v>25</v>
      </c>
      <c r="C309" t="s">
        <v>26</v>
      </c>
      <c r="D309" t="s">
        <v>27</v>
      </c>
      <c r="E309" s="2">
        <v>28</v>
      </c>
      <c r="F309" t="s">
        <v>17</v>
      </c>
      <c r="G309" t="s">
        <v>70</v>
      </c>
      <c r="H309" s="2">
        <v>92</v>
      </c>
      <c r="I309" s="3">
        <v>2286</v>
      </c>
      <c r="J309" s="4">
        <v>2.83</v>
      </c>
      <c r="K309" s="2">
        <v>38</v>
      </c>
      <c r="L309" s="2">
        <v>4</v>
      </c>
      <c r="M309" s="3">
        <v>10205</v>
      </c>
      <c r="N309" t="str" cm="1">
        <f t="array" ref="N309">_xlfn.IFS(Table1_3[[#This Row],[Patient Satisfaction Score]]&gt;=83,"High",H309&lt;=75,"Low",TRUE,"Moderate")</f>
        <v>High</v>
      </c>
      <c r="O309" t="str">
        <f t="shared" si="4"/>
        <v>Adult</v>
      </c>
    </row>
    <row r="310" spans="1:15">
      <c r="A310" t="s">
        <v>564</v>
      </c>
      <c r="B310" t="s">
        <v>25</v>
      </c>
      <c r="C310" t="s">
        <v>26</v>
      </c>
      <c r="D310" t="s">
        <v>16</v>
      </c>
      <c r="E310" s="2">
        <v>28</v>
      </c>
      <c r="F310" t="s">
        <v>17</v>
      </c>
      <c r="G310" t="s">
        <v>31</v>
      </c>
      <c r="H310" s="2">
        <v>79</v>
      </c>
      <c r="I310" s="3">
        <v>2930</v>
      </c>
      <c r="J310" s="4">
        <v>5.56</v>
      </c>
      <c r="K310" s="2">
        <v>46</v>
      </c>
      <c r="L310" s="2">
        <v>4</v>
      </c>
      <c r="M310" s="3">
        <v>8796</v>
      </c>
      <c r="N310" t="str" cm="1">
        <f t="array" ref="N310">_xlfn.IFS(Table1_3[[#This Row],[Patient Satisfaction Score]]&gt;=83,"High",H310&lt;=75,"Low",TRUE,"Moderate")</f>
        <v>Moderate</v>
      </c>
      <c r="O310" t="str">
        <f t="shared" si="4"/>
        <v>Adult</v>
      </c>
    </row>
    <row r="311" spans="1:15">
      <c r="A311" t="s">
        <v>457</v>
      </c>
      <c r="B311" t="s">
        <v>150</v>
      </c>
      <c r="C311" t="s">
        <v>48</v>
      </c>
      <c r="D311" t="s">
        <v>16</v>
      </c>
      <c r="E311" s="2">
        <v>28</v>
      </c>
      <c r="F311" t="s">
        <v>22</v>
      </c>
      <c r="G311" t="s">
        <v>70</v>
      </c>
      <c r="H311" s="2">
        <v>72</v>
      </c>
      <c r="I311" s="3">
        <v>4784</v>
      </c>
      <c r="J311" s="4">
        <v>14.8</v>
      </c>
      <c r="K311" s="2">
        <v>62</v>
      </c>
      <c r="L311" s="2">
        <v>4</v>
      </c>
      <c r="M311" s="3">
        <v>23044</v>
      </c>
      <c r="N311" t="str" cm="1">
        <f t="array" ref="N311">_xlfn.IFS(Table1_3[[#This Row],[Patient Satisfaction Score]]&gt;=83,"High",H311&lt;=75,"Low",TRUE,"Moderate")</f>
        <v>Low</v>
      </c>
      <c r="O311" t="str">
        <f t="shared" si="4"/>
        <v>Adult</v>
      </c>
    </row>
    <row r="312" spans="1:15">
      <c r="A312" t="s">
        <v>384</v>
      </c>
      <c r="B312" t="s">
        <v>60</v>
      </c>
      <c r="C312" t="s">
        <v>52</v>
      </c>
      <c r="D312" t="s">
        <v>72</v>
      </c>
      <c r="E312" s="2">
        <v>28</v>
      </c>
      <c r="F312" t="s">
        <v>17</v>
      </c>
      <c r="G312" t="s">
        <v>23</v>
      </c>
      <c r="H312" s="2">
        <v>85</v>
      </c>
      <c r="I312" s="3">
        <v>7625</v>
      </c>
      <c r="J312" s="4">
        <v>15.87</v>
      </c>
      <c r="K312" s="2">
        <v>54</v>
      </c>
      <c r="L312" s="2">
        <v>4</v>
      </c>
      <c r="M312" s="3">
        <v>37949</v>
      </c>
      <c r="N312" t="str" cm="1">
        <f t="array" ref="N312">_xlfn.IFS(Table1_3[[#This Row],[Patient Satisfaction Score]]&gt;=83,"High",H312&lt;=75,"Low",TRUE,"Moderate")</f>
        <v>High</v>
      </c>
      <c r="O312" t="str">
        <f t="shared" si="4"/>
        <v>Adult</v>
      </c>
    </row>
    <row r="313" spans="1:15">
      <c r="A313" t="s">
        <v>525</v>
      </c>
      <c r="B313" t="s">
        <v>95</v>
      </c>
      <c r="C313" t="s">
        <v>52</v>
      </c>
      <c r="D313" t="s">
        <v>16</v>
      </c>
      <c r="E313" s="2">
        <v>28</v>
      </c>
      <c r="F313" t="s">
        <v>17</v>
      </c>
      <c r="G313" t="s">
        <v>40</v>
      </c>
      <c r="H313" s="2">
        <v>76</v>
      </c>
      <c r="I313" s="3">
        <v>6187</v>
      </c>
      <c r="J313" s="4">
        <v>15.38</v>
      </c>
      <c r="K313" s="2">
        <v>75</v>
      </c>
      <c r="L313" s="2">
        <v>4</v>
      </c>
      <c r="M313" s="3">
        <v>34272</v>
      </c>
      <c r="N313" t="str" cm="1">
        <f t="array" ref="N313">_xlfn.IFS(Table1_3[[#This Row],[Patient Satisfaction Score]]&gt;=83,"High",H313&lt;=75,"Low",TRUE,"Moderate")</f>
        <v>Moderate</v>
      </c>
      <c r="O313" t="str">
        <f t="shared" si="4"/>
        <v>Adult</v>
      </c>
    </row>
    <row r="314" spans="1:15">
      <c r="A314" t="s">
        <v>43</v>
      </c>
      <c r="B314" t="s">
        <v>44</v>
      </c>
      <c r="C314" t="s">
        <v>45</v>
      </c>
      <c r="D314" t="s">
        <v>27</v>
      </c>
      <c r="E314" s="2">
        <v>28</v>
      </c>
      <c r="F314" t="s">
        <v>34</v>
      </c>
      <c r="G314" t="s">
        <v>23</v>
      </c>
      <c r="H314" s="2">
        <v>71</v>
      </c>
      <c r="I314" s="3">
        <v>9596</v>
      </c>
      <c r="J314" s="4">
        <v>20.9</v>
      </c>
      <c r="K314" s="2">
        <v>88</v>
      </c>
      <c r="L314" s="2">
        <v>3</v>
      </c>
      <c r="M314" s="3">
        <v>34434</v>
      </c>
      <c r="N314" t="str" cm="1">
        <f t="array" ref="N314">_xlfn.IFS(Table1_3[[#This Row],[Patient Satisfaction Score]]&gt;=83,"High",H314&lt;=75,"Low",TRUE,"Moderate")</f>
        <v>Low</v>
      </c>
      <c r="O314" t="str">
        <f t="shared" si="4"/>
        <v>Adult</v>
      </c>
    </row>
    <row r="315" spans="1:15">
      <c r="A315" t="s">
        <v>55</v>
      </c>
      <c r="B315" t="s">
        <v>56</v>
      </c>
      <c r="C315" t="s">
        <v>45</v>
      </c>
      <c r="D315" t="s">
        <v>27</v>
      </c>
      <c r="E315" s="2">
        <v>28</v>
      </c>
      <c r="F315" t="s">
        <v>34</v>
      </c>
      <c r="G315" t="s">
        <v>18</v>
      </c>
      <c r="H315" s="2">
        <v>73</v>
      </c>
      <c r="I315" s="3">
        <v>10647</v>
      </c>
      <c r="J315" s="4">
        <v>18.32</v>
      </c>
      <c r="K315" s="2">
        <v>84</v>
      </c>
      <c r="L315" s="2">
        <v>4</v>
      </c>
      <c r="M315" s="3">
        <v>59878</v>
      </c>
      <c r="N315" t="str" cm="1">
        <f t="array" ref="N315">_xlfn.IFS(Table1_3[[#This Row],[Patient Satisfaction Score]]&gt;=83,"High",H315&lt;=75,"Low",TRUE,"Moderate")</f>
        <v>Low</v>
      </c>
      <c r="O315" t="str">
        <f t="shared" si="4"/>
        <v>Adult</v>
      </c>
    </row>
    <row r="316" spans="1:15">
      <c r="A316" t="s">
        <v>311</v>
      </c>
      <c r="B316" t="s">
        <v>64</v>
      </c>
      <c r="C316" t="s">
        <v>30</v>
      </c>
      <c r="D316" t="s">
        <v>27</v>
      </c>
      <c r="E316" s="2">
        <v>28</v>
      </c>
      <c r="F316" t="s">
        <v>17</v>
      </c>
      <c r="G316" t="s">
        <v>49</v>
      </c>
      <c r="H316" s="2">
        <v>79</v>
      </c>
      <c r="I316" s="3">
        <v>3689</v>
      </c>
      <c r="J316" s="4">
        <v>19.22</v>
      </c>
      <c r="K316" s="2">
        <v>121</v>
      </c>
      <c r="L316" s="2">
        <v>4</v>
      </c>
      <c r="M316" s="3">
        <v>13281</v>
      </c>
      <c r="N316" t="str" cm="1">
        <f t="array" ref="N316">_xlfn.IFS(Table1_3[[#This Row],[Patient Satisfaction Score]]&gt;=83,"High",H316&lt;=75,"Low",TRUE,"Moderate")</f>
        <v>Moderate</v>
      </c>
      <c r="O316" t="str">
        <f t="shared" si="4"/>
        <v>Adult</v>
      </c>
    </row>
    <row r="317" spans="1:15">
      <c r="A317" t="s">
        <v>417</v>
      </c>
      <c r="B317" t="s">
        <v>64</v>
      </c>
      <c r="C317" t="s">
        <v>30</v>
      </c>
      <c r="D317" t="s">
        <v>16</v>
      </c>
      <c r="E317" s="2">
        <v>28</v>
      </c>
      <c r="F317" t="s">
        <v>22</v>
      </c>
      <c r="G317" t="s">
        <v>70</v>
      </c>
      <c r="H317" s="2">
        <v>79</v>
      </c>
      <c r="I317" s="3">
        <v>2276</v>
      </c>
      <c r="J317" s="4">
        <v>17.489999999999998</v>
      </c>
      <c r="K317" s="2">
        <v>96</v>
      </c>
      <c r="L317" s="2">
        <v>3</v>
      </c>
      <c r="M317" s="3">
        <v>13405</v>
      </c>
      <c r="N317" t="str" cm="1">
        <f t="array" ref="N317">_xlfn.IFS(Table1_3[[#This Row],[Patient Satisfaction Score]]&gt;=83,"High",H317&lt;=75,"Low",TRUE,"Moderate")</f>
        <v>Moderate</v>
      </c>
      <c r="O317" t="str">
        <f t="shared" si="4"/>
        <v>Adult</v>
      </c>
    </row>
    <row r="318" spans="1:15">
      <c r="A318" t="s">
        <v>1045</v>
      </c>
      <c r="B318" t="s">
        <v>97</v>
      </c>
      <c r="C318" t="s">
        <v>30</v>
      </c>
      <c r="D318" t="s">
        <v>27</v>
      </c>
      <c r="E318" s="2">
        <v>28</v>
      </c>
      <c r="F318" t="s">
        <v>22</v>
      </c>
      <c r="G318" t="s">
        <v>23</v>
      </c>
      <c r="H318" s="2">
        <v>73</v>
      </c>
      <c r="I318" s="3">
        <v>3005</v>
      </c>
      <c r="J318" s="4">
        <v>16.59</v>
      </c>
      <c r="K318" s="2">
        <v>95</v>
      </c>
      <c r="L318" s="2">
        <v>4</v>
      </c>
      <c r="M318" s="3">
        <v>13693</v>
      </c>
      <c r="N318" t="str" cm="1">
        <f t="array" ref="N318">_xlfn.IFS(Table1_3[[#This Row],[Patient Satisfaction Score]]&gt;=83,"High",H318&lt;=75,"Low",TRUE,"Moderate")</f>
        <v>Low</v>
      </c>
      <c r="O318" t="str">
        <f t="shared" si="4"/>
        <v>Adult</v>
      </c>
    </row>
    <row r="319" spans="1:15">
      <c r="A319" t="s">
        <v>476</v>
      </c>
      <c r="B319" t="s">
        <v>137</v>
      </c>
      <c r="C319" t="s">
        <v>26</v>
      </c>
      <c r="D319" t="s">
        <v>27</v>
      </c>
      <c r="E319" s="2">
        <v>29</v>
      </c>
      <c r="F319" t="s">
        <v>17</v>
      </c>
      <c r="G319" t="s">
        <v>18</v>
      </c>
      <c r="H319" s="2">
        <v>93</v>
      </c>
      <c r="I319" s="3">
        <v>2271</v>
      </c>
      <c r="J319" s="4">
        <v>5.73</v>
      </c>
      <c r="K319" s="2">
        <v>19</v>
      </c>
      <c r="L319" s="2">
        <v>4</v>
      </c>
      <c r="M319" s="3">
        <v>6845</v>
      </c>
      <c r="N319" t="str" cm="1">
        <f t="array" ref="N319">_xlfn.IFS(Table1_3[[#This Row],[Patient Satisfaction Score]]&gt;=83,"High",H319&lt;=75,"Low",TRUE,"Moderate")</f>
        <v>High</v>
      </c>
      <c r="O319" t="str">
        <f t="shared" si="4"/>
        <v>Adult</v>
      </c>
    </row>
    <row r="320" spans="1:15">
      <c r="A320" t="s">
        <v>687</v>
      </c>
      <c r="B320" t="s">
        <v>33</v>
      </c>
      <c r="C320" t="s">
        <v>26</v>
      </c>
      <c r="D320" t="s">
        <v>16</v>
      </c>
      <c r="E320" s="2">
        <v>29</v>
      </c>
      <c r="F320" t="s">
        <v>22</v>
      </c>
      <c r="G320" t="s">
        <v>18</v>
      </c>
      <c r="H320" s="2">
        <v>80</v>
      </c>
      <c r="I320" s="3">
        <v>2397</v>
      </c>
      <c r="J320" s="4">
        <v>0.31</v>
      </c>
      <c r="K320" s="2">
        <v>47</v>
      </c>
      <c r="L320" s="2">
        <v>4</v>
      </c>
      <c r="M320" s="3">
        <v>8647</v>
      </c>
      <c r="N320" t="str" cm="1">
        <f t="array" ref="N320">_xlfn.IFS(Table1_3[[#This Row],[Patient Satisfaction Score]]&gt;=83,"High",H320&lt;=75,"Low",TRUE,"Moderate")</f>
        <v>Moderate</v>
      </c>
      <c r="O320" t="str">
        <f t="shared" si="4"/>
        <v>Adult</v>
      </c>
    </row>
    <row r="321" spans="1:15">
      <c r="A321" t="s">
        <v>997</v>
      </c>
      <c r="B321" t="s">
        <v>137</v>
      </c>
      <c r="C321" t="s">
        <v>26</v>
      </c>
      <c r="D321" t="s">
        <v>27</v>
      </c>
      <c r="E321" s="2">
        <v>29</v>
      </c>
      <c r="F321" t="s">
        <v>17</v>
      </c>
      <c r="G321" t="s">
        <v>49</v>
      </c>
      <c r="H321" s="2">
        <v>86</v>
      </c>
      <c r="I321" s="3">
        <v>2138</v>
      </c>
      <c r="J321" s="4">
        <v>3.6</v>
      </c>
      <c r="K321" s="2">
        <v>26</v>
      </c>
      <c r="L321" s="2">
        <v>4</v>
      </c>
      <c r="M321" s="3">
        <v>8752</v>
      </c>
      <c r="N321" t="str" cm="1">
        <f t="array" ref="N321">_xlfn.IFS(Table1_3[[#This Row],[Patient Satisfaction Score]]&gt;=83,"High",H321&lt;=75,"Low",TRUE,"Moderate")</f>
        <v>High</v>
      </c>
      <c r="O321" t="str">
        <f t="shared" si="4"/>
        <v>Adult</v>
      </c>
    </row>
    <row r="322" spans="1:15">
      <c r="A322" t="s">
        <v>511</v>
      </c>
      <c r="B322" t="s">
        <v>135</v>
      </c>
      <c r="C322" t="s">
        <v>48</v>
      </c>
      <c r="D322" t="s">
        <v>27</v>
      </c>
      <c r="E322" s="2">
        <v>29</v>
      </c>
      <c r="F322" t="s">
        <v>34</v>
      </c>
      <c r="G322" t="s">
        <v>40</v>
      </c>
      <c r="H322" s="2">
        <v>87</v>
      </c>
      <c r="I322" s="3">
        <v>6492</v>
      </c>
      <c r="J322" s="4">
        <v>11.25</v>
      </c>
      <c r="K322" s="2">
        <v>30</v>
      </c>
      <c r="L322" s="2">
        <v>5</v>
      </c>
      <c r="M322" s="3">
        <v>16972</v>
      </c>
      <c r="N322" t="str" cm="1">
        <f t="array" ref="N322">_xlfn.IFS(Table1_3[[#This Row],[Patient Satisfaction Score]]&gt;=83,"High",H322&lt;=75,"Low",TRUE,"Moderate")</f>
        <v>High</v>
      </c>
      <c r="O322" t="str">
        <f t="shared" ref="O322:O385" si="5">IF(E322&lt;19,"Pediatric","Adult")</f>
        <v>Adult</v>
      </c>
    </row>
    <row r="323" spans="1:15">
      <c r="A323" t="s">
        <v>659</v>
      </c>
      <c r="B323" t="s">
        <v>150</v>
      </c>
      <c r="C323" t="s">
        <v>48</v>
      </c>
      <c r="D323" t="s">
        <v>16</v>
      </c>
      <c r="E323" s="2">
        <v>29</v>
      </c>
      <c r="F323" t="s">
        <v>17</v>
      </c>
      <c r="G323" t="s">
        <v>70</v>
      </c>
      <c r="H323" s="2">
        <v>89</v>
      </c>
      <c r="I323" s="3">
        <v>5141</v>
      </c>
      <c r="J323" s="4">
        <v>9.56</v>
      </c>
      <c r="K323" s="2">
        <v>72</v>
      </c>
      <c r="L323" s="2">
        <v>4</v>
      </c>
      <c r="M323" s="3">
        <v>13967</v>
      </c>
      <c r="N323" t="str" cm="1">
        <f t="array" ref="N323">_xlfn.IFS(Table1_3[[#This Row],[Patient Satisfaction Score]]&gt;=83,"High",H323&lt;=75,"Low",TRUE,"Moderate")</f>
        <v>High</v>
      </c>
      <c r="O323" t="str">
        <f t="shared" si="5"/>
        <v>Adult</v>
      </c>
    </row>
    <row r="324" spans="1:15">
      <c r="A324" t="s">
        <v>679</v>
      </c>
      <c r="B324" t="s">
        <v>58</v>
      </c>
      <c r="C324" t="s">
        <v>48</v>
      </c>
      <c r="D324" t="s">
        <v>16</v>
      </c>
      <c r="E324" s="2">
        <v>29</v>
      </c>
      <c r="F324" t="s">
        <v>34</v>
      </c>
      <c r="G324" t="s">
        <v>23</v>
      </c>
      <c r="H324" s="2">
        <v>76</v>
      </c>
      <c r="I324" s="3">
        <v>3361</v>
      </c>
      <c r="J324" s="4">
        <v>17.28</v>
      </c>
      <c r="K324" s="2">
        <v>74</v>
      </c>
      <c r="L324" s="2">
        <v>4</v>
      </c>
      <c r="M324" s="3">
        <v>18124</v>
      </c>
      <c r="N324" t="str" cm="1">
        <f t="array" ref="N324">_xlfn.IFS(Table1_3[[#This Row],[Patient Satisfaction Score]]&gt;=83,"High",H324&lt;=75,"Low",TRUE,"Moderate")</f>
        <v>Moderate</v>
      </c>
      <c r="O324" t="str">
        <f t="shared" si="5"/>
        <v>Adult</v>
      </c>
    </row>
    <row r="325" spans="1:15">
      <c r="A325" t="s">
        <v>843</v>
      </c>
      <c r="B325" t="s">
        <v>135</v>
      </c>
      <c r="C325" t="s">
        <v>48</v>
      </c>
      <c r="D325" t="s">
        <v>27</v>
      </c>
      <c r="E325" s="2">
        <v>29</v>
      </c>
      <c r="F325" t="s">
        <v>22</v>
      </c>
      <c r="G325" t="s">
        <v>49</v>
      </c>
      <c r="H325" s="2">
        <v>74</v>
      </c>
      <c r="I325" s="3">
        <v>5209</v>
      </c>
      <c r="J325" s="4">
        <v>13.85</v>
      </c>
      <c r="K325" s="2">
        <v>98</v>
      </c>
      <c r="L325" s="2">
        <v>3</v>
      </c>
      <c r="M325" s="3">
        <v>27748</v>
      </c>
      <c r="N325" t="str" cm="1">
        <f t="array" ref="N325">_xlfn.IFS(Table1_3[[#This Row],[Patient Satisfaction Score]]&gt;=83,"High",H325&lt;=75,"Low",TRUE,"Moderate")</f>
        <v>Low</v>
      </c>
      <c r="O325" t="str">
        <f t="shared" si="5"/>
        <v>Adult</v>
      </c>
    </row>
    <row r="326" spans="1:15">
      <c r="A326" t="s">
        <v>362</v>
      </c>
      <c r="B326" t="s">
        <v>84</v>
      </c>
      <c r="C326" t="s">
        <v>21</v>
      </c>
      <c r="D326" t="s">
        <v>27</v>
      </c>
      <c r="E326" s="2">
        <v>29</v>
      </c>
      <c r="F326" t="s">
        <v>22</v>
      </c>
      <c r="G326" t="s">
        <v>23</v>
      </c>
      <c r="H326" s="2">
        <v>78</v>
      </c>
      <c r="I326" s="3">
        <v>7578</v>
      </c>
      <c r="J326" s="4">
        <v>14.22</v>
      </c>
      <c r="K326" s="2">
        <v>71</v>
      </c>
      <c r="L326" s="2">
        <v>3</v>
      </c>
      <c r="M326" s="3">
        <v>24939</v>
      </c>
      <c r="N326" t="str" cm="1">
        <f t="array" ref="N326">_xlfn.IFS(Table1_3[[#This Row],[Patient Satisfaction Score]]&gt;=83,"High",H326&lt;=75,"Low",TRUE,"Moderate")</f>
        <v>Moderate</v>
      </c>
      <c r="O326" t="str">
        <f t="shared" si="5"/>
        <v>Adult</v>
      </c>
    </row>
    <row r="327" spans="1:15">
      <c r="A327" t="s">
        <v>662</v>
      </c>
      <c r="B327" t="s">
        <v>143</v>
      </c>
      <c r="C327" t="s">
        <v>21</v>
      </c>
      <c r="D327" t="s">
        <v>16</v>
      </c>
      <c r="E327" s="2">
        <v>29</v>
      </c>
      <c r="F327" t="s">
        <v>17</v>
      </c>
      <c r="G327" t="s">
        <v>49</v>
      </c>
      <c r="H327" s="2">
        <v>80</v>
      </c>
      <c r="I327" s="3">
        <v>8578</v>
      </c>
      <c r="J327" s="4">
        <v>18.21</v>
      </c>
      <c r="K327" s="2">
        <v>84</v>
      </c>
      <c r="L327" s="2">
        <v>3</v>
      </c>
      <c r="M327" s="3">
        <v>35124</v>
      </c>
      <c r="N327" t="str" cm="1">
        <f t="array" ref="N327">_xlfn.IFS(Table1_3[[#This Row],[Patient Satisfaction Score]]&gt;=83,"High",H327&lt;=75,"Low",TRUE,"Moderate")</f>
        <v>Moderate</v>
      </c>
      <c r="O327" t="str">
        <f t="shared" si="5"/>
        <v>Adult</v>
      </c>
    </row>
    <row r="328" spans="1:15">
      <c r="A328" t="s">
        <v>866</v>
      </c>
      <c r="B328" t="s">
        <v>36</v>
      </c>
      <c r="C328" t="s">
        <v>21</v>
      </c>
      <c r="D328" t="s">
        <v>16</v>
      </c>
      <c r="E328" s="2">
        <v>29</v>
      </c>
      <c r="F328" t="s">
        <v>17</v>
      </c>
      <c r="G328" t="s">
        <v>18</v>
      </c>
      <c r="H328" s="2">
        <v>71</v>
      </c>
      <c r="I328" s="3">
        <v>5577</v>
      </c>
      <c r="J328" s="4">
        <v>17.579999999999998</v>
      </c>
      <c r="K328" s="2">
        <v>107</v>
      </c>
      <c r="L328" s="2">
        <v>3</v>
      </c>
      <c r="M328" s="3">
        <v>32353</v>
      </c>
      <c r="N328" t="str" cm="1">
        <f t="array" ref="N328">_xlfn.IFS(Table1_3[[#This Row],[Patient Satisfaction Score]]&gt;=83,"High",H328&lt;=75,"Low",TRUE,"Moderate")</f>
        <v>Low</v>
      </c>
      <c r="O328" t="str">
        <f t="shared" si="5"/>
        <v>Adult</v>
      </c>
    </row>
    <row r="329" spans="1:15">
      <c r="A329" t="s">
        <v>1018</v>
      </c>
      <c r="B329" t="s">
        <v>143</v>
      </c>
      <c r="C329" t="s">
        <v>21</v>
      </c>
      <c r="D329" t="s">
        <v>16</v>
      </c>
      <c r="E329" s="2">
        <v>29</v>
      </c>
      <c r="F329" t="s">
        <v>17</v>
      </c>
      <c r="G329" t="s">
        <v>49</v>
      </c>
      <c r="H329" s="2">
        <v>75</v>
      </c>
      <c r="I329" s="3">
        <v>3571</v>
      </c>
      <c r="J329" s="4">
        <v>16.34</v>
      </c>
      <c r="K329" s="2">
        <v>80</v>
      </c>
      <c r="L329" s="2">
        <v>4</v>
      </c>
      <c r="M329" s="3">
        <v>13114</v>
      </c>
      <c r="N329" t="str" cm="1">
        <f t="array" ref="N329">_xlfn.IFS(Table1_3[[#This Row],[Patient Satisfaction Score]]&gt;=83,"High",H329&lt;=75,"Low",TRUE,"Moderate")</f>
        <v>Low</v>
      </c>
      <c r="O329" t="str">
        <f t="shared" si="5"/>
        <v>Adult</v>
      </c>
    </row>
    <row r="330" spans="1:15">
      <c r="A330" t="s">
        <v>348</v>
      </c>
      <c r="B330" t="s">
        <v>44</v>
      </c>
      <c r="C330" t="s">
        <v>45</v>
      </c>
      <c r="D330" t="s">
        <v>16</v>
      </c>
      <c r="E330" s="2">
        <v>29</v>
      </c>
      <c r="F330" t="s">
        <v>17</v>
      </c>
      <c r="G330" t="s">
        <v>18</v>
      </c>
      <c r="H330" s="2">
        <v>67</v>
      </c>
      <c r="I330" s="3">
        <v>8697</v>
      </c>
      <c r="J330" s="4">
        <v>15.11</v>
      </c>
      <c r="K330" s="2">
        <v>82</v>
      </c>
      <c r="L330" s="2">
        <v>4</v>
      </c>
      <c r="M330" s="3">
        <v>39411</v>
      </c>
      <c r="N330" t="str" cm="1">
        <f t="array" ref="N330">_xlfn.IFS(Table1_3[[#This Row],[Patient Satisfaction Score]]&gt;=83,"High",H330&lt;=75,"Low",TRUE,"Moderate")</f>
        <v>Low</v>
      </c>
      <c r="O330" t="str">
        <f t="shared" si="5"/>
        <v>Adult</v>
      </c>
    </row>
    <row r="331" spans="1:15">
      <c r="A331" t="s">
        <v>820</v>
      </c>
      <c r="B331" t="s">
        <v>74</v>
      </c>
      <c r="C331" t="s">
        <v>45</v>
      </c>
      <c r="D331" t="s">
        <v>27</v>
      </c>
      <c r="E331" s="2">
        <v>29</v>
      </c>
      <c r="F331" t="s">
        <v>34</v>
      </c>
      <c r="G331" t="s">
        <v>18</v>
      </c>
      <c r="H331" s="2">
        <v>75</v>
      </c>
      <c r="I331" s="3">
        <v>10851</v>
      </c>
      <c r="J331" s="4">
        <v>19.010000000000002</v>
      </c>
      <c r="K331" s="2">
        <v>96</v>
      </c>
      <c r="L331" s="2">
        <v>4</v>
      </c>
      <c r="M331" s="3">
        <v>54242</v>
      </c>
      <c r="N331" t="str" cm="1">
        <f t="array" ref="N331">_xlfn.IFS(Table1_3[[#This Row],[Patient Satisfaction Score]]&gt;=83,"High",H331&lt;=75,"Low",TRUE,"Moderate")</f>
        <v>Low</v>
      </c>
      <c r="O331" t="str">
        <f t="shared" si="5"/>
        <v>Adult</v>
      </c>
    </row>
    <row r="332" spans="1:15">
      <c r="A332" t="s">
        <v>988</v>
      </c>
      <c r="B332" t="s">
        <v>168</v>
      </c>
      <c r="C332" t="s">
        <v>45</v>
      </c>
      <c r="D332" t="s">
        <v>27</v>
      </c>
      <c r="E332" s="2">
        <v>29</v>
      </c>
      <c r="F332" t="s">
        <v>22</v>
      </c>
      <c r="G332" t="s">
        <v>40</v>
      </c>
      <c r="H332" s="2">
        <v>82</v>
      </c>
      <c r="I332" s="3">
        <v>8610</v>
      </c>
      <c r="J332" s="4">
        <v>13.24</v>
      </c>
      <c r="K332" s="2">
        <v>102</v>
      </c>
      <c r="L332" s="2">
        <v>4</v>
      </c>
      <c r="M332" s="3">
        <v>26902</v>
      </c>
      <c r="N332" t="str" cm="1">
        <f t="array" ref="N332">_xlfn.IFS(Table1_3[[#This Row],[Patient Satisfaction Score]]&gt;=83,"High",H332&lt;=75,"Low",TRUE,"Moderate")</f>
        <v>Moderate</v>
      </c>
      <c r="O332" t="str">
        <f t="shared" si="5"/>
        <v>Adult</v>
      </c>
    </row>
    <row r="333" spans="1:15">
      <c r="A333" t="s">
        <v>428</v>
      </c>
      <c r="B333" t="s">
        <v>109</v>
      </c>
      <c r="C333" t="s">
        <v>30</v>
      </c>
      <c r="D333" t="s">
        <v>16</v>
      </c>
      <c r="E333" s="2">
        <v>29</v>
      </c>
      <c r="F333" t="s">
        <v>34</v>
      </c>
      <c r="G333" t="s">
        <v>40</v>
      </c>
      <c r="H333" s="2">
        <v>73</v>
      </c>
      <c r="I333" s="3">
        <v>3712</v>
      </c>
      <c r="J333" s="4">
        <v>20.89</v>
      </c>
      <c r="K333" s="2">
        <v>82</v>
      </c>
      <c r="L333" s="2">
        <v>4</v>
      </c>
      <c r="M333" s="3">
        <v>17468</v>
      </c>
      <c r="N333" t="str" cm="1">
        <f t="array" ref="N333">_xlfn.IFS(Table1_3[[#This Row],[Patient Satisfaction Score]]&gt;=83,"High",H333&lt;=75,"Low",TRUE,"Moderate")</f>
        <v>Low</v>
      </c>
      <c r="O333" t="str">
        <f t="shared" si="5"/>
        <v>Adult</v>
      </c>
    </row>
    <row r="334" spans="1:15">
      <c r="A334" t="s">
        <v>719</v>
      </c>
      <c r="B334" t="s">
        <v>187</v>
      </c>
      <c r="C334" t="s">
        <v>30</v>
      </c>
      <c r="D334" t="s">
        <v>27</v>
      </c>
      <c r="E334" s="2">
        <v>29</v>
      </c>
      <c r="F334" t="s">
        <v>17</v>
      </c>
      <c r="G334" t="s">
        <v>18</v>
      </c>
      <c r="H334" s="2">
        <v>78</v>
      </c>
      <c r="I334" s="3">
        <v>3274</v>
      </c>
      <c r="J334" s="4">
        <v>18.440000000000001</v>
      </c>
      <c r="K334" s="2">
        <v>102</v>
      </c>
      <c r="L334" s="2">
        <v>4</v>
      </c>
      <c r="M334" s="3">
        <v>18393</v>
      </c>
      <c r="N334" t="str" cm="1">
        <f t="array" ref="N334">_xlfn.IFS(Table1_3[[#This Row],[Patient Satisfaction Score]]&gt;=83,"High",H334&lt;=75,"Low",TRUE,"Moderate")</f>
        <v>Moderate</v>
      </c>
      <c r="O334" t="str">
        <f t="shared" si="5"/>
        <v>Adult</v>
      </c>
    </row>
    <row r="335" spans="1:15">
      <c r="A335" t="s">
        <v>775</v>
      </c>
      <c r="B335" t="s">
        <v>97</v>
      </c>
      <c r="C335" t="s">
        <v>30</v>
      </c>
      <c r="D335" t="s">
        <v>16</v>
      </c>
      <c r="E335" s="2">
        <v>29</v>
      </c>
      <c r="F335" t="s">
        <v>17</v>
      </c>
      <c r="G335" t="s">
        <v>23</v>
      </c>
      <c r="H335" s="2">
        <v>72</v>
      </c>
      <c r="I335" s="3">
        <v>3430</v>
      </c>
      <c r="J335" s="4">
        <v>19.510000000000002</v>
      </c>
      <c r="K335" s="2">
        <v>69</v>
      </c>
      <c r="L335" s="2">
        <v>3</v>
      </c>
      <c r="M335" s="3">
        <v>14070</v>
      </c>
      <c r="N335" t="str" cm="1">
        <f t="array" ref="N335">_xlfn.IFS(Table1_3[[#This Row],[Patient Satisfaction Score]]&gt;=83,"High",H335&lt;=75,"Low",TRUE,"Moderate")</f>
        <v>Low</v>
      </c>
      <c r="O335" t="str">
        <f t="shared" si="5"/>
        <v>Adult</v>
      </c>
    </row>
    <row r="336" spans="1:15">
      <c r="A336" t="s">
        <v>868</v>
      </c>
      <c r="B336" t="s">
        <v>109</v>
      </c>
      <c r="C336" t="s">
        <v>30</v>
      </c>
      <c r="D336" t="s">
        <v>16</v>
      </c>
      <c r="E336" s="2">
        <v>29</v>
      </c>
      <c r="F336" t="s">
        <v>22</v>
      </c>
      <c r="G336" t="s">
        <v>40</v>
      </c>
      <c r="H336" s="2">
        <v>79</v>
      </c>
      <c r="I336" s="3">
        <v>3019</v>
      </c>
      <c r="J336" s="4">
        <v>15.53</v>
      </c>
      <c r="K336" s="2">
        <v>74</v>
      </c>
      <c r="L336" s="2">
        <v>4</v>
      </c>
      <c r="M336" s="3">
        <v>10321</v>
      </c>
      <c r="N336" t="str" cm="1">
        <f t="array" ref="N336">_xlfn.IFS(Table1_3[[#This Row],[Patient Satisfaction Score]]&gt;=83,"High",H336&lt;=75,"Low",TRUE,"Moderate")</f>
        <v>Moderate</v>
      </c>
      <c r="O336" t="str">
        <f t="shared" si="5"/>
        <v>Adult</v>
      </c>
    </row>
    <row r="337" spans="1:15">
      <c r="A337" t="s">
        <v>331</v>
      </c>
      <c r="B337" t="s">
        <v>14</v>
      </c>
      <c r="C337" t="s">
        <v>15</v>
      </c>
      <c r="D337" t="s">
        <v>16</v>
      </c>
      <c r="E337" s="2">
        <v>29</v>
      </c>
      <c r="F337" t="s">
        <v>17</v>
      </c>
      <c r="G337" t="s">
        <v>70</v>
      </c>
      <c r="H337" s="2">
        <v>77</v>
      </c>
      <c r="I337" s="3">
        <v>5759</v>
      </c>
      <c r="J337" s="4">
        <v>17.07</v>
      </c>
      <c r="K337" s="2">
        <v>81</v>
      </c>
      <c r="L337" s="2">
        <v>3</v>
      </c>
      <c r="M337" s="3">
        <v>32018</v>
      </c>
      <c r="N337" t="str" cm="1">
        <f t="array" ref="N337">_xlfn.IFS(Table1_3[[#This Row],[Patient Satisfaction Score]]&gt;=83,"High",H337&lt;=75,"Low",TRUE,"Moderate")</f>
        <v>Moderate</v>
      </c>
      <c r="O337" t="str">
        <f t="shared" si="5"/>
        <v>Adult</v>
      </c>
    </row>
    <row r="338" spans="1:15">
      <c r="A338" t="s">
        <v>892</v>
      </c>
      <c r="B338" t="s">
        <v>80</v>
      </c>
      <c r="C338" t="s">
        <v>15</v>
      </c>
      <c r="D338" t="s">
        <v>16</v>
      </c>
      <c r="E338" s="2">
        <v>29</v>
      </c>
      <c r="F338" t="s">
        <v>34</v>
      </c>
      <c r="G338" t="s">
        <v>40</v>
      </c>
      <c r="H338" s="2">
        <v>81</v>
      </c>
      <c r="I338" s="3">
        <v>8574</v>
      </c>
      <c r="J338" s="4">
        <v>9.0299999999999994</v>
      </c>
      <c r="K338" s="2">
        <v>92</v>
      </c>
      <c r="L338" s="2">
        <v>4</v>
      </c>
      <c r="M338" s="3">
        <v>21710</v>
      </c>
      <c r="N338" t="str" cm="1">
        <f t="array" ref="N338">_xlfn.IFS(Table1_3[[#This Row],[Patient Satisfaction Score]]&gt;=83,"High",H338&lt;=75,"Low",TRUE,"Moderate")</f>
        <v>Moderate</v>
      </c>
      <c r="O338" t="str">
        <f t="shared" si="5"/>
        <v>Adult</v>
      </c>
    </row>
    <row r="339" spans="1:15">
      <c r="A339" t="s">
        <v>193</v>
      </c>
      <c r="B339" t="s">
        <v>25</v>
      </c>
      <c r="C339" t="s">
        <v>26</v>
      </c>
      <c r="D339" t="s">
        <v>16</v>
      </c>
      <c r="E339" s="2">
        <v>30</v>
      </c>
      <c r="F339" t="s">
        <v>34</v>
      </c>
      <c r="G339" t="s">
        <v>23</v>
      </c>
      <c r="H339" s="2">
        <v>83</v>
      </c>
      <c r="I339" s="3">
        <v>3678</v>
      </c>
      <c r="J339" s="4">
        <v>8.75</v>
      </c>
      <c r="K339" s="2">
        <v>30</v>
      </c>
      <c r="L339" s="2">
        <v>4</v>
      </c>
      <c r="M339" s="3">
        <v>20490</v>
      </c>
      <c r="N339" t="str" cm="1">
        <f t="array" ref="N339">_xlfn.IFS(Table1_3[[#This Row],[Patient Satisfaction Score]]&gt;=83,"High",H339&lt;=75,"Low",TRUE,"Moderate")</f>
        <v>High</v>
      </c>
      <c r="O339" t="str">
        <f t="shared" si="5"/>
        <v>Adult</v>
      </c>
    </row>
    <row r="340" spans="1:15">
      <c r="A340" t="s">
        <v>618</v>
      </c>
      <c r="B340" t="s">
        <v>58</v>
      </c>
      <c r="C340" t="s">
        <v>48</v>
      </c>
      <c r="D340" t="s">
        <v>16</v>
      </c>
      <c r="E340" s="2">
        <v>30</v>
      </c>
      <c r="F340" t="s">
        <v>34</v>
      </c>
      <c r="G340" t="s">
        <v>31</v>
      </c>
      <c r="H340" s="2">
        <v>73</v>
      </c>
      <c r="I340" s="3">
        <v>6386</v>
      </c>
      <c r="J340" s="4">
        <v>12.67</v>
      </c>
      <c r="K340" s="2">
        <v>85</v>
      </c>
      <c r="L340" s="2">
        <v>4</v>
      </c>
      <c r="M340" s="3">
        <v>27417</v>
      </c>
      <c r="N340" t="str" cm="1">
        <f t="array" ref="N340">_xlfn.IFS(Table1_3[[#This Row],[Patient Satisfaction Score]]&gt;=83,"High",H340&lt;=75,"Low",TRUE,"Moderate")</f>
        <v>Low</v>
      </c>
      <c r="O340" t="str">
        <f t="shared" si="5"/>
        <v>Adult</v>
      </c>
    </row>
    <row r="341" spans="1:15">
      <c r="A341" t="s">
        <v>94</v>
      </c>
      <c r="B341" t="s">
        <v>95</v>
      </c>
      <c r="C341" t="s">
        <v>52</v>
      </c>
      <c r="D341" t="s">
        <v>27</v>
      </c>
      <c r="E341" s="2">
        <v>30</v>
      </c>
      <c r="F341" t="s">
        <v>17</v>
      </c>
      <c r="G341" t="s">
        <v>31</v>
      </c>
      <c r="H341" s="2">
        <v>77</v>
      </c>
      <c r="I341" s="3">
        <v>7620</v>
      </c>
      <c r="J341" s="4">
        <v>21.49</v>
      </c>
      <c r="K341" s="2">
        <v>54</v>
      </c>
      <c r="L341" s="2">
        <v>3</v>
      </c>
      <c r="M341" s="3">
        <v>31677</v>
      </c>
      <c r="N341" t="str" cm="1">
        <f t="array" ref="N341">_xlfn.IFS(Table1_3[[#This Row],[Patient Satisfaction Score]]&gt;=83,"High",H341&lt;=75,"Low",TRUE,"Moderate")</f>
        <v>Moderate</v>
      </c>
      <c r="O341" t="str">
        <f t="shared" si="5"/>
        <v>Adult</v>
      </c>
    </row>
    <row r="342" spans="1:15">
      <c r="A342" t="s">
        <v>111</v>
      </c>
      <c r="B342" t="s">
        <v>36</v>
      </c>
      <c r="C342" t="s">
        <v>21</v>
      </c>
      <c r="D342" t="s">
        <v>27</v>
      </c>
      <c r="E342" s="2">
        <v>30</v>
      </c>
      <c r="F342" t="s">
        <v>34</v>
      </c>
      <c r="G342" t="s">
        <v>40</v>
      </c>
      <c r="H342" s="2">
        <v>78</v>
      </c>
      <c r="I342" s="3">
        <v>6904</v>
      </c>
      <c r="J342" s="4">
        <v>20.9</v>
      </c>
      <c r="K342" s="2">
        <v>85</v>
      </c>
      <c r="L342" s="2">
        <v>4</v>
      </c>
      <c r="M342" s="3">
        <v>19946</v>
      </c>
      <c r="N342" t="str" cm="1">
        <f t="array" ref="N342">_xlfn.IFS(Table1_3[[#This Row],[Patient Satisfaction Score]]&gt;=83,"High",H342&lt;=75,"Low",TRUE,"Moderate")</f>
        <v>Moderate</v>
      </c>
      <c r="O342" t="str">
        <f t="shared" si="5"/>
        <v>Adult</v>
      </c>
    </row>
    <row r="343" spans="1:15">
      <c r="A343" t="s">
        <v>418</v>
      </c>
      <c r="B343" t="s">
        <v>56</v>
      </c>
      <c r="C343" t="s">
        <v>45</v>
      </c>
      <c r="D343" t="s">
        <v>27</v>
      </c>
      <c r="E343" s="2">
        <v>30</v>
      </c>
      <c r="F343" t="s">
        <v>22</v>
      </c>
      <c r="G343" t="s">
        <v>18</v>
      </c>
      <c r="H343" s="2">
        <v>83</v>
      </c>
      <c r="I343" s="3">
        <v>8015</v>
      </c>
      <c r="J343" s="4">
        <v>15.91</v>
      </c>
      <c r="K343" s="2">
        <v>98</v>
      </c>
      <c r="L343" s="2">
        <v>5</v>
      </c>
      <c r="M343" s="3">
        <v>38229</v>
      </c>
      <c r="N343" t="str" cm="1">
        <f t="array" ref="N343">_xlfn.IFS(Table1_3[[#This Row],[Patient Satisfaction Score]]&gt;=83,"High",H343&lt;=75,"Low",TRUE,"Moderate")</f>
        <v>High</v>
      </c>
      <c r="O343" t="str">
        <f t="shared" si="5"/>
        <v>Adult</v>
      </c>
    </row>
    <row r="344" spans="1:15">
      <c r="A344" t="s">
        <v>438</v>
      </c>
      <c r="B344" t="s">
        <v>68</v>
      </c>
      <c r="C344" t="s">
        <v>45</v>
      </c>
      <c r="D344" t="s">
        <v>16</v>
      </c>
      <c r="E344" s="2">
        <v>30</v>
      </c>
      <c r="F344" t="s">
        <v>34</v>
      </c>
      <c r="G344" t="s">
        <v>23</v>
      </c>
      <c r="H344" s="2">
        <v>91</v>
      </c>
      <c r="I344" s="3">
        <v>8609</v>
      </c>
      <c r="J344" s="4">
        <v>15.77</v>
      </c>
      <c r="K344" s="2">
        <v>69</v>
      </c>
      <c r="L344" s="2">
        <v>5</v>
      </c>
      <c r="M344" s="3">
        <v>28915</v>
      </c>
      <c r="N344" t="str" cm="1">
        <f t="array" ref="N344">_xlfn.IFS(Table1_3[[#This Row],[Patient Satisfaction Score]]&gt;=83,"High",H344&lt;=75,"Low",TRUE,"Moderate")</f>
        <v>High</v>
      </c>
      <c r="O344" t="str">
        <f t="shared" si="5"/>
        <v>Adult</v>
      </c>
    </row>
    <row r="345" spans="1:15">
      <c r="A345" t="s">
        <v>1050</v>
      </c>
      <c r="B345" t="s">
        <v>168</v>
      </c>
      <c r="C345" t="s">
        <v>45</v>
      </c>
      <c r="D345" t="s">
        <v>27</v>
      </c>
      <c r="E345" s="2">
        <v>30</v>
      </c>
      <c r="F345" t="s">
        <v>22</v>
      </c>
      <c r="G345" t="s">
        <v>49</v>
      </c>
      <c r="H345" s="2">
        <v>79</v>
      </c>
      <c r="I345" s="3">
        <v>6743</v>
      </c>
      <c r="J345" s="4">
        <v>16.14</v>
      </c>
      <c r="K345" s="2">
        <v>76</v>
      </c>
      <c r="L345" s="2">
        <v>4</v>
      </c>
      <c r="M345" s="3">
        <v>18868</v>
      </c>
      <c r="N345" t="str" cm="1">
        <f t="array" ref="N345">_xlfn.IFS(Table1_3[[#This Row],[Patient Satisfaction Score]]&gt;=83,"High",H345&lt;=75,"Low",TRUE,"Moderate")</f>
        <v>Moderate</v>
      </c>
      <c r="O345" t="str">
        <f t="shared" si="5"/>
        <v>Adult</v>
      </c>
    </row>
    <row r="346" spans="1:15">
      <c r="A346" t="s">
        <v>166</v>
      </c>
      <c r="B346" t="s">
        <v>97</v>
      </c>
      <c r="C346" t="s">
        <v>30</v>
      </c>
      <c r="D346" t="s">
        <v>72</v>
      </c>
      <c r="E346" s="2">
        <v>30</v>
      </c>
      <c r="F346" t="s">
        <v>22</v>
      </c>
      <c r="G346" t="s">
        <v>23</v>
      </c>
      <c r="H346" s="2">
        <v>77</v>
      </c>
      <c r="I346" s="3">
        <v>3569</v>
      </c>
      <c r="J346" s="4">
        <v>17.48</v>
      </c>
      <c r="K346" s="2">
        <v>95</v>
      </c>
      <c r="L346" s="2">
        <v>3</v>
      </c>
      <c r="M346" s="3">
        <v>11897</v>
      </c>
      <c r="N346" t="str" cm="1">
        <f t="array" ref="N346">_xlfn.IFS(Table1_3[[#This Row],[Patient Satisfaction Score]]&gt;=83,"High",H346&lt;=75,"Low",TRUE,"Moderate")</f>
        <v>Moderate</v>
      </c>
      <c r="O346" t="str">
        <f t="shared" si="5"/>
        <v>Adult</v>
      </c>
    </row>
    <row r="347" spans="1:15">
      <c r="A347" t="s">
        <v>676</v>
      </c>
      <c r="B347" t="s">
        <v>109</v>
      </c>
      <c r="C347" t="s">
        <v>30</v>
      </c>
      <c r="D347" t="s">
        <v>27</v>
      </c>
      <c r="E347" s="2">
        <v>30</v>
      </c>
      <c r="F347" t="s">
        <v>34</v>
      </c>
      <c r="G347" t="s">
        <v>23</v>
      </c>
      <c r="H347" s="2">
        <v>73</v>
      </c>
      <c r="I347" s="3">
        <v>3329</v>
      </c>
      <c r="J347" s="4">
        <v>18.010000000000002</v>
      </c>
      <c r="K347" s="2">
        <v>143</v>
      </c>
      <c r="L347" s="2">
        <v>4</v>
      </c>
      <c r="M347" s="3">
        <v>8769</v>
      </c>
      <c r="N347" t="str" cm="1">
        <f t="array" ref="N347">_xlfn.IFS(Table1_3[[#This Row],[Patient Satisfaction Score]]&gt;=83,"High",H347&lt;=75,"Low",TRUE,"Moderate")</f>
        <v>Low</v>
      </c>
      <c r="O347" t="str">
        <f t="shared" si="5"/>
        <v>Adult</v>
      </c>
    </row>
    <row r="348" spans="1:15">
      <c r="A348" t="s">
        <v>701</v>
      </c>
      <c r="B348" t="s">
        <v>29</v>
      </c>
      <c r="C348" t="s">
        <v>30</v>
      </c>
      <c r="D348" t="s">
        <v>27</v>
      </c>
      <c r="E348" s="2">
        <v>30</v>
      </c>
      <c r="F348" t="s">
        <v>34</v>
      </c>
      <c r="G348" t="s">
        <v>18</v>
      </c>
      <c r="H348" s="2">
        <v>73</v>
      </c>
      <c r="I348" s="3">
        <v>4654</v>
      </c>
      <c r="J348" s="4">
        <v>15.13</v>
      </c>
      <c r="K348" s="2">
        <v>96</v>
      </c>
      <c r="L348" s="2">
        <v>3</v>
      </c>
      <c r="M348" s="3">
        <v>18002</v>
      </c>
      <c r="N348" t="str" cm="1">
        <f t="array" ref="N348">_xlfn.IFS(Table1_3[[#This Row],[Patient Satisfaction Score]]&gt;=83,"High",H348&lt;=75,"Low",TRUE,"Moderate")</f>
        <v>Low</v>
      </c>
      <c r="O348" t="str">
        <f t="shared" si="5"/>
        <v>Adult</v>
      </c>
    </row>
    <row r="349" spans="1:15">
      <c r="A349" t="s">
        <v>805</v>
      </c>
      <c r="B349" t="s">
        <v>97</v>
      </c>
      <c r="C349" t="s">
        <v>30</v>
      </c>
      <c r="D349" t="s">
        <v>16</v>
      </c>
      <c r="E349" s="2">
        <v>30</v>
      </c>
      <c r="F349" t="s">
        <v>22</v>
      </c>
      <c r="G349" t="s">
        <v>23</v>
      </c>
      <c r="H349" s="2">
        <v>69</v>
      </c>
      <c r="I349" s="3">
        <v>3379</v>
      </c>
      <c r="J349" s="4">
        <v>12.56</v>
      </c>
      <c r="K349" s="2">
        <v>120</v>
      </c>
      <c r="L349" s="2">
        <v>3</v>
      </c>
      <c r="M349" s="3">
        <v>16078</v>
      </c>
      <c r="N349" t="str" cm="1">
        <f t="array" ref="N349">_xlfn.IFS(Table1_3[[#This Row],[Patient Satisfaction Score]]&gt;=83,"High",H349&lt;=75,"Low",TRUE,"Moderate")</f>
        <v>Low</v>
      </c>
      <c r="O349" t="str">
        <f t="shared" si="5"/>
        <v>Adult</v>
      </c>
    </row>
    <row r="350" spans="1:15">
      <c r="A350" t="s">
        <v>823</v>
      </c>
      <c r="B350" t="s">
        <v>64</v>
      </c>
      <c r="C350" t="s">
        <v>30</v>
      </c>
      <c r="D350" t="s">
        <v>16</v>
      </c>
      <c r="E350" s="2">
        <v>30</v>
      </c>
      <c r="F350" t="s">
        <v>34</v>
      </c>
      <c r="G350" t="s">
        <v>40</v>
      </c>
      <c r="H350" s="2">
        <v>75</v>
      </c>
      <c r="I350" s="3">
        <v>3272</v>
      </c>
      <c r="J350" s="4">
        <v>14.25</v>
      </c>
      <c r="K350" s="2">
        <v>76</v>
      </c>
      <c r="L350" s="2">
        <v>4</v>
      </c>
      <c r="M350" s="3">
        <v>9096</v>
      </c>
      <c r="N350" t="str" cm="1">
        <f t="array" ref="N350">_xlfn.IFS(Table1_3[[#This Row],[Patient Satisfaction Score]]&gt;=83,"High",H350&lt;=75,"Low",TRUE,"Moderate")</f>
        <v>Low</v>
      </c>
      <c r="O350" t="str">
        <f t="shared" si="5"/>
        <v>Adult</v>
      </c>
    </row>
    <row r="351" spans="1:15">
      <c r="A351" t="s">
        <v>903</v>
      </c>
      <c r="B351" t="s">
        <v>97</v>
      </c>
      <c r="C351" t="s">
        <v>30</v>
      </c>
      <c r="D351" t="s">
        <v>16</v>
      </c>
      <c r="E351" s="2">
        <v>30</v>
      </c>
      <c r="F351" t="s">
        <v>34</v>
      </c>
      <c r="G351" t="s">
        <v>23</v>
      </c>
      <c r="H351" s="2">
        <v>69</v>
      </c>
      <c r="I351" s="3">
        <v>3614</v>
      </c>
      <c r="J351" s="4">
        <v>20.98</v>
      </c>
      <c r="K351" s="2">
        <v>124</v>
      </c>
      <c r="L351" s="2">
        <v>2</v>
      </c>
      <c r="M351" s="3">
        <v>16688</v>
      </c>
      <c r="N351" t="str" cm="1">
        <f t="array" ref="N351">_xlfn.IFS(Table1_3[[#This Row],[Patient Satisfaction Score]]&gt;=83,"High",H351&lt;=75,"Low",TRUE,"Moderate")</f>
        <v>Low</v>
      </c>
      <c r="O351" t="str">
        <f t="shared" si="5"/>
        <v>Adult</v>
      </c>
    </row>
    <row r="352" spans="1:15">
      <c r="A352" t="s">
        <v>413</v>
      </c>
      <c r="B352" t="s">
        <v>78</v>
      </c>
      <c r="C352" t="s">
        <v>15</v>
      </c>
      <c r="D352" t="s">
        <v>16</v>
      </c>
      <c r="E352" s="2">
        <v>30</v>
      </c>
      <c r="F352" t="s">
        <v>34</v>
      </c>
      <c r="G352" t="s">
        <v>18</v>
      </c>
      <c r="H352" s="2">
        <v>73</v>
      </c>
      <c r="I352" s="3">
        <v>9538</v>
      </c>
      <c r="J352" s="4">
        <v>13.37</v>
      </c>
      <c r="K352" s="2">
        <v>103</v>
      </c>
      <c r="L352" s="2">
        <v>4</v>
      </c>
      <c r="M352" s="3">
        <v>36327</v>
      </c>
      <c r="N352" t="str" cm="1">
        <f t="array" ref="N352">_xlfn.IFS(Table1_3[[#This Row],[Patient Satisfaction Score]]&gt;=83,"High",H352&lt;=75,"Low",TRUE,"Moderate")</f>
        <v>Low</v>
      </c>
      <c r="O352" t="str">
        <f t="shared" si="5"/>
        <v>Adult</v>
      </c>
    </row>
    <row r="353" spans="1:15">
      <c r="A353" t="s">
        <v>540</v>
      </c>
      <c r="B353" t="s">
        <v>14</v>
      </c>
      <c r="C353" t="s">
        <v>15</v>
      </c>
      <c r="D353" t="s">
        <v>16</v>
      </c>
      <c r="E353" s="2">
        <v>30</v>
      </c>
      <c r="F353" t="s">
        <v>34</v>
      </c>
      <c r="G353" t="s">
        <v>49</v>
      </c>
      <c r="H353" s="2">
        <v>80</v>
      </c>
      <c r="I353" s="3">
        <v>5529</v>
      </c>
      <c r="J353" s="4">
        <v>19.03</v>
      </c>
      <c r="K353" s="2">
        <v>99</v>
      </c>
      <c r="L353" s="2">
        <v>4</v>
      </c>
      <c r="M353" s="3">
        <v>18054</v>
      </c>
      <c r="N353" t="str" cm="1">
        <f t="array" ref="N353">_xlfn.IFS(Table1_3[[#This Row],[Patient Satisfaction Score]]&gt;=83,"High",H353&lt;=75,"Low",TRUE,"Moderate")</f>
        <v>Moderate</v>
      </c>
      <c r="O353" t="str">
        <f t="shared" si="5"/>
        <v>Adult</v>
      </c>
    </row>
    <row r="354" spans="1:15">
      <c r="A354" t="s">
        <v>959</v>
      </c>
      <c r="B354" t="s">
        <v>80</v>
      </c>
      <c r="C354" t="s">
        <v>15</v>
      </c>
      <c r="D354" t="s">
        <v>27</v>
      </c>
      <c r="E354" s="2">
        <v>30</v>
      </c>
      <c r="F354" t="s">
        <v>22</v>
      </c>
      <c r="G354" t="s">
        <v>49</v>
      </c>
      <c r="H354" s="2">
        <v>79</v>
      </c>
      <c r="I354" s="3">
        <v>7824</v>
      </c>
      <c r="J354" s="4">
        <v>18.91</v>
      </c>
      <c r="K354" s="2">
        <v>88</v>
      </c>
      <c r="L354" s="2">
        <v>4</v>
      </c>
      <c r="M354" s="3">
        <v>37890</v>
      </c>
      <c r="N354" t="str" cm="1">
        <f t="array" ref="N354">_xlfn.IFS(Table1_3[[#This Row],[Patient Satisfaction Score]]&gt;=83,"High",H354&lt;=75,"Low",TRUE,"Moderate")</f>
        <v>Moderate</v>
      </c>
      <c r="O354" t="str">
        <f t="shared" si="5"/>
        <v>Adult</v>
      </c>
    </row>
    <row r="355" spans="1:15">
      <c r="A355" t="s">
        <v>169</v>
      </c>
      <c r="B355" t="s">
        <v>103</v>
      </c>
      <c r="C355" t="s">
        <v>26</v>
      </c>
      <c r="D355" t="s">
        <v>27</v>
      </c>
      <c r="E355" s="2">
        <v>31</v>
      </c>
      <c r="F355" t="s">
        <v>17</v>
      </c>
      <c r="G355" t="s">
        <v>31</v>
      </c>
      <c r="H355" s="2">
        <v>80</v>
      </c>
      <c r="I355" s="3">
        <v>1665</v>
      </c>
      <c r="J355" s="4">
        <v>12.06</v>
      </c>
      <c r="K355" s="2">
        <v>26</v>
      </c>
      <c r="L355" s="2">
        <v>4</v>
      </c>
      <c r="M355" s="3">
        <v>6375</v>
      </c>
      <c r="N355" t="str" cm="1">
        <f t="array" ref="N355">_xlfn.IFS(Table1_3[[#This Row],[Patient Satisfaction Score]]&gt;=83,"High",H355&lt;=75,"Low",TRUE,"Moderate")</f>
        <v>Moderate</v>
      </c>
      <c r="O355" t="str">
        <f t="shared" si="5"/>
        <v>Adult</v>
      </c>
    </row>
    <row r="356" spans="1:15">
      <c r="A356" t="s">
        <v>456</v>
      </c>
      <c r="B356" t="s">
        <v>137</v>
      </c>
      <c r="C356" t="s">
        <v>26</v>
      </c>
      <c r="D356" t="s">
        <v>16</v>
      </c>
      <c r="E356" s="2">
        <v>31</v>
      </c>
      <c r="F356" t="s">
        <v>34</v>
      </c>
      <c r="G356" t="s">
        <v>31</v>
      </c>
      <c r="H356" s="2">
        <v>84</v>
      </c>
      <c r="I356" s="3">
        <v>1954</v>
      </c>
      <c r="J356" s="4">
        <v>8.56</v>
      </c>
      <c r="K356" s="2">
        <v>62</v>
      </c>
      <c r="L356" s="2">
        <v>4</v>
      </c>
      <c r="M356" s="3">
        <v>7104</v>
      </c>
      <c r="N356" t="str" cm="1">
        <f t="array" ref="N356">_xlfn.IFS(Table1_3[[#This Row],[Patient Satisfaction Score]]&gt;=83,"High",H356&lt;=75,"Low",TRUE,"Moderate")</f>
        <v>High</v>
      </c>
      <c r="O356" t="str">
        <f t="shared" si="5"/>
        <v>Adult</v>
      </c>
    </row>
    <row r="357" spans="1:15">
      <c r="A357" t="s">
        <v>881</v>
      </c>
      <c r="B357" t="s">
        <v>25</v>
      </c>
      <c r="C357" t="s">
        <v>26</v>
      </c>
      <c r="D357" t="s">
        <v>16</v>
      </c>
      <c r="E357" s="2">
        <v>31</v>
      </c>
      <c r="F357" t="s">
        <v>34</v>
      </c>
      <c r="G357" t="s">
        <v>31</v>
      </c>
      <c r="H357" s="2">
        <v>87</v>
      </c>
      <c r="I357" s="3">
        <v>2189</v>
      </c>
      <c r="J357" s="4">
        <v>8.4499999999999993</v>
      </c>
      <c r="K357" s="2">
        <v>29</v>
      </c>
      <c r="L357" s="2">
        <v>4</v>
      </c>
      <c r="M357" s="3">
        <v>12104</v>
      </c>
      <c r="N357" t="str" cm="1">
        <f t="array" ref="N357">_xlfn.IFS(Table1_3[[#This Row],[Patient Satisfaction Score]]&gt;=83,"High",H357&lt;=75,"Low",TRUE,"Moderate")</f>
        <v>High</v>
      </c>
      <c r="O357" t="str">
        <f t="shared" si="5"/>
        <v>Adult</v>
      </c>
    </row>
    <row r="358" spans="1:15">
      <c r="A358" t="s">
        <v>1011</v>
      </c>
      <c r="B358" t="s">
        <v>25</v>
      </c>
      <c r="C358" t="s">
        <v>26</v>
      </c>
      <c r="D358" t="s">
        <v>16</v>
      </c>
      <c r="E358" s="2">
        <v>31</v>
      </c>
      <c r="F358" t="s">
        <v>34</v>
      </c>
      <c r="G358" t="s">
        <v>70</v>
      </c>
      <c r="H358" s="2">
        <v>83</v>
      </c>
      <c r="I358" s="3">
        <v>1583</v>
      </c>
      <c r="J358" s="4">
        <v>6.04</v>
      </c>
      <c r="K358" s="2">
        <v>34</v>
      </c>
      <c r="L358" s="2">
        <v>4</v>
      </c>
      <c r="M358" s="3">
        <v>7586</v>
      </c>
      <c r="N358" t="str" cm="1">
        <f t="array" ref="N358">_xlfn.IFS(Table1_3[[#This Row],[Patient Satisfaction Score]]&gt;=83,"High",H358&lt;=75,"Low",TRUE,"Moderate")</f>
        <v>High</v>
      </c>
      <c r="O358" t="str">
        <f t="shared" si="5"/>
        <v>Adult</v>
      </c>
    </row>
    <row r="359" spans="1:15">
      <c r="A359" t="s">
        <v>149</v>
      </c>
      <c r="B359" t="s">
        <v>150</v>
      </c>
      <c r="C359" t="s">
        <v>48</v>
      </c>
      <c r="D359" t="s">
        <v>16</v>
      </c>
      <c r="E359" s="2">
        <v>31</v>
      </c>
      <c r="F359" t="s">
        <v>34</v>
      </c>
      <c r="G359" t="s">
        <v>31</v>
      </c>
      <c r="H359" s="2">
        <v>79</v>
      </c>
      <c r="I359" s="3">
        <v>7261</v>
      </c>
      <c r="J359" s="4">
        <v>8.6300000000000008</v>
      </c>
      <c r="K359" s="2">
        <v>30</v>
      </c>
      <c r="L359" s="2">
        <v>4</v>
      </c>
      <c r="M359" s="3">
        <v>41013</v>
      </c>
      <c r="N359" t="str" cm="1">
        <f t="array" ref="N359">_xlfn.IFS(Table1_3[[#This Row],[Patient Satisfaction Score]]&gt;=83,"High",H359&lt;=75,"Low",TRUE,"Moderate")</f>
        <v>Moderate</v>
      </c>
      <c r="O359" t="str">
        <f t="shared" si="5"/>
        <v>Adult</v>
      </c>
    </row>
    <row r="360" spans="1:15">
      <c r="A360" t="s">
        <v>800</v>
      </c>
      <c r="B360" t="s">
        <v>58</v>
      </c>
      <c r="C360" t="s">
        <v>48</v>
      </c>
      <c r="D360" t="s">
        <v>27</v>
      </c>
      <c r="E360" s="2">
        <v>31</v>
      </c>
      <c r="F360" t="s">
        <v>17</v>
      </c>
      <c r="G360" t="s">
        <v>40</v>
      </c>
      <c r="H360" s="2">
        <v>77</v>
      </c>
      <c r="I360" s="3">
        <v>4872</v>
      </c>
      <c r="J360" s="4">
        <v>16.48</v>
      </c>
      <c r="K360" s="2">
        <v>70</v>
      </c>
      <c r="L360" s="2">
        <v>4</v>
      </c>
      <c r="M360" s="3">
        <v>20454</v>
      </c>
      <c r="N360" t="str" cm="1">
        <f t="array" ref="N360">_xlfn.IFS(Table1_3[[#This Row],[Patient Satisfaction Score]]&gt;=83,"High",H360&lt;=75,"Low",TRUE,"Moderate")</f>
        <v>Moderate</v>
      </c>
      <c r="O360" t="str">
        <f t="shared" si="5"/>
        <v>Adult</v>
      </c>
    </row>
    <row r="361" spans="1:15">
      <c r="A361" t="s">
        <v>139</v>
      </c>
      <c r="B361" t="s">
        <v>36</v>
      </c>
      <c r="C361" t="s">
        <v>21</v>
      </c>
      <c r="D361" t="s">
        <v>27</v>
      </c>
      <c r="E361" s="2">
        <v>31</v>
      </c>
      <c r="F361" t="s">
        <v>34</v>
      </c>
      <c r="G361" t="s">
        <v>40</v>
      </c>
      <c r="H361" s="2">
        <v>79</v>
      </c>
      <c r="I361" s="3">
        <v>5729</v>
      </c>
      <c r="J361" s="4">
        <v>11.54</v>
      </c>
      <c r="K361" s="2">
        <v>80</v>
      </c>
      <c r="L361" s="2">
        <v>4</v>
      </c>
      <c r="M361" s="3">
        <v>22551</v>
      </c>
      <c r="N361" t="str" cm="1">
        <f t="array" ref="N361">_xlfn.IFS(Table1_3[[#This Row],[Patient Satisfaction Score]]&gt;=83,"High",H361&lt;=75,"Low",TRUE,"Moderate")</f>
        <v>Moderate</v>
      </c>
      <c r="O361" t="str">
        <f t="shared" si="5"/>
        <v>Adult</v>
      </c>
    </row>
    <row r="362" spans="1:15">
      <c r="A362" t="s">
        <v>620</v>
      </c>
      <c r="B362" t="s">
        <v>36</v>
      </c>
      <c r="C362" t="s">
        <v>21</v>
      </c>
      <c r="D362" t="s">
        <v>16</v>
      </c>
      <c r="E362" s="2">
        <v>31</v>
      </c>
      <c r="F362" t="s">
        <v>17</v>
      </c>
      <c r="G362" t="s">
        <v>70</v>
      </c>
      <c r="H362" s="2">
        <v>79</v>
      </c>
      <c r="I362" s="3">
        <v>6634</v>
      </c>
      <c r="J362" s="4">
        <v>23.17</v>
      </c>
      <c r="K362" s="2">
        <v>50</v>
      </c>
      <c r="L362" s="2">
        <v>4</v>
      </c>
      <c r="M362" s="3">
        <v>27805</v>
      </c>
      <c r="N362" t="str" cm="1">
        <f t="array" ref="N362">_xlfn.IFS(Table1_3[[#This Row],[Patient Satisfaction Score]]&gt;=83,"High",H362&lt;=75,"Low",TRUE,"Moderate")</f>
        <v>Moderate</v>
      </c>
      <c r="O362" t="str">
        <f t="shared" si="5"/>
        <v>Adult</v>
      </c>
    </row>
    <row r="363" spans="1:15">
      <c r="A363" t="s">
        <v>755</v>
      </c>
      <c r="B363" t="s">
        <v>84</v>
      </c>
      <c r="C363" t="s">
        <v>21</v>
      </c>
      <c r="D363" t="s">
        <v>27</v>
      </c>
      <c r="E363" s="2">
        <v>31</v>
      </c>
      <c r="F363" t="s">
        <v>22</v>
      </c>
      <c r="G363" t="s">
        <v>70</v>
      </c>
      <c r="H363" s="2">
        <v>78</v>
      </c>
      <c r="I363" s="3">
        <v>6079</v>
      </c>
      <c r="J363" s="4">
        <v>10.37</v>
      </c>
      <c r="K363" s="2">
        <v>103</v>
      </c>
      <c r="L363" s="2">
        <v>4</v>
      </c>
      <c r="M363" s="3">
        <v>24110</v>
      </c>
      <c r="N363" t="str" cm="1">
        <f t="array" ref="N363">_xlfn.IFS(Table1_3[[#This Row],[Patient Satisfaction Score]]&gt;=83,"High",H363&lt;=75,"Low",TRUE,"Moderate")</f>
        <v>Moderate</v>
      </c>
      <c r="O363" t="str">
        <f t="shared" si="5"/>
        <v>Adult</v>
      </c>
    </row>
    <row r="364" spans="1:15">
      <c r="A364" t="s">
        <v>1044</v>
      </c>
      <c r="B364" t="s">
        <v>20</v>
      </c>
      <c r="C364" t="s">
        <v>21</v>
      </c>
      <c r="D364" t="s">
        <v>27</v>
      </c>
      <c r="E364" s="2">
        <v>31</v>
      </c>
      <c r="F364" t="s">
        <v>34</v>
      </c>
      <c r="G364" t="s">
        <v>40</v>
      </c>
      <c r="H364" s="2">
        <v>76</v>
      </c>
      <c r="I364" s="3">
        <v>6985</v>
      </c>
      <c r="J364" s="4">
        <v>20.82</v>
      </c>
      <c r="K364" s="2">
        <v>49</v>
      </c>
      <c r="L364" s="2">
        <v>4</v>
      </c>
      <c r="M364" s="3">
        <v>31442</v>
      </c>
      <c r="N364" t="str" cm="1">
        <f t="array" ref="N364">_xlfn.IFS(Table1_3[[#This Row],[Patient Satisfaction Score]]&gt;=83,"High",H364&lt;=75,"Low",TRUE,"Moderate")</f>
        <v>Moderate</v>
      </c>
      <c r="O364" t="str">
        <f t="shared" si="5"/>
        <v>Adult</v>
      </c>
    </row>
    <row r="365" spans="1:15">
      <c r="A365" t="s">
        <v>527</v>
      </c>
      <c r="B365" t="s">
        <v>74</v>
      </c>
      <c r="C365" t="s">
        <v>45</v>
      </c>
      <c r="D365" t="s">
        <v>16</v>
      </c>
      <c r="E365" s="2">
        <v>31</v>
      </c>
      <c r="F365" t="s">
        <v>34</v>
      </c>
      <c r="G365" t="s">
        <v>23</v>
      </c>
      <c r="H365" s="2">
        <v>75</v>
      </c>
      <c r="I365" s="3">
        <v>9174</v>
      </c>
      <c r="J365" s="4">
        <v>14.98</v>
      </c>
      <c r="K365" s="2">
        <v>115</v>
      </c>
      <c r="L365" s="2">
        <v>4</v>
      </c>
      <c r="M365" s="3">
        <v>40408</v>
      </c>
      <c r="N365" t="str" cm="1">
        <f t="array" ref="N365">_xlfn.IFS(Table1_3[[#This Row],[Patient Satisfaction Score]]&gt;=83,"High",H365&lt;=75,"Low",TRUE,"Moderate")</f>
        <v>Low</v>
      </c>
      <c r="O365" t="str">
        <f t="shared" si="5"/>
        <v>Adult</v>
      </c>
    </row>
    <row r="366" spans="1:15">
      <c r="A366" t="s">
        <v>850</v>
      </c>
      <c r="B366" t="s">
        <v>56</v>
      </c>
      <c r="C366" t="s">
        <v>45</v>
      </c>
      <c r="D366" t="s">
        <v>27</v>
      </c>
      <c r="E366" s="2">
        <v>31</v>
      </c>
      <c r="F366" t="s">
        <v>34</v>
      </c>
      <c r="G366" t="s">
        <v>70</v>
      </c>
      <c r="H366" s="2">
        <v>75</v>
      </c>
      <c r="I366" s="3">
        <v>6281</v>
      </c>
      <c r="J366" s="4">
        <v>16.12</v>
      </c>
      <c r="K366" s="2">
        <v>89</v>
      </c>
      <c r="L366" s="2">
        <v>4</v>
      </c>
      <c r="M366" s="3">
        <v>19241</v>
      </c>
      <c r="N366" t="str" cm="1">
        <f t="array" ref="N366">_xlfn.IFS(Table1_3[[#This Row],[Patient Satisfaction Score]]&gt;=83,"High",H366&lt;=75,"Low",TRUE,"Moderate")</f>
        <v>Low</v>
      </c>
      <c r="O366" t="str">
        <f t="shared" si="5"/>
        <v>Adult</v>
      </c>
    </row>
    <row r="367" spans="1:15">
      <c r="A367" t="s">
        <v>360</v>
      </c>
      <c r="B367" t="s">
        <v>78</v>
      </c>
      <c r="C367" t="s">
        <v>15</v>
      </c>
      <c r="D367" t="s">
        <v>16</v>
      </c>
      <c r="E367" s="2">
        <v>31</v>
      </c>
      <c r="F367" t="s">
        <v>34</v>
      </c>
      <c r="G367" t="s">
        <v>40</v>
      </c>
      <c r="H367" s="2">
        <v>68</v>
      </c>
      <c r="I367" s="3">
        <v>5890</v>
      </c>
      <c r="J367" s="4">
        <v>14.77</v>
      </c>
      <c r="K367" s="2">
        <v>82</v>
      </c>
      <c r="L367" s="2">
        <v>3</v>
      </c>
      <c r="M367" s="3">
        <v>16309</v>
      </c>
      <c r="N367" t="str" cm="1">
        <f t="array" ref="N367">_xlfn.IFS(Table1_3[[#This Row],[Patient Satisfaction Score]]&gt;=83,"High",H367&lt;=75,"Low",TRUE,"Moderate")</f>
        <v>Low</v>
      </c>
      <c r="O367" t="str">
        <f t="shared" si="5"/>
        <v>Adult</v>
      </c>
    </row>
    <row r="368" spans="1:15">
      <c r="A368" t="s">
        <v>815</v>
      </c>
      <c r="B368" t="s">
        <v>88</v>
      </c>
      <c r="C368" t="s">
        <v>15</v>
      </c>
      <c r="D368" t="s">
        <v>16</v>
      </c>
      <c r="E368" s="2">
        <v>31</v>
      </c>
      <c r="F368" t="s">
        <v>22</v>
      </c>
      <c r="G368" t="s">
        <v>40</v>
      </c>
      <c r="H368" s="2">
        <v>76</v>
      </c>
      <c r="I368" s="3">
        <v>6387</v>
      </c>
      <c r="J368" s="4">
        <v>9.5</v>
      </c>
      <c r="K368" s="2">
        <v>83</v>
      </c>
      <c r="L368" s="2">
        <v>4</v>
      </c>
      <c r="M368" s="3">
        <v>29174</v>
      </c>
      <c r="N368" t="str" cm="1">
        <f t="array" ref="N368">_xlfn.IFS(Table1_3[[#This Row],[Patient Satisfaction Score]]&gt;=83,"High",H368&lt;=75,"Low",TRUE,"Moderate")</f>
        <v>Moderate</v>
      </c>
      <c r="O368" t="str">
        <f t="shared" si="5"/>
        <v>Adult</v>
      </c>
    </row>
    <row r="369" spans="1:15">
      <c r="A369" t="s">
        <v>32</v>
      </c>
      <c r="B369" t="s">
        <v>33</v>
      </c>
      <c r="C369" t="s">
        <v>26</v>
      </c>
      <c r="D369" t="s">
        <v>27</v>
      </c>
      <c r="E369" s="2">
        <v>32</v>
      </c>
      <c r="F369" t="s">
        <v>34</v>
      </c>
      <c r="G369" t="s">
        <v>23</v>
      </c>
      <c r="H369" s="2">
        <v>84</v>
      </c>
      <c r="I369" s="3">
        <v>2199</v>
      </c>
      <c r="J369" s="4">
        <v>12.41</v>
      </c>
      <c r="K369" s="2">
        <v>39</v>
      </c>
      <c r="L369" s="2">
        <v>4</v>
      </c>
      <c r="M369" s="3">
        <v>5762</v>
      </c>
      <c r="N369" t="str" cm="1">
        <f t="array" ref="N369">_xlfn.IFS(Table1_3[[#This Row],[Patient Satisfaction Score]]&gt;=83,"High",H369&lt;=75,"Low",TRUE,"Moderate")</f>
        <v>High</v>
      </c>
      <c r="O369" t="str">
        <f t="shared" si="5"/>
        <v>Adult</v>
      </c>
    </row>
    <row r="370" spans="1:15">
      <c r="A370" t="s">
        <v>102</v>
      </c>
      <c r="B370" t="s">
        <v>103</v>
      </c>
      <c r="C370" t="s">
        <v>26</v>
      </c>
      <c r="D370" t="s">
        <v>16</v>
      </c>
      <c r="E370" s="2">
        <v>32</v>
      </c>
      <c r="F370" t="s">
        <v>17</v>
      </c>
      <c r="G370" t="s">
        <v>31</v>
      </c>
      <c r="H370" s="2">
        <v>77</v>
      </c>
      <c r="I370" s="3">
        <v>2775</v>
      </c>
      <c r="J370" s="4">
        <v>2.16</v>
      </c>
      <c r="K370" s="2">
        <v>62</v>
      </c>
      <c r="L370" s="2">
        <v>3</v>
      </c>
      <c r="M370" s="3">
        <v>14478</v>
      </c>
      <c r="N370" t="str" cm="1">
        <f t="array" ref="N370">_xlfn.IFS(Table1_3[[#This Row],[Patient Satisfaction Score]]&gt;=83,"High",H370&lt;=75,"Low",TRUE,"Moderate")</f>
        <v>Moderate</v>
      </c>
      <c r="O370" t="str">
        <f t="shared" si="5"/>
        <v>Adult</v>
      </c>
    </row>
    <row r="371" spans="1:15">
      <c r="A371" t="s">
        <v>242</v>
      </c>
      <c r="B371" t="s">
        <v>25</v>
      </c>
      <c r="C371" t="s">
        <v>26</v>
      </c>
      <c r="D371" t="s">
        <v>16</v>
      </c>
      <c r="E371" s="2">
        <v>32</v>
      </c>
      <c r="F371" t="s">
        <v>34</v>
      </c>
      <c r="G371" t="s">
        <v>70</v>
      </c>
      <c r="H371" s="2">
        <v>85</v>
      </c>
      <c r="I371" s="3">
        <v>1703</v>
      </c>
      <c r="J371" s="4">
        <v>6.76</v>
      </c>
      <c r="K371" s="2">
        <v>51</v>
      </c>
      <c r="L371" s="2">
        <v>4</v>
      </c>
      <c r="M371" s="3">
        <v>9061</v>
      </c>
      <c r="N371" t="str" cm="1">
        <f t="array" ref="N371">_xlfn.IFS(Table1_3[[#This Row],[Patient Satisfaction Score]]&gt;=83,"High",H371&lt;=75,"Low",TRUE,"Moderate")</f>
        <v>High</v>
      </c>
      <c r="O371" t="str">
        <f t="shared" si="5"/>
        <v>Adult</v>
      </c>
    </row>
    <row r="372" spans="1:15">
      <c r="A372" t="s">
        <v>411</v>
      </c>
      <c r="B372" t="s">
        <v>25</v>
      </c>
      <c r="C372" t="s">
        <v>26</v>
      </c>
      <c r="D372" t="s">
        <v>27</v>
      </c>
      <c r="E372" s="2">
        <v>32</v>
      </c>
      <c r="F372" t="s">
        <v>17</v>
      </c>
      <c r="G372" t="s">
        <v>40</v>
      </c>
      <c r="H372" s="2">
        <v>81</v>
      </c>
      <c r="I372" s="3">
        <v>3055</v>
      </c>
      <c r="J372" s="4">
        <v>12.74</v>
      </c>
      <c r="K372" s="2">
        <v>60</v>
      </c>
      <c r="L372" s="2">
        <v>4</v>
      </c>
      <c r="M372" s="3">
        <v>10713</v>
      </c>
      <c r="N372" t="str" cm="1">
        <f t="array" ref="N372">_xlfn.IFS(Table1_3[[#This Row],[Patient Satisfaction Score]]&gt;=83,"High",H372&lt;=75,"Low",TRUE,"Moderate")</f>
        <v>Moderate</v>
      </c>
      <c r="O372" t="str">
        <f t="shared" si="5"/>
        <v>Adult</v>
      </c>
    </row>
    <row r="373" spans="1:15">
      <c r="A373" t="s">
        <v>495</v>
      </c>
      <c r="B373" t="s">
        <v>103</v>
      </c>
      <c r="C373" t="s">
        <v>26</v>
      </c>
      <c r="D373" t="s">
        <v>16</v>
      </c>
      <c r="E373" s="2">
        <v>32</v>
      </c>
      <c r="F373" t="s">
        <v>17</v>
      </c>
      <c r="G373" t="s">
        <v>40</v>
      </c>
      <c r="H373" s="2">
        <v>84</v>
      </c>
      <c r="I373" s="3">
        <v>3266</v>
      </c>
      <c r="J373" s="4">
        <v>5.55</v>
      </c>
      <c r="K373" s="2">
        <v>41</v>
      </c>
      <c r="L373" s="2">
        <v>4</v>
      </c>
      <c r="M373" s="3">
        <v>8509</v>
      </c>
      <c r="N373" t="str" cm="1">
        <f t="array" ref="N373">_xlfn.IFS(Table1_3[[#This Row],[Patient Satisfaction Score]]&gt;=83,"High",H373&lt;=75,"Low",TRUE,"Moderate")</f>
        <v>High</v>
      </c>
      <c r="O373" t="str">
        <f t="shared" si="5"/>
        <v>Adult</v>
      </c>
    </row>
    <row r="374" spans="1:15">
      <c r="A374" t="s">
        <v>904</v>
      </c>
      <c r="B374" t="s">
        <v>103</v>
      </c>
      <c r="C374" t="s">
        <v>26</v>
      </c>
      <c r="D374" t="s">
        <v>27</v>
      </c>
      <c r="E374" s="2">
        <v>32</v>
      </c>
      <c r="F374" t="s">
        <v>34</v>
      </c>
      <c r="G374" t="s">
        <v>31</v>
      </c>
      <c r="H374" s="2">
        <v>81</v>
      </c>
      <c r="I374" s="3">
        <v>1840</v>
      </c>
      <c r="J374" s="4">
        <v>5.08</v>
      </c>
      <c r="K374" s="2">
        <v>101</v>
      </c>
      <c r="L374" s="2">
        <v>5</v>
      </c>
      <c r="M374" s="3">
        <v>5444</v>
      </c>
      <c r="N374" t="str" cm="1">
        <f t="array" ref="N374">_xlfn.IFS(Table1_3[[#This Row],[Patient Satisfaction Score]]&gt;=83,"High",H374&lt;=75,"Low",TRUE,"Moderate")</f>
        <v>Moderate</v>
      </c>
      <c r="O374" t="str">
        <f t="shared" si="5"/>
        <v>Adult</v>
      </c>
    </row>
    <row r="375" spans="1:15">
      <c r="A375" t="s">
        <v>222</v>
      </c>
      <c r="B375" t="s">
        <v>58</v>
      </c>
      <c r="C375" t="s">
        <v>48</v>
      </c>
      <c r="D375" t="s">
        <v>16</v>
      </c>
      <c r="E375" s="2">
        <v>32</v>
      </c>
      <c r="F375" t="s">
        <v>34</v>
      </c>
      <c r="G375" t="s">
        <v>18</v>
      </c>
      <c r="H375" s="2">
        <v>75</v>
      </c>
      <c r="I375" s="3">
        <v>6592</v>
      </c>
      <c r="J375" s="4">
        <v>13.04</v>
      </c>
      <c r="K375" s="2">
        <v>82</v>
      </c>
      <c r="L375" s="2">
        <v>3</v>
      </c>
      <c r="M375" s="3">
        <v>38892</v>
      </c>
      <c r="N375" t="str" cm="1">
        <f t="array" ref="N375">_xlfn.IFS(Table1_3[[#This Row],[Patient Satisfaction Score]]&gt;=83,"High",H375&lt;=75,"Low",TRUE,"Moderate")</f>
        <v>Low</v>
      </c>
      <c r="O375" t="str">
        <f t="shared" si="5"/>
        <v>Adult</v>
      </c>
    </row>
    <row r="376" spans="1:15">
      <c r="A376" t="s">
        <v>303</v>
      </c>
      <c r="B376" t="s">
        <v>122</v>
      </c>
      <c r="C376" t="s">
        <v>48</v>
      </c>
      <c r="D376" t="s">
        <v>27</v>
      </c>
      <c r="E376" s="2">
        <v>32</v>
      </c>
      <c r="F376" t="s">
        <v>17</v>
      </c>
      <c r="G376" t="s">
        <v>49</v>
      </c>
      <c r="H376" s="2">
        <v>85</v>
      </c>
      <c r="I376" s="3">
        <v>5149</v>
      </c>
      <c r="J376" s="4">
        <v>9.9600000000000009</v>
      </c>
      <c r="K376" s="2">
        <v>87</v>
      </c>
      <c r="L376" s="2">
        <v>4</v>
      </c>
      <c r="M376" s="3">
        <v>22232</v>
      </c>
      <c r="N376" t="str" cm="1">
        <f t="array" ref="N376">_xlfn.IFS(Table1_3[[#This Row],[Patient Satisfaction Score]]&gt;=83,"High",H376&lt;=75,"Low",TRUE,"Moderate")</f>
        <v>High</v>
      </c>
      <c r="O376" t="str">
        <f t="shared" si="5"/>
        <v>Adult</v>
      </c>
    </row>
    <row r="377" spans="1:15">
      <c r="A377" t="s">
        <v>498</v>
      </c>
      <c r="B377" t="s">
        <v>47</v>
      </c>
      <c r="C377" t="s">
        <v>48</v>
      </c>
      <c r="D377" t="s">
        <v>16</v>
      </c>
      <c r="E377" s="2">
        <v>32</v>
      </c>
      <c r="F377" t="s">
        <v>17</v>
      </c>
      <c r="G377" t="s">
        <v>23</v>
      </c>
      <c r="H377" s="2">
        <v>86</v>
      </c>
      <c r="I377" s="3">
        <v>4032</v>
      </c>
      <c r="J377" s="4">
        <v>10.43</v>
      </c>
      <c r="K377" s="2">
        <v>70</v>
      </c>
      <c r="L377" s="2">
        <v>4</v>
      </c>
      <c r="M377" s="3">
        <v>23281</v>
      </c>
      <c r="N377" t="str" cm="1">
        <f t="array" ref="N377">_xlfn.IFS(Table1_3[[#This Row],[Patient Satisfaction Score]]&gt;=83,"High",H377&lt;=75,"Low",TRUE,"Moderate")</f>
        <v>High</v>
      </c>
      <c r="O377" t="str">
        <f t="shared" si="5"/>
        <v>Adult</v>
      </c>
    </row>
    <row r="378" spans="1:15">
      <c r="A378" t="s">
        <v>145</v>
      </c>
      <c r="B378" t="s">
        <v>62</v>
      </c>
      <c r="C378" t="s">
        <v>52</v>
      </c>
      <c r="D378" t="s">
        <v>27</v>
      </c>
      <c r="E378" s="2">
        <v>32</v>
      </c>
      <c r="F378" t="s">
        <v>22</v>
      </c>
      <c r="G378" t="s">
        <v>23</v>
      </c>
      <c r="H378" s="2">
        <v>71</v>
      </c>
      <c r="I378" s="3">
        <v>9770</v>
      </c>
      <c r="J378" s="4">
        <v>17.09</v>
      </c>
      <c r="K378" s="2">
        <v>95</v>
      </c>
      <c r="L378" s="2">
        <v>5</v>
      </c>
      <c r="M378" s="3">
        <v>38507</v>
      </c>
      <c r="N378" t="str" cm="1">
        <f t="array" ref="N378">_xlfn.IFS(Table1_3[[#This Row],[Patient Satisfaction Score]]&gt;=83,"High",H378&lt;=75,"Low",TRUE,"Moderate")</f>
        <v>Low</v>
      </c>
      <c r="O378" t="str">
        <f t="shared" si="5"/>
        <v>Adult</v>
      </c>
    </row>
    <row r="379" spans="1:15">
      <c r="A379" t="s">
        <v>627</v>
      </c>
      <c r="B379" t="s">
        <v>185</v>
      </c>
      <c r="C379" t="s">
        <v>52</v>
      </c>
      <c r="D379" t="s">
        <v>27</v>
      </c>
      <c r="E379" s="2">
        <v>32</v>
      </c>
      <c r="F379" t="s">
        <v>34</v>
      </c>
      <c r="G379" t="s">
        <v>31</v>
      </c>
      <c r="H379" s="2">
        <v>88</v>
      </c>
      <c r="I379" s="3">
        <v>6636</v>
      </c>
      <c r="J379" s="4">
        <v>8.15</v>
      </c>
      <c r="K379" s="2">
        <v>62</v>
      </c>
      <c r="L379" s="2">
        <v>4</v>
      </c>
      <c r="M379" s="3">
        <v>20303</v>
      </c>
      <c r="N379" t="str" cm="1">
        <f t="array" ref="N379">_xlfn.IFS(Table1_3[[#This Row],[Patient Satisfaction Score]]&gt;=83,"High",H379&lt;=75,"Low",TRUE,"Moderate")</f>
        <v>High</v>
      </c>
      <c r="O379" t="str">
        <f t="shared" si="5"/>
        <v>Adult</v>
      </c>
    </row>
    <row r="380" spans="1:15">
      <c r="A380" t="s">
        <v>934</v>
      </c>
      <c r="B380" t="s">
        <v>60</v>
      </c>
      <c r="C380" t="s">
        <v>52</v>
      </c>
      <c r="D380" t="s">
        <v>27</v>
      </c>
      <c r="E380" s="2">
        <v>32</v>
      </c>
      <c r="F380" t="s">
        <v>22</v>
      </c>
      <c r="G380" t="s">
        <v>40</v>
      </c>
      <c r="H380" s="2">
        <v>86</v>
      </c>
      <c r="I380" s="3">
        <v>8576</v>
      </c>
      <c r="J380" s="4">
        <v>10.36</v>
      </c>
      <c r="K380" s="2">
        <v>84</v>
      </c>
      <c r="L380" s="2">
        <v>4</v>
      </c>
      <c r="M380" s="3">
        <v>38171</v>
      </c>
      <c r="N380" t="str" cm="1">
        <f t="array" ref="N380">_xlfn.IFS(Table1_3[[#This Row],[Patient Satisfaction Score]]&gt;=83,"High",H380&lt;=75,"Low",TRUE,"Moderate")</f>
        <v>High</v>
      </c>
      <c r="O380" t="str">
        <f t="shared" si="5"/>
        <v>Adult</v>
      </c>
    </row>
    <row r="381" spans="1:15">
      <c r="A381" t="s">
        <v>744</v>
      </c>
      <c r="B381" t="s">
        <v>129</v>
      </c>
      <c r="C381" t="s">
        <v>21</v>
      </c>
      <c r="D381" t="s">
        <v>16</v>
      </c>
      <c r="E381" s="2">
        <v>32</v>
      </c>
      <c r="F381" t="s">
        <v>22</v>
      </c>
      <c r="G381" t="s">
        <v>49</v>
      </c>
      <c r="H381" s="2">
        <v>80</v>
      </c>
      <c r="I381" s="3">
        <v>7209</v>
      </c>
      <c r="J381" s="4">
        <v>6.31</v>
      </c>
      <c r="K381" s="2">
        <v>93</v>
      </c>
      <c r="L381" s="2">
        <v>4</v>
      </c>
      <c r="M381" s="3">
        <v>38612</v>
      </c>
      <c r="N381" t="str" cm="1">
        <f t="array" ref="N381">_xlfn.IFS(Table1_3[[#This Row],[Patient Satisfaction Score]]&gt;=83,"High",H381&lt;=75,"Low",TRUE,"Moderate")</f>
        <v>Moderate</v>
      </c>
      <c r="O381" t="str">
        <f t="shared" si="5"/>
        <v>Adult</v>
      </c>
    </row>
    <row r="382" spans="1:15">
      <c r="A382" t="s">
        <v>236</v>
      </c>
      <c r="B382" t="s">
        <v>56</v>
      </c>
      <c r="C382" t="s">
        <v>45</v>
      </c>
      <c r="D382" t="s">
        <v>27</v>
      </c>
      <c r="E382" s="2">
        <v>32</v>
      </c>
      <c r="F382" t="s">
        <v>34</v>
      </c>
      <c r="G382" t="s">
        <v>31</v>
      </c>
      <c r="H382" s="2">
        <v>73</v>
      </c>
      <c r="I382" s="3">
        <v>11955</v>
      </c>
      <c r="J382" s="4">
        <v>21.04</v>
      </c>
      <c r="K382" s="2">
        <v>68</v>
      </c>
      <c r="L382" s="2">
        <v>5</v>
      </c>
      <c r="M382" s="3">
        <v>45778</v>
      </c>
      <c r="N382" t="str" cm="1">
        <f t="array" ref="N382">_xlfn.IFS(Table1_3[[#This Row],[Patient Satisfaction Score]]&gt;=83,"High",H382&lt;=75,"Low",TRUE,"Moderate")</f>
        <v>Low</v>
      </c>
      <c r="O382" t="str">
        <f t="shared" si="5"/>
        <v>Adult</v>
      </c>
    </row>
    <row r="383" spans="1:15">
      <c r="A383" t="s">
        <v>241</v>
      </c>
      <c r="B383" t="s">
        <v>74</v>
      </c>
      <c r="C383" t="s">
        <v>45</v>
      </c>
      <c r="D383" t="s">
        <v>27</v>
      </c>
      <c r="E383" s="2">
        <v>32</v>
      </c>
      <c r="F383" t="s">
        <v>34</v>
      </c>
      <c r="G383" t="s">
        <v>31</v>
      </c>
      <c r="H383" s="2">
        <v>74</v>
      </c>
      <c r="I383" s="3">
        <v>8758</v>
      </c>
      <c r="J383" s="4">
        <v>16.36</v>
      </c>
      <c r="K383" s="2">
        <v>63</v>
      </c>
      <c r="L383" s="2">
        <v>4</v>
      </c>
      <c r="M383" s="3">
        <v>37992</v>
      </c>
      <c r="N383" t="str" cm="1">
        <f t="array" ref="N383">_xlfn.IFS(Table1_3[[#This Row],[Patient Satisfaction Score]]&gt;=83,"High",H383&lt;=75,"Low",TRUE,"Moderate")</f>
        <v>Low</v>
      </c>
      <c r="O383" t="str">
        <f t="shared" si="5"/>
        <v>Adult</v>
      </c>
    </row>
    <row r="384" spans="1:15">
      <c r="A384" t="s">
        <v>490</v>
      </c>
      <c r="B384" t="s">
        <v>44</v>
      </c>
      <c r="C384" t="s">
        <v>45</v>
      </c>
      <c r="D384" t="s">
        <v>27</v>
      </c>
      <c r="E384" s="2">
        <v>32</v>
      </c>
      <c r="F384" t="s">
        <v>34</v>
      </c>
      <c r="G384" t="s">
        <v>31</v>
      </c>
      <c r="H384" s="2">
        <v>72</v>
      </c>
      <c r="I384" s="3">
        <v>4054</v>
      </c>
      <c r="J384" s="4">
        <v>15</v>
      </c>
      <c r="K384" s="2">
        <v>104</v>
      </c>
      <c r="L384" s="2">
        <v>4</v>
      </c>
      <c r="M384" s="3">
        <v>21877</v>
      </c>
      <c r="N384" t="str" cm="1">
        <f t="array" ref="N384">_xlfn.IFS(Table1_3[[#This Row],[Patient Satisfaction Score]]&gt;=83,"High",H384&lt;=75,"Low",TRUE,"Moderate")</f>
        <v>Low</v>
      </c>
      <c r="O384" t="str">
        <f t="shared" si="5"/>
        <v>Adult</v>
      </c>
    </row>
    <row r="385" spans="1:15">
      <c r="A385" t="s">
        <v>28</v>
      </c>
      <c r="B385" t="s">
        <v>29</v>
      </c>
      <c r="C385" t="s">
        <v>30</v>
      </c>
      <c r="D385" t="s">
        <v>27</v>
      </c>
      <c r="E385" s="2">
        <v>32</v>
      </c>
      <c r="F385" t="s">
        <v>22</v>
      </c>
      <c r="G385" t="s">
        <v>31</v>
      </c>
      <c r="H385" s="2">
        <v>71</v>
      </c>
      <c r="I385" s="3">
        <v>5291</v>
      </c>
      <c r="J385" s="4">
        <v>19.579999999999998</v>
      </c>
      <c r="K385" s="2">
        <v>121</v>
      </c>
      <c r="L385" s="2">
        <v>3</v>
      </c>
      <c r="M385" s="3">
        <v>16385</v>
      </c>
      <c r="N385" t="str" cm="1">
        <f t="array" ref="N385">_xlfn.IFS(Table1_3[[#This Row],[Patient Satisfaction Score]]&gt;=83,"High",H385&lt;=75,"Low",TRUE,"Moderate")</f>
        <v>Low</v>
      </c>
      <c r="O385" t="str">
        <f t="shared" si="5"/>
        <v>Adult</v>
      </c>
    </row>
    <row r="386" spans="1:15">
      <c r="A386" t="s">
        <v>194</v>
      </c>
      <c r="B386" t="s">
        <v>64</v>
      </c>
      <c r="C386" t="s">
        <v>30</v>
      </c>
      <c r="D386" t="s">
        <v>27</v>
      </c>
      <c r="E386" s="2">
        <v>32</v>
      </c>
      <c r="F386" t="s">
        <v>17</v>
      </c>
      <c r="G386" t="s">
        <v>31</v>
      </c>
      <c r="H386" s="2">
        <v>76</v>
      </c>
      <c r="I386" s="3">
        <v>3700</v>
      </c>
      <c r="J386" s="4">
        <v>19.34</v>
      </c>
      <c r="K386" s="2">
        <v>102</v>
      </c>
      <c r="L386" s="2">
        <v>5</v>
      </c>
      <c r="M386" s="3">
        <v>10376</v>
      </c>
      <c r="N386" t="str" cm="1">
        <f t="array" ref="N386">_xlfn.IFS(Table1_3[[#This Row],[Patient Satisfaction Score]]&gt;=83,"High",H386&lt;=75,"Low",TRUE,"Moderate")</f>
        <v>Moderate</v>
      </c>
      <c r="O386" t="str">
        <f t="shared" ref="O386:O449" si="6">IF(E386&lt;19,"Pediatric","Adult")</f>
        <v>Adult</v>
      </c>
    </row>
    <row r="387" spans="1:15">
      <c r="A387" t="s">
        <v>287</v>
      </c>
      <c r="B387" t="s">
        <v>187</v>
      </c>
      <c r="C387" t="s">
        <v>30</v>
      </c>
      <c r="D387" t="s">
        <v>27</v>
      </c>
      <c r="E387" s="2">
        <v>32</v>
      </c>
      <c r="F387" t="s">
        <v>22</v>
      </c>
      <c r="G387" t="s">
        <v>31</v>
      </c>
      <c r="H387" s="2">
        <v>73</v>
      </c>
      <c r="I387" s="3">
        <v>3495</v>
      </c>
      <c r="J387" s="4">
        <v>23.25</v>
      </c>
      <c r="K387" s="2">
        <v>126</v>
      </c>
      <c r="L387" s="2">
        <v>3</v>
      </c>
      <c r="M387" s="3">
        <v>17394</v>
      </c>
      <c r="N387" t="str" cm="1">
        <f t="array" ref="N387">_xlfn.IFS(Table1_3[[#This Row],[Patient Satisfaction Score]]&gt;=83,"High",H387&lt;=75,"Low",TRUE,"Moderate")</f>
        <v>Low</v>
      </c>
      <c r="O387" t="str">
        <f t="shared" si="6"/>
        <v>Adult</v>
      </c>
    </row>
    <row r="388" spans="1:15">
      <c r="A388" t="s">
        <v>702</v>
      </c>
      <c r="B388" t="s">
        <v>109</v>
      </c>
      <c r="C388" t="s">
        <v>30</v>
      </c>
      <c r="D388" t="s">
        <v>16</v>
      </c>
      <c r="E388" s="2">
        <v>32</v>
      </c>
      <c r="F388" t="s">
        <v>34</v>
      </c>
      <c r="G388" t="s">
        <v>49</v>
      </c>
      <c r="H388" s="2">
        <v>72</v>
      </c>
      <c r="I388" s="3">
        <v>3362</v>
      </c>
      <c r="J388" s="4">
        <v>16.14</v>
      </c>
      <c r="K388" s="2">
        <v>124</v>
      </c>
      <c r="L388" s="2">
        <v>3</v>
      </c>
      <c r="M388" s="3">
        <v>17556</v>
      </c>
      <c r="N388" t="str" cm="1">
        <f t="array" ref="N388">_xlfn.IFS(Table1_3[[#This Row],[Patient Satisfaction Score]]&gt;=83,"High",H388&lt;=75,"Low",TRUE,"Moderate")</f>
        <v>Low</v>
      </c>
      <c r="O388" t="str">
        <f t="shared" si="6"/>
        <v>Adult</v>
      </c>
    </row>
    <row r="389" spans="1:15">
      <c r="A389" t="s">
        <v>786</v>
      </c>
      <c r="B389" t="s">
        <v>109</v>
      </c>
      <c r="C389" t="s">
        <v>30</v>
      </c>
      <c r="D389" t="s">
        <v>27</v>
      </c>
      <c r="E389" s="2">
        <v>32</v>
      </c>
      <c r="F389" t="s">
        <v>22</v>
      </c>
      <c r="G389" t="s">
        <v>70</v>
      </c>
      <c r="H389" s="2">
        <v>71</v>
      </c>
      <c r="I389" s="3">
        <v>2561</v>
      </c>
      <c r="J389" s="4">
        <v>19.73</v>
      </c>
      <c r="K389" s="2">
        <v>89</v>
      </c>
      <c r="L389" s="2">
        <v>4</v>
      </c>
      <c r="M389" s="3">
        <v>7618</v>
      </c>
      <c r="N389" t="str" cm="1">
        <f t="array" ref="N389">_xlfn.IFS(Table1_3[[#This Row],[Patient Satisfaction Score]]&gt;=83,"High",H389&lt;=75,"Low",TRUE,"Moderate")</f>
        <v>Low</v>
      </c>
      <c r="O389" t="str">
        <f t="shared" si="6"/>
        <v>Adult</v>
      </c>
    </row>
    <row r="390" spans="1:15">
      <c r="A390" t="s">
        <v>367</v>
      </c>
      <c r="B390" t="s">
        <v>80</v>
      </c>
      <c r="C390" t="s">
        <v>15</v>
      </c>
      <c r="D390" t="s">
        <v>27</v>
      </c>
      <c r="E390" s="2">
        <v>32</v>
      </c>
      <c r="F390" t="s">
        <v>17</v>
      </c>
      <c r="G390" t="s">
        <v>23</v>
      </c>
      <c r="H390" s="2">
        <v>74</v>
      </c>
      <c r="I390" s="3">
        <v>8337</v>
      </c>
      <c r="J390" s="4">
        <v>11.87</v>
      </c>
      <c r="K390" s="2">
        <v>85</v>
      </c>
      <c r="L390" s="2">
        <v>4</v>
      </c>
      <c r="M390" s="3">
        <v>23815</v>
      </c>
      <c r="N390" t="str" cm="1">
        <f t="array" ref="N390">_xlfn.IFS(Table1_3[[#This Row],[Patient Satisfaction Score]]&gt;=83,"High",H390&lt;=75,"Low",TRUE,"Moderate")</f>
        <v>Low</v>
      </c>
      <c r="O390" t="str">
        <f t="shared" si="6"/>
        <v>Adult</v>
      </c>
    </row>
    <row r="391" spans="1:15">
      <c r="A391" t="s">
        <v>593</v>
      </c>
      <c r="B391" t="s">
        <v>88</v>
      </c>
      <c r="C391" t="s">
        <v>15</v>
      </c>
      <c r="D391" t="s">
        <v>27</v>
      </c>
      <c r="E391" s="2">
        <v>32</v>
      </c>
      <c r="F391" t="s">
        <v>17</v>
      </c>
      <c r="G391" t="s">
        <v>40</v>
      </c>
      <c r="H391" s="2">
        <v>74</v>
      </c>
      <c r="I391" s="3">
        <v>7731</v>
      </c>
      <c r="J391" s="4">
        <v>8.66</v>
      </c>
      <c r="K391" s="2">
        <v>70</v>
      </c>
      <c r="L391" s="2">
        <v>4</v>
      </c>
      <c r="M391" s="3">
        <v>35979</v>
      </c>
      <c r="N391" t="str" cm="1">
        <f t="array" ref="N391">_xlfn.IFS(Table1_3[[#This Row],[Patient Satisfaction Score]]&gt;=83,"High",H391&lt;=75,"Low",TRUE,"Moderate")</f>
        <v>Low</v>
      </c>
      <c r="O391" t="str">
        <f t="shared" si="6"/>
        <v>Adult</v>
      </c>
    </row>
    <row r="392" spans="1:15">
      <c r="A392" t="s">
        <v>900</v>
      </c>
      <c r="B392" t="s">
        <v>54</v>
      </c>
      <c r="C392" t="s">
        <v>15</v>
      </c>
      <c r="D392" t="s">
        <v>16</v>
      </c>
      <c r="E392" s="2">
        <v>32</v>
      </c>
      <c r="F392" t="s">
        <v>17</v>
      </c>
      <c r="G392" t="s">
        <v>18</v>
      </c>
      <c r="H392" s="2">
        <v>70</v>
      </c>
      <c r="I392" s="3">
        <v>9026</v>
      </c>
      <c r="J392" s="4">
        <v>19.75</v>
      </c>
      <c r="K392" s="2">
        <v>116</v>
      </c>
      <c r="L392" s="2">
        <v>4</v>
      </c>
      <c r="M392" s="3">
        <v>49725</v>
      </c>
      <c r="N392" t="str" cm="1">
        <f t="array" ref="N392">_xlfn.IFS(Table1_3[[#This Row],[Patient Satisfaction Score]]&gt;=83,"High",H392&lt;=75,"Low",TRUE,"Moderate")</f>
        <v>Low</v>
      </c>
      <c r="O392" t="str">
        <f t="shared" si="6"/>
        <v>Adult</v>
      </c>
    </row>
    <row r="393" spans="1:15">
      <c r="A393" t="s">
        <v>403</v>
      </c>
      <c r="B393" t="s">
        <v>25</v>
      </c>
      <c r="C393" t="s">
        <v>26</v>
      </c>
      <c r="D393" t="s">
        <v>16</v>
      </c>
      <c r="E393" s="2">
        <v>33</v>
      </c>
      <c r="F393" t="s">
        <v>17</v>
      </c>
      <c r="G393" t="s">
        <v>40</v>
      </c>
      <c r="H393" s="2">
        <v>88</v>
      </c>
      <c r="I393" s="3">
        <v>3401</v>
      </c>
      <c r="J393" s="4">
        <v>6.53</v>
      </c>
      <c r="K393" s="2">
        <v>49</v>
      </c>
      <c r="L393" s="2">
        <v>4</v>
      </c>
      <c r="M393" s="3">
        <v>15451</v>
      </c>
      <c r="N393" t="str" cm="1">
        <f t="array" ref="N393">_xlfn.IFS(Table1_3[[#This Row],[Patient Satisfaction Score]]&gt;=83,"High",H393&lt;=75,"Low",TRUE,"Moderate")</f>
        <v>High</v>
      </c>
      <c r="O393" t="str">
        <f t="shared" si="6"/>
        <v>Adult</v>
      </c>
    </row>
    <row r="394" spans="1:15">
      <c r="A394" t="s">
        <v>801</v>
      </c>
      <c r="B394" t="s">
        <v>103</v>
      </c>
      <c r="C394" t="s">
        <v>26</v>
      </c>
      <c r="D394" t="s">
        <v>16</v>
      </c>
      <c r="E394" s="2">
        <v>33</v>
      </c>
      <c r="F394" t="s">
        <v>22</v>
      </c>
      <c r="G394" t="s">
        <v>40</v>
      </c>
      <c r="H394" s="2">
        <v>88</v>
      </c>
      <c r="I394" s="3">
        <v>1463</v>
      </c>
      <c r="J394" s="4">
        <v>1.19</v>
      </c>
      <c r="K394" s="2">
        <v>71</v>
      </c>
      <c r="L394" s="2">
        <v>4</v>
      </c>
      <c r="M394" s="3">
        <v>7798</v>
      </c>
      <c r="N394" t="str" cm="1">
        <f t="array" ref="N394">_xlfn.IFS(Table1_3[[#This Row],[Patient Satisfaction Score]]&gt;=83,"High",H394&lt;=75,"Low",TRUE,"Moderate")</f>
        <v>High</v>
      </c>
      <c r="O394" t="str">
        <f t="shared" si="6"/>
        <v>Adult</v>
      </c>
    </row>
    <row r="395" spans="1:15">
      <c r="A395" t="s">
        <v>491</v>
      </c>
      <c r="B395" t="s">
        <v>47</v>
      </c>
      <c r="C395" t="s">
        <v>48</v>
      </c>
      <c r="D395" t="s">
        <v>16</v>
      </c>
      <c r="E395" s="2">
        <v>33</v>
      </c>
      <c r="F395" t="s">
        <v>17</v>
      </c>
      <c r="G395" t="s">
        <v>40</v>
      </c>
      <c r="H395" s="2">
        <v>82</v>
      </c>
      <c r="I395" s="3">
        <v>8892</v>
      </c>
      <c r="J395" s="4">
        <v>12.89</v>
      </c>
      <c r="K395" s="2">
        <v>52</v>
      </c>
      <c r="L395" s="2">
        <v>4</v>
      </c>
      <c r="M395" s="3">
        <v>37830</v>
      </c>
      <c r="N395" t="str" cm="1">
        <f t="array" ref="N395">_xlfn.IFS(Table1_3[[#This Row],[Patient Satisfaction Score]]&gt;=83,"High",H395&lt;=75,"Low",TRUE,"Moderate")</f>
        <v>Moderate</v>
      </c>
      <c r="O395" t="str">
        <f t="shared" si="6"/>
        <v>Adult</v>
      </c>
    </row>
    <row r="396" spans="1:15">
      <c r="A396" t="s">
        <v>732</v>
      </c>
      <c r="B396" t="s">
        <v>58</v>
      </c>
      <c r="C396" t="s">
        <v>48</v>
      </c>
      <c r="D396" t="s">
        <v>27</v>
      </c>
      <c r="E396" s="2">
        <v>33</v>
      </c>
      <c r="F396" t="s">
        <v>17</v>
      </c>
      <c r="G396" t="s">
        <v>70</v>
      </c>
      <c r="H396" s="2">
        <v>82</v>
      </c>
      <c r="I396" s="3">
        <v>5786</v>
      </c>
      <c r="J396" s="4">
        <v>8.35</v>
      </c>
      <c r="K396" s="2">
        <v>56</v>
      </c>
      <c r="L396" s="2">
        <v>4</v>
      </c>
      <c r="M396" s="3">
        <v>17104</v>
      </c>
      <c r="N396" t="str" cm="1">
        <f t="array" ref="N396">_xlfn.IFS(Table1_3[[#This Row],[Patient Satisfaction Score]]&gt;=83,"High",H396&lt;=75,"Low",TRUE,"Moderate")</f>
        <v>Moderate</v>
      </c>
      <c r="O396" t="str">
        <f t="shared" si="6"/>
        <v>Adult</v>
      </c>
    </row>
    <row r="397" spans="1:15">
      <c r="A397" t="s">
        <v>551</v>
      </c>
      <c r="B397" t="s">
        <v>60</v>
      </c>
      <c r="C397" t="s">
        <v>52</v>
      </c>
      <c r="D397" t="s">
        <v>27</v>
      </c>
      <c r="E397" s="2">
        <v>33</v>
      </c>
      <c r="F397" t="s">
        <v>22</v>
      </c>
      <c r="G397" t="s">
        <v>18</v>
      </c>
      <c r="H397" s="2">
        <v>85</v>
      </c>
      <c r="I397" s="3">
        <v>6691</v>
      </c>
      <c r="J397" s="4">
        <v>7.47</v>
      </c>
      <c r="K397" s="2">
        <v>100</v>
      </c>
      <c r="L397" s="2">
        <v>5</v>
      </c>
      <c r="M397" s="3">
        <v>24109</v>
      </c>
      <c r="N397" t="str" cm="1">
        <f t="array" ref="N397">_xlfn.IFS(Table1_3[[#This Row],[Patient Satisfaction Score]]&gt;=83,"High",H397&lt;=75,"Low",TRUE,"Moderate")</f>
        <v>High</v>
      </c>
      <c r="O397" t="str">
        <f t="shared" si="6"/>
        <v>Adult</v>
      </c>
    </row>
    <row r="398" spans="1:15">
      <c r="A398" t="s">
        <v>807</v>
      </c>
      <c r="B398" t="s">
        <v>95</v>
      </c>
      <c r="C398" t="s">
        <v>52</v>
      </c>
      <c r="D398" t="s">
        <v>27</v>
      </c>
      <c r="E398" s="2">
        <v>33</v>
      </c>
      <c r="F398" t="s">
        <v>34</v>
      </c>
      <c r="G398" t="s">
        <v>49</v>
      </c>
      <c r="H398" s="2">
        <v>78</v>
      </c>
      <c r="I398" s="3">
        <v>9259</v>
      </c>
      <c r="J398" s="4">
        <v>14.52</v>
      </c>
      <c r="K398" s="2">
        <v>80</v>
      </c>
      <c r="L398" s="2">
        <v>4</v>
      </c>
      <c r="M398" s="3">
        <v>37996</v>
      </c>
      <c r="N398" t="str" cm="1">
        <f t="array" ref="N398">_xlfn.IFS(Table1_3[[#This Row],[Patient Satisfaction Score]]&gt;=83,"High",H398&lt;=75,"Low",TRUE,"Moderate")</f>
        <v>Moderate</v>
      </c>
      <c r="O398" t="str">
        <f t="shared" si="6"/>
        <v>Adult</v>
      </c>
    </row>
    <row r="399" spans="1:15">
      <c r="A399" t="s">
        <v>710</v>
      </c>
      <c r="B399" t="s">
        <v>20</v>
      </c>
      <c r="C399" t="s">
        <v>21</v>
      </c>
      <c r="D399" t="s">
        <v>27</v>
      </c>
      <c r="E399" s="2">
        <v>33</v>
      </c>
      <c r="F399" t="s">
        <v>17</v>
      </c>
      <c r="G399" t="s">
        <v>31</v>
      </c>
      <c r="H399" s="2">
        <v>68</v>
      </c>
      <c r="I399" s="3">
        <v>5816</v>
      </c>
      <c r="J399" s="4">
        <v>15.13</v>
      </c>
      <c r="K399" s="2">
        <v>131</v>
      </c>
      <c r="L399" s="2">
        <v>3</v>
      </c>
      <c r="M399" s="3">
        <v>23395</v>
      </c>
      <c r="N399" t="str" cm="1">
        <f t="array" ref="N399">_xlfn.IFS(Table1_3[[#This Row],[Patient Satisfaction Score]]&gt;=83,"High",H399&lt;=75,"Low",TRUE,"Moderate")</f>
        <v>Low</v>
      </c>
      <c r="O399" t="str">
        <f t="shared" si="6"/>
        <v>Adult</v>
      </c>
    </row>
    <row r="400" spans="1:15">
      <c r="A400" t="s">
        <v>163</v>
      </c>
      <c r="B400" t="s">
        <v>68</v>
      </c>
      <c r="C400" t="s">
        <v>45</v>
      </c>
      <c r="D400" t="s">
        <v>16</v>
      </c>
      <c r="E400" s="2">
        <v>33</v>
      </c>
      <c r="F400" t="s">
        <v>34</v>
      </c>
      <c r="G400" t="s">
        <v>49</v>
      </c>
      <c r="H400" s="2">
        <v>74</v>
      </c>
      <c r="I400" s="3">
        <v>8941</v>
      </c>
      <c r="J400" s="4">
        <v>14.83</v>
      </c>
      <c r="K400" s="2">
        <v>84</v>
      </c>
      <c r="L400" s="2">
        <v>4</v>
      </c>
      <c r="M400" s="3">
        <v>46621</v>
      </c>
      <c r="N400" t="str" cm="1">
        <f t="array" ref="N400">_xlfn.IFS(Table1_3[[#This Row],[Patient Satisfaction Score]]&gt;=83,"High",H400&lt;=75,"Low",TRUE,"Moderate")</f>
        <v>Low</v>
      </c>
      <c r="O400" t="str">
        <f t="shared" si="6"/>
        <v>Adult</v>
      </c>
    </row>
    <row r="401" spans="1:15">
      <c r="A401" t="s">
        <v>204</v>
      </c>
      <c r="B401" t="s">
        <v>74</v>
      </c>
      <c r="C401" t="s">
        <v>45</v>
      </c>
      <c r="D401" t="s">
        <v>27</v>
      </c>
      <c r="E401" s="2">
        <v>33</v>
      </c>
      <c r="F401" t="s">
        <v>34</v>
      </c>
      <c r="G401" t="s">
        <v>31</v>
      </c>
      <c r="H401" s="2">
        <v>77</v>
      </c>
      <c r="I401" s="3">
        <v>6393</v>
      </c>
      <c r="J401" s="4">
        <v>8.1999999999999993</v>
      </c>
      <c r="K401" s="2">
        <v>132</v>
      </c>
      <c r="L401" s="2">
        <v>4</v>
      </c>
      <c r="M401" s="3">
        <v>31503</v>
      </c>
      <c r="N401" t="str" cm="1">
        <f t="array" ref="N401">_xlfn.IFS(Table1_3[[#This Row],[Patient Satisfaction Score]]&gt;=83,"High",H401&lt;=75,"Low",TRUE,"Moderate")</f>
        <v>Moderate</v>
      </c>
      <c r="O401" t="str">
        <f t="shared" si="6"/>
        <v>Adult</v>
      </c>
    </row>
    <row r="402" spans="1:15">
      <c r="A402" t="s">
        <v>263</v>
      </c>
      <c r="B402" t="s">
        <v>68</v>
      </c>
      <c r="C402" t="s">
        <v>45</v>
      </c>
      <c r="D402" t="s">
        <v>27</v>
      </c>
      <c r="E402" s="2">
        <v>33</v>
      </c>
      <c r="F402" t="s">
        <v>34</v>
      </c>
      <c r="G402" t="s">
        <v>40</v>
      </c>
      <c r="H402" s="2">
        <v>79</v>
      </c>
      <c r="I402" s="3">
        <v>8338</v>
      </c>
      <c r="J402" s="4">
        <v>14.17</v>
      </c>
      <c r="K402" s="2">
        <v>86</v>
      </c>
      <c r="L402" s="2">
        <v>4</v>
      </c>
      <c r="M402" s="3">
        <v>22662</v>
      </c>
      <c r="N402" t="str" cm="1">
        <f t="array" ref="N402">_xlfn.IFS(Table1_3[[#This Row],[Patient Satisfaction Score]]&gt;=83,"High",H402&lt;=75,"Low",TRUE,"Moderate")</f>
        <v>Moderate</v>
      </c>
      <c r="O402" t="str">
        <f t="shared" si="6"/>
        <v>Adult</v>
      </c>
    </row>
    <row r="403" spans="1:15">
      <c r="A403" t="s">
        <v>767</v>
      </c>
      <c r="B403" t="s">
        <v>97</v>
      </c>
      <c r="C403" t="s">
        <v>30</v>
      </c>
      <c r="D403" t="s">
        <v>16</v>
      </c>
      <c r="E403" s="2">
        <v>33</v>
      </c>
      <c r="F403" t="s">
        <v>34</v>
      </c>
      <c r="G403" t="s">
        <v>40</v>
      </c>
      <c r="H403" s="2">
        <v>66</v>
      </c>
      <c r="I403" s="3">
        <v>4899</v>
      </c>
      <c r="J403" s="4">
        <v>26.11</v>
      </c>
      <c r="K403" s="2">
        <v>117</v>
      </c>
      <c r="L403" s="2">
        <v>3</v>
      </c>
      <c r="M403" s="3">
        <v>26878</v>
      </c>
      <c r="N403" t="str" cm="1">
        <f t="array" ref="N403">_xlfn.IFS(Table1_3[[#This Row],[Patient Satisfaction Score]]&gt;=83,"High",H403&lt;=75,"Low",TRUE,"Moderate")</f>
        <v>Low</v>
      </c>
      <c r="O403" t="str">
        <f t="shared" si="6"/>
        <v>Adult</v>
      </c>
    </row>
    <row r="404" spans="1:15">
      <c r="A404" t="s">
        <v>101</v>
      </c>
      <c r="B404" t="s">
        <v>14</v>
      </c>
      <c r="C404" t="s">
        <v>15</v>
      </c>
      <c r="D404" t="s">
        <v>16</v>
      </c>
      <c r="E404" s="2">
        <v>33</v>
      </c>
      <c r="F404" t="s">
        <v>34</v>
      </c>
      <c r="G404" t="s">
        <v>70</v>
      </c>
      <c r="H404" s="2">
        <v>80</v>
      </c>
      <c r="I404" s="3">
        <v>7499</v>
      </c>
      <c r="J404" s="4">
        <v>13.23</v>
      </c>
      <c r="K404" s="2">
        <v>101</v>
      </c>
      <c r="L404" s="2">
        <v>4</v>
      </c>
      <c r="M404" s="3">
        <v>38040</v>
      </c>
      <c r="N404" t="str" cm="1">
        <f t="array" ref="N404">_xlfn.IFS(Table1_3[[#This Row],[Patient Satisfaction Score]]&gt;=83,"High",H404&lt;=75,"Low",TRUE,"Moderate")</f>
        <v>Moderate</v>
      </c>
      <c r="O404" t="str">
        <f t="shared" si="6"/>
        <v>Adult</v>
      </c>
    </row>
    <row r="405" spans="1:15">
      <c r="A405" t="s">
        <v>243</v>
      </c>
      <c r="B405" t="s">
        <v>78</v>
      </c>
      <c r="C405" t="s">
        <v>15</v>
      </c>
      <c r="D405" t="s">
        <v>27</v>
      </c>
      <c r="E405" s="2">
        <v>33</v>
      </c>
      <c r="F405" t="s">
        <v>34</v>
      </c>
      <c r="G405" t="s">
        <v>31</v>
      </c>
      <c r="H405" s="2">
        <v>82</v>
      </c>
      <c r="I405" s="3">
        <v>7660</v>
      </c>
      <c r="J405" s="4">
        <v>16.559999999999999</v>
      </c>
      <c r="K405" s="2">
        <v>86</v>
      </c>
      <c r="L405" s="2">
        <v>4</v>
      </c>
      <c r="M405" s="3">
        <v>42855</v>
      </c>
      <c r="N405" t="str" cm="1">
        <f t="array" ref="N405">_xlfn.IFS(Table1_3[[#This Row],[Patient Satisfaction Score]]&gt;=83,"High",H405&lt;=75,"Low",TRUE,"Moderate")</f>
        <v>Moderate</v>
      </c>
      <c r="O405" t="str">
        <f t="shared" si="6"/>
        <v>Adult</v>
      </c>
    </row>
    <row r="406" spans="1:15">
      <c r="A406" t="s">
        <v>372</v>
      </c>
      <c r="B406" t="s">
        <v>80</v>
      </c>
      <c r="C406" t="s">
        <v>15</v>
      </c>
      <c r="D406" t="s">
        <v>72</v>
      </c>
      <c r="E406" s="2">
        <v>33</v>
      </c>
      <c r="F406" t="s">
        <v>17</v>
      </c>
      <c r="G406" t="s">
        <v>49</v>
      </c>
      <c r="H406" s="2">
        <v>78</v>
      </c>
      <c r="I406" s="3">
        <v>6288</v>
      </c>
      <c r="J406" s="4">
        <v>15.41</v>
      </c>
      <c r="K406" s="2">
        <v>60</v>
      </c>
      <c r="L406" s="2">
        <v>4</v>
      </c>
      <c r="M406" s="3">
        <v>33814</v>
      </c>
      <c r="N406" t="str" cm="1">
        <f t="array" ref="N406">_xlfn.IFS(Table1_3[[#This Row],[Patient Satisfaction Score]]&gt;=83,"High",H406&lt;=75,"Low",TRUE,"Moderate")</f>
        <v>Moderate</v>
      </c>
      <c r="O406" t="str">
        <f t="shared" si="6"/>
        <v>Adult</v>
      </c>
    </row>
    <row r="407" spans="1:15">
      <c r="A407" t="s">
        <v>914</v>
      </c>
      <c r="B407" t="s">
        <v>88</v>
      </c>
      <c r="C407" t="s">
        <v>15</v>
      </c>
      <c r="D407" t="s">
        <v>27</v>
      </c>
      <c r="E407" s="2">
        <v>33</v>
      </c>
      <c r="F407" t="s">
        <v>17</v>
      </c>
      <c r="G407" t="s">
        <v>70</v>
      </c>
      <c r="H407" s="2">
        <v>71</v>
      </c>
      <c r="I407" s="3">
        <v>7811</v>
      </c>
      <c r="J407" s="4">
        <v>21.65</v>
      </c>
      <c r="K407" s="2">
        <v>79</v>
      </c>
      <c r="L407" s="2">
        <v>4</v>
      </c>
      <c r="M407" s="3">
        <v>23368</v>
      </c>
      <c r="N407" t="str" cm="1">
        <f t="array" ref="N407">_xlfn.IFS(Table1_3[[#This Row],[Patient Satisfaction Score]]&gt;=83,"High",H407&lt;=75,"Low",TRUE,"Moderate")</f>
        <v>Low</v>
      </c>
      <c r="O407" t="str">
        <f t="shared" si="6"/>
        <v>Adult</v>
      </c>
    </row>
    <row r="408" spans="1:15">
      <c r="A408" t="s">
        <v>1031</v>
      </c>
      <c r="B408" t="s">
        <v>33</v>
      </c>
      <c r="C408" t="s">
        <v>26</v>
      </c>
      <c r="D408" t="s">
        <v>16</v>
      </c>
      <c r="E408" s="2">
        <v>34</v>
      </c>
      <c r="F408" t="s">
        <v>34</v>
      </c>
      <c r="G408" t="s">
        <v>70</v>
      </c>
      <c r="H408" s="2">
        <v>74</v>
      </c>
      <c r="I408" s="3">
        <v>2048</v>
      </c>
      <c r="J408" s="4">
        <v>0</v>
      </c>
      <c r="K408" s="2">
        <v>35</v>
      </c>
      <c r="L408" s="2">
        <v>4</v>
      </c>
      <c r="M408" s="3">
        <v>7060</v>
      </c>
      <c r="N408" t="str" cm="1">
        <f t="array" ref="N408">_xlfn.IFS(Table1_3[[#This Row],[Patient Satisfaction Score]]&gt;=83,"High",H408&lt;=75,"Low",TRUE,"Moderate")</f>
        <v>Low</v>
      </c>
      <c r="O408" t="str">
        <f t="shared" si="6"/>
        <v>Adult</v>
      </c>
    </row>
    <row r="409" spans="1:15">
      <c r="A409" t="s">
        <v>494</v>
      </c>
      <c r="B409" t="s">
        <v>150</v>
      </c>
      <c r="C409" t="s">
        <v>48</v>
      </c>
      <c r="D409" t="s">
        <v>27</v>
      </c>
      <c r="E409" s="2">
        <v>34</v>
      </c>
      <c r="F409" t="s">
        <v>22</v>
      </c>
      <c r="G409" t="s">
        <v>49</v>
      </c>
      <c r="H409" s="2">
        <v>81</v>
      </c>
      <c r="I409" s="3">
        <v>5122</v>
      </c>
      <c r="J409" s="4">
        <v>15.03</v>
      </c>
      <c r="K409" s="2">
        <v>82</v>
      </c>
      <c r="L409" s="2">
        <v>5</v>
      </c>
      <c r="M409" s="3">
        <v>29461</v>
      </c>
      <c r="N409" t="str" cm="1">
        <f t="array" ref="N409">_xlfn.IFS(Table1_3[[#This Row],[Patient Satisfaction Score]]&gt;=83,"High",H409&lt;=75,"Low",TRUE,"Moderate")</f>
        <v>Moderate</v>
      </c>
      <c r="O409" t="str">
        <f t="shared" si="6"/>
        <v>Adult</v>
      </c>
    </row>
    <row r="410" spans="1:15">
      <c r="A410" t="s">
        <v>785</v>
      </c>
      <c r="B410" t="s">
        <v>51</v>
      </c>
      <c r="C410" t="s">
        <v>52</v>
      </c>
      <c r="D410" t="s">
        <v>27</v>
      </c>
      <c r="E410" s="2">
        <v>34</v>
      </c>
      <c r="F410" t="s">
        <v>17</v>
      </c>
      <c r="G410" t="s">
        <v>31</v>
      </c>
      <c r="H410" s="2">
        <v>88</v>
      </c>
      <c r="I410" s="3">
        <v>8071</v>
      </c>
      <c r="J410" s="4">
        <v>19.03</v>
      </c>
      <c r="K410" s="2">
        <v>83</v>
      </c>
      <c r="L410" s="2">
        <v>5</v>
      </c>
      <c r="M410" s="3">
        <v>25002</v>
      </c>
      <c r="N410" t="str" cm="1">
        <f t="array" ref="N410">_xlfn.IFS(Table1_3[[#This Row],[Patient Satisfaction Score]]&gt;=83,"High",H410&lt;=75,"Low",TRUE,"Moderate")</f>
        <v>High</v>
      </c>
      <c r="O410" t="str">
        <f t="shared" si="6"/>
        <v>Adult</v>
      </c>
    </row>
    <row r="411" spans="1:15">
      <c r="A411" t="s">
        <v>795</v>
      </c>
      <c r="B411" t="s">
        <v>185</v>
      </c>
      <c r="C411" t="s">
        <v>52</v>
      </c>
      <c r="D411" t="s">
        <v>16</v>
      </c>
      <c r="E411" s="2">
        <v>34</v>
      </c>
      <c r="F411" t="s">
        <v>22</v>
      </c>
      <c r="G411" t="s">
        <v>31</v>
      </c>
      <c r="H411" s="2">
        <v>92</v>
      </c>
      <c r="I411" s="3">
        <v>7918</v>
      </c>
      <c r="J411" s="4">
        <v>13.01</v>
      </c>
      <c r="K411" s="2">
        <v>59</v>
      </c>
      <c r="L411" s="2">
        <v>5</v>
      </c>
      <c r="M411" s="3">
        <v>38182</v>
      </c>
      <c r="N411" t="str" cm="1">
        <f t="array" ref="N411">_xlfn.IFS(Table1_3[[#This Row],[Patient Satisfaction Score]]&gt;=83,"High",H411&lt;=75,"Low",TRUE,"Moderate")</f>
        <v>High</v>
      </c>
      <c r="O411" t="str">
        <f t="shared" si="6"/>
        <v>Adult</v>
      </c>
    </row>
    <row r="412" spans="1:15">
      <c r="A412" t="s">
        <v>128</v>
      </c>
      <c r="B412" t="s">
        <v>129</v>
      </c>
      <c r="C412" t="s">
        <v>21</v>
      </c>
      <c r="D412" t="s">
        <v>27</v>
      </c>
      <c r="E412" s="2">
        <v>34</v>
      </c>
      <c r="F412" t="s">
        <v>17</v>
      </c>
      <c r="G412" t="s">
        <v>31</v>
      </c>
      <c r="H412" s="2">
        <v>78</v>
      </c>
      <c r="I412" s="3">
        <v>6360</v>
      </c>
      <c r="J412" s="4">
        <v>10.86</v>
      </c>
      <c r="K412" s="2">
        <v>74</v>
      </c>
      <c r="L412" s="2">
        <v>3</v>
      </c>
      <c r="M412" s="3">
        <v>27106</v>
      </c>
      <c r="N412" t="str" cm="1">
        <f t="array" ref="N412">_xlfn.IFS(Table1_3[[#This Row],[Patient Satisfaction Score]]&gt;=83,"High",H412&lt;=75,"Low",TRUE,"Moderate")</f>
        <v>Moderate</v>
      </c>
      <c r="O412" t="str">
        <f t="shared" si="6"/>
        <v>Adult</v>
      </c>
    </row>
    <row r="413" spans="1:15">
      <c r="A413" t="s">
        <v>196</v>
      </c>
      <c r="B413" t="s">
        <v>143</v>
      </c>
      <c r="C413" t="s">
        <v>21</v>
      </c>
      <c r="D413" t="s">
        <v>27</v>
      </c>
      <c r="E413" s="2">
        <v>34</v>
      </c>
      <c r="F413" t="s">
        <v>22</v>
      </c>
      <c r="G413" t="s">
        <v>23</v>
      </c>
      <c r="H413" s="2">
        <v>86</v>
      </c>
      <c r="I413" s="3">
        <v>6478</v>
      </c>
      <c r="J413" s="4">
        <v>19.75</v>
      </c>
      <c r="K413" s="2">
        <v>94</v>
      </c>
      <c r="L413" s="2">
        <v>4</v>
      </c>
      <c r="M413" s="3">
        <v>34892</v>
      </c>
      <c r="N413" t="str" cm="1">
        <f t="array" ref="N413">_xlfn.IFS(Table1_3[[#This Row],[Patient Satisfaction Score]]&gt;=83,"High",H413&lt;=75,"Low",TRUE,"Moderate")</f>
        <v>High</v>
      </c>
      <c r="O413" t="str">
        <f t="shared" si="6"/>
        <v>Adult</v>
      </c>
    </row>
    <row r="414" spans="1:15">
      <c r="A414" t="s">
        <v>601</v>
      </c>
      <c r="B414" t="s">
        <v>20</v>
      </c>
      <c r="C414" t="s">
        <v>21</v>
      </c>
      <c r="D414" t="s">
        <v>27</v>
      </c>
      <c r="E414" s="2">
        <v>34</v>
      </c>
      <c r="F414" t="s">
        <v>34</v>
      </c>
      <c r="G414" t="s">
        <v>49</v>
      </c>
      <c r="H414" s="2">
        <v>82</v>
      </c>
      <c r="I414" s="3">
        <v>5416</v>
      </c>
      <c r="J414" s="4">
        <v>12.45</v>
      </c>
      <c r="K414" s="2">
        <v>61</v>
      </c>
      <c r="L414" s="2">
        <v>4</v>
      </c>
      <c r="M414" s="3">
        <v>20558</v>
      </c>
      <c r="N414" t="str" cm="1">
        <f t="array" ref="N414">_xlfn.IFS(Table1_3[[#This Row],[Patient Satisfaction Score]]&gt;=83,"High",H414&lt;=75,"Low",TRUE,"Moderate")</f>
        <v>Moderate</v>
      </c>
      <c r="O414" t="str">
        <f t="shared" si="6"/>
        <v>Adult</v>
      </c>
    </row>
    <row r="415" spans="1:15">
      <c r="A415" t="s">
        <v>741</v>
      </c>
      <c r="B415" t="s">
        <v>20</v>
      </c>
      <c r="C415" t="s">
        <v>21</v>
      </c>
      <c r="D415" t="s">
        <v>27</v>
      </c>
      <c r="E415" s="2">
        <v>34</v>
      </c>
      <c r="F415" t="s">
        <v>34</v>
      </c>
      <c r="G415" t="s">
        <v>40</v>
      </c>
      <c r="H415" s="2">
        <v>77</v>
      </c>
      <c r="I415" s="3">
        <v>6129</v>
      </c>
      <c r="J415" s="4">
        <v>13</v>
      </c>
      <c r="K415" s="2">
        <v>73</v>
      </c>
      <c r="L415" s="2">
        <v>4</v>
      </c>
      <c r="M415" s="3">
        <v>17218</v>
      </c>
      <c r="N415" t="str" cm="1">
        <f t="array" ref="N415">_xlfn.IFS(Table1_3[[#This Row],[Patient Satisfaction Score]]&gt;=83,"High",H415&lt;=75,"Low",TRUE,"Moderate")</f>
        <v>Moderate</v>
      </c>
      <c r="O415" t="str">
        <f t="shared" si="6"/>
        <v>Adult</v>
      </c>
    </row>
    <row r="416" spans="1:15">
      <c r="A416" t="s">
        <v>1019</v>
      </c>
      <c r="B416" t="s">
        <v>20</v>
      </c>
      <c r="C416" t="s">
        <v>21</v>
      </c>
      <c r="D416" t="s">
        <v>27</v>
      </c>
      <c r="E416" s="2">
        <v>34</v>
      </c>
      <c r="F416" t="s">
        <v>17</v>
      </c>
      <c r="G416" t="s">
        <v>49</v>
      </c>
      <c r="H416" s="2">
        <v>85</v>
      </c>
      <c r="I416" s="3">
        <v>7983</v>
      </c>
      <c r="J416" s="4">
        <v>10.28</v>
      </c>
      <c r="K416" s="2">
        <v>65</v>
      </c>
      <c r="L416" s="2">
        <v>4</v>
      </c>
      <c r="M416" s="3">
        <v>21798</v>
      </c>
      <c r="N416" t="str" cm="1">
        <f t="array" ref="N416">_xlfn.IFS(Table1_3[[#This Row],[Patient Satisfaction Score]]&gt;=83,"High",H416&lt;=75,"Low",TRUE,"Moderate")</f>
        <v>High</v>
      </c>
      <c r="O416" t="str">
        <f t="shared" si="6"/>
        <v>Adult</v>
      </c>
    </row>
    <row r="417" spans="1:15">
      <c r="A417" t="s">
        <v>283</v>
      </c>
      <c r="B417" t="s">
        <v>56</v>
      </c>
      <c r="C417" t="s">
        <v>45</v>
      </c>
      <c r="D417" t="s">
        <v>72</v>
      </c>
      <c r="E417" s="2">
        <v>34</v>
      </c>
      <c r="F417" t="s">
        <v>34</v>
      </c>
      <c r="G417" t="s">
        <v>31</v>
      </c>
      <c r="H417" s="2">
        <v>67</v>
      </c>
      <c r="I417" s="3">
        <v>9500</v>
      </c>
      <c r="J417" s="4">
        <v>22.82</v>
      </c>
      <c r="K417" s="2">
        <v>72</v>
      </c>
      <c r="L417" s="2">
        <v>3</v>
      </c>
      <c r="M417" s="3">
        <v>28700</v>
      </c>
      <c r="N417" t="str" cm="1">
        <f t="array" ref="N417">_xlfn.IFS(Table1_3[[#This Row],[Patient Satisfaction Score]]&gt;=83,"High",H417&lt;=75,"Low",TRUE,"Moderate")</f>
        <v>Low</v>
      </c>
      <c r="O417" t="str">
        <f t="shared" si="6"/>
        <v>Adult</v>
      </c>
    </row>
    <row r="418" spans="1:15">
      <c r="A418" t="s">
        <v>430</v>
      </c>
      <c r="B418" t="s">
        <v>74</v>
      </c>
      <c r="C418" t="s">
        <v>45</v>
      </c>
      <c r="D418" t="s">
        <v>27</v>
      </c>
      <c r="E418" s="2">
        <v>34</v>
      </c>
      <c r="F418" t="s">
        <v>17</v>
      </c>
      <c r="G418" t="s">
        <v>31</v>
      </c>
      <c r="H418" s="2">
        <v>73</v>
      </c>
      <c r="I418" s="3">
        <v>8303</v>
      </c>
      <c r="J418" s="4">
        <v>16.82</v>
      </c>
      <c r="K418" s="2">
        <v>112</v>
      </c>
      <c r="L418" s="2">
        <v>3</v>
      </c>
      <c r="M418" s="3">
        <v>22390</v>
      </c>
      <c r="N418" t="str" cm="1">
        <f t="array" ref="N418">_xlfn.IFS(Table1_3[[#This Row],[Patient Satisfaction Score]]&gt;=83,"High",H418&lt;=75,"Low",TRUE,"Moderate")</f>
        <v>Low</v>
      </c>
      <c r="O418" t="str">
        <f t="shared" si="6"/>
        <v>Adult</v>
      </c>
    </row>
    <row r="419" spans="1:15">
      <c r="A419" t="s">
        <v>1048</v>
      </c>
      <c r="B419" t="s">
        <v>187</v>
      </c>
      <c r="C419" t="s">
        <v>30</v>
      </c>
      <c r="D419" t="s">
        <v>16</v>
      </c>
      <c r="E419" s="2">
        <v>34</v>
      </c>
      <c r="F419" t="s">
        <v>34</v>
      </c>
      <c r="G419" t="s">
        <v>49</v>
      </c>
      <c r="H419" s="2">
        <v>64</v>
      </c>
      <c r="I419" s="3">
        <v>2611</v>
      </c>
      <c r="J419" s="4">
        <v>24.14</v>
      </c>
      <c r="K419" s="2">
        <v>146</v>
      </c>
      <c r="L419" s="2">
        <v>3</v>
      </c>
      <c r="M419" s="3">
        <v>15320</v>
      </c>
      <c r="N419" t="str" cm="1">
        <f t="array" ref="N419">_xlfn.IFS(Table1_3[[#This Row],[Patient Satisfaction Score]]&gt;=83,"High",H419&lt;=75,"Low",TRUE,"Moderate")</f>
        <v>Low</v>
      </c>
      <c r="O419" t="str">
        <f t="shared" si="6"/>
        <v>Adult</v>
      </c>
    </row>
    <row r="420" spans="1:15">
      <c r="A420" t="s">
        <v>792</v>
      </c>
      <c r="B420" t="s">
        <v>78</v>
      </c>
      <c r="C420" t="s">
        <v>15</v>
      </c>
      <c r="D420" t="s">
        <v>16</v>
      </c>
      <c r="E420" s="2">
        <v>34</v>
      </c>
      <c r="F420" t="s">
        <v>17</v>
      </c>
      <c r="G420" t="s">
        <v>40</v>
      </c>
      <c r="H420" s="2">
        <v>66</v>
      </c>
      <c r="I420" s="3">
        <v>8157</v>
      </c>
      <c r="J420" s="4">
        <v>16.63</v>
      </c>
      <c r="K420" s="2">
        <v>111</v>
      </c>
      <c r="L420" s="2">
        <v>3</v>
      </c>
      <c r="M420" s="3">
        <v>31204</v>
      </c>
      <c r="N420" t="str" cm="1">
        <f t="array" ref="N420">_xlfn.IFS(Table1_3[[#This Row],[Patient Satisfaction Score]]&gt;=83,"High",H420&lt;=75,"Low",TRUE,"Moderate")</f>
        <v>Low</v>
      </c>
      <c r="O420" t="str">
        <f t="shared" si="6"/>
        <v>Adult</v>
      </c>
    </row>
    <row r="421" spans="1:15">
      <c r="A421" t="s">
        <v>577</v>
      </c>
      <c r="B421" t="s">
        <v>58</v>
      </c>
      <c r="C421" t="s">
        <v>48</v>
      </c>
      <c r="D421" t="s">
        <v>16</v>
      </c>
      <c r="E421" s="2">
        <v>35</v>
      </c>
      <c r="F421" t="s">
        <v>22</v>
      </c>
      <c r="G421" t="s">
        <v>31</v>
      </c>
      <c r="H421" s="2">
        <v>79</v>
      </c>
      <c r="I421" s="3">
        <v>4034</v>
      </c>
      <c r="J421" s="4">
        <v>12.48</v>
      </c>
      <c r="K421" s="2">
        <v>91</v>
      </c>
      <c r="L421" s="2">
        <v>4</v>
      </c>
      <c r="M421" s="3">
        <v>12097</v>
      </c>
      <c r="N421" t="str" cm="1">
        <f t="array" ref="N421">_xlfn.IFS(Table1_3[[#This Row],[Patient Satisfaction Score]]&gt;=83,"High",H421&lt;=75,"Low",TRUE,"Moderate")</f>
        <v>Moderate</v>
      </c>
      <c r="O421" t="str">
        <f t="shared" si="6"/>
        <v>Adult</v>
      </c>
    </row>
    <row r="422" spans="1:15">
      <c r="A422" t="s">
        <v>796</v>
      </c>
      <c r="B422" t="s">
        <v>150</v>
      </c>
      <c r="C422" t="s">
        <v>48</v>
      </c>
      <c r="D422" t="s">
        <v>27</v>
      </c>
      <c r="E422" s="2">
        <v>35</v>
      </c>
      <c r="F422" t="s">
        <v>17</v>
      </c>
      <c r="G422" t="s">
        <v>23</v>
      </c>
      <c r="H422" s="2">
        <v>81</v>
      </c>
      <c r="I422" s="3">
        <v>6003</v>
      </c>
      <c r="J422" s="4">
        <v>16.920000000000002</v>
      </c>
      <c r="K422" s="2">
        <v>85</v>
      </c>
      <c r="L422" s="2">
        <v>3</v>
      </c>
      <c r="M422" s="3">
        <v>22361</v>
      </c>
      <c r="N422" t="str" cm="1">
        <f t="array" ref="N422">_xlfn.IFS(Table1_3[[#This Row],[Patient Satisfaction Score]]&gt;=83,"High",H422&lt;=75,"Low",TRUE,"Moderate")</f>
        <v>Moderate</v>
      </c>
      <c r="O422" t="str">
        <f t="shared" si="6"/>
        <v>Adult</v>
      </c>
    </row>
    <row r="423" spans="1:15">
      <c r="A423" t="s">
        <v>125</v>
      </c>
      <c r="B423" t="s">
        <v>62</v>
      </c>
      <c r="C423" t="s">
        <v>52</v>
      </c>
      <c r="D423" t="s">
        <v>27</v>
      </c>
      <c r="E423" s="2">
        <v>35</v>
      </c>
      <c r="F423" t="s">
        <v>34</v>
      </c>
      <c r="G423" t="s">
        <v>49</v>
      </c>
      <c r="H423" s="2">
        <v>74</v>
      </c>
      <c r="I423" s="3">
        <v>9570</v>
      </c>
      <c r="J423" s="4">
        <v>15.32</v>
      </c>
      <c r="K423" s="2">
        <v>106</v>
      </c>
      <c r="L423" s="2">
        <v>4</v>
      </c>
      <c r="M423" s="3">
        <v>32574</v>
      </c>
      <c r="N423" t="str" cm="1">
        <f t="array" ref="N423">_xlfn.IFS(Table1_3[[#This Row],[Patient Satisfaction Score]]&gt;=83,"High",H423&lt;=75,"Low",TRUE,"Moderate")</f>
        <v>Low</v>
      </c>
      <c r="O423" t="str">
        <f t="shared" si="6"/>
        <v>Adult</v>
      </c>
    </row>
    <row r="424" spans="1:15">
      <c r="A424" t="s">
        <v>499</v>
      </c>
      <c r="B424" t="s">
        <v>60</v>
      </c>
      <c r="C424" t="s">
        <v>52</v>
      </c>
      <c r="D424" t="s">
        <v>27</v>
      </c>
      <c r="E424" s="2">
        <v>35</v>
      </c>
      <c r="F424" t="s">
        <v>22</v>
      </c>
      <c r="G424" t="s">
        <v>18</v>
      </c>
      <c r="H424" s="2">
        <v>80</v>
      </c>
      <c r="I424" s="3">
        <v>6247</v>
      </c>
      <c r="J424" s="4">
        <v>15.19</v>
      </c>
      <c r="K424" s="2">
        <v>56</v>
      </c>
      <c r="L424" s="2">
        <v>4</v>
      </c>
      <c r="M424" s="3">
        <v>26582</v>
      </c>
      <c r="N424" t="str" cm="1">
        <f t="array" ref="N424">_xlfn.IFS(Table1_3[[#This Row],[Patient Satisfaction Score]]&gt;=83,"High",H424&lt;=75,"Low",TRUE,"Moderate")</f>
        <v>Moderate</v>
      </c>
      <c r="O424" t="str">
        <f t="shared" si="6"/>
        <v>Adult</v>
      </c>
    </row>
    <row r="425" spans="1:15">
      <c r="A425" t="s">
        <v>515</v>
      </c>
      <c r="B425" t="s">
        <v>51</v>
      </c>
      <c r="C425" t="s">
        <v>52</v>
      </c>
      <c r="D425" t="s">
        <v>27</v>
      </c>
      <c r="E425" s="2">
        <v>35</v>
      </c>
      <c r="F425" t="s">
        <v>17</v>
      </c>
      <c r="G425" t="s">
        <v>70</v>
      </c>
      <c r="H425" s="2">
        <v>88</v>
      </c>
      <c r="I425" s="3">
        <v>6289</v>
      </c>
      <c r="J425" s="4">
        <v>6.85</v>
      </c>
      <c r="K425" s="2">
        <v>74</v>
      </c>
      <c r="L425" s="2">
        <v>5</v>
      </c>
      <c r="M425" s="3">
        <v>17265</v>
      </c>
      <c r="N425" t="str" cm="1">
        <f t="array" ref="N425">_xlfn.IFS(Table1_3[[#This Row],[Patient Satisfaction Score]]&gt;=83,"High",H425&lt;=75,"Low",TRUE,"Moderate")</f>
        <v>High</v>
      </c>
      <c r="O425" t="str">
        <f t="shared" si="6"/>
        <v>Adult</v>
      </c>
    </row>
    <row r="426" spans="1:15">
      <c r="A426" t="s">
        <v>89</v>
      </c>
      <c r="B426" t="s">
        <v>36</v>
      </c>
      <c r="C426" t="s">
        <v>21</v>
      </c>
      <c r="D426" t="s">
        <v>16</v>
      </c>
      <c r="E426" s="2">
        <v>35</v>
      </c>
      <c r="F426" t="s">
        <v>17</v>
      </c>
      <c r="G426" t="s">
        <v>40</v>
      </c>
      <c r="H426" s="2">
        <v>83</v>
      </c>
      <c r="I426" s="3">
        <v>9509</v>
      </c>
      <c r="J426" s="4">
        <v>7.53</v>
      </c>
      <c r="K426" s="2">
        <v>91</v>
      </c>
      <c r="L426" s="2">
        <v>4</v>
      </c>
      <c r="M426" s="3">
        <v>24787</v>
      </c>
      <c r="N426" t="str" cm="1">
        <f t="array" ref="N426">_xlfn.IFS(Table1_3[[#This Row],[Patient Satisfaction Score]]&gt;=83,"High",H426&lt;=75,"Low",TRUE,"Moderate")</f>
        <v>High</v>
      </c>
      <c r="O426" t="str">
        <f t="shared" si="6"/>
        <v>Adult</v>
      </c>
    </row>
    <row r="427" spans="1:15">
      <c r="A427" t="s">
        <v>292</v>
      </c>
      <c r="B427" t="s">
        <v>20</v>
      </c>
      <c r="C427" t="s">
        <v>21</v>
      </c>
      <c r="D427" t="s">
        <v>16</v>
      </c>
      <c r="E427" s="2">
        <v>35</v>
      </c>
      <c r="F427" t="s">
        <v>34</v>
      </c>
      <c r="G427" t="s">
        <v>31</v>
      </c>
      <c r="H427" s="2">
        <v>75</v>
      </c>
      <c r="I427" s="3">
        <v>7167</v>
      </c>
      <c r="J427" s="4">
        <v>12.87</v>
      </c>
      <c r="K427" s="2">
        <v>58</v>
      </c>
      <c r="L427" s="2">
        <v>3</v>
      </c>
      <c r="M427" s="3">
        <v>21265</v>
      </c>
      <c r="N427" t="str" cm="1">
        <f t="array" ref="N427">_xlfn.IFS(Table1_3[[#This Row],[Patient Satisfaction Score]]&gt;=83,"High",H427&lt;=75,"Low",TRUE,"Moderate")</f>
        <v>Low</v>
      </c>
      <c r="O427" t="str">
        <f t="shared" si="6"/>
        <v>Adult</v>
      </c>
    </row>
    <row r="428" spans="1:15">
      <c r="A428" t="s">
        <v>705</v>
      </c>
      <c r="B428" t="s">
        <v>129</v>
      </c>
      <c r="C428" t="s">
        <v>21</v>
      </c>
      <c r="D428" t="s">
        <v>27</v>
      </c>
      <c r="E428" s="2">
        <v>35</v>
      </c>
      <c r="F428" t="s">
        <v>17</v>
      </c>
      <c r="G428" t="s">
        <v>49</v>
      </c>
      <c r="H428" s="2">
        <v>84</v>
      </c>
      <c r="I428" s="3">
        <v>7711</v>
      </c>
      <c r="J428" s="4">
        <v>19.39</v>
      </c>
      <c r="K428" s="2">
        <v>54</v>
      </c>
      <c r="L428" s="2">
        <v>5</v>
      </c>
      <c r="M428" s="3">
        <v>43974</v>
      </c>
      <c r="N428" t="str" cm="1">
        <f t="array" ref="N428">_xlfn.IFS(Table1_3[[#This Row],[Patient Satisfaction Score]]&gt;=83,"High",H428&lt;=75,"Low",TRUE,"Moderate")</f>
        <v>High</v>
      </c>
      <c r="O428" t="str">
        <f t="shared" si="6"/>
        <v>Adult</v>
      </c>
    </row>
    <row r="429" spans="1:15">
      <c r="A429" t="s">
        <v>459</v>
      </c>
      <c r="B429" t="s">
        <v>168</v>
      </c>
      <c r="C429" t="s">
        <v>45</v>
      </c>
      <c r="D429" t="s">
        <v>16</v>
      </c>
      <c r="E429" s="2">
        <v>35</v>
      </c>
      <c r="F429" t="s">
        <v>17</v>
      </c>
      <c r="G429" t="s">
        <v>40</v>
      </c>
      <c r="H429" s="2">
        <v>71</v>
      </c>
      <c r="I429" s="3">
        <v>8401</v>
      </c>
      <c r="J429" s="4">
        <v>18.97</v>
      </c>
      <c r="K429" s="2">
        <v>93</v>
      </c>
      <c r="L429" s="2">
        <v>4</v>
      </c>
      <c r="M429" s="3">
        <v>40610</v>
      </c>
      <c r="N429" t="str" cm="1">
        <f t="array" ref="N429">_xlfn.IFS(Table1_3[[#This Row],[Patient Satisfaction Score]]&gt;=83,"High",H429&lt;=75,"Low",TRUE,"Moderate")</f>
        <v>Low</v>
      </c>
      <c r="O429" t="str">
        <f t="shared" si="6"/>
        <v>Adult</v>
      </c>
    </row>
    <row r="430" spans="1:15">
      <c r="A430" t="s">
        <v>402</v>
      </c>
      <c r="B430" t="s">
        <v>64</v>
      </c>
      <c r="C430" t="s">
        <v>30</v>
      </c>
      <c r="D430" t="s">
        <v>27</v>
      </c>
      <c r="E430" s="2">
        <v>35</v>
      </c>
      <c r="F430" t="s">
        <v>17</v>
      </c>
      <c r="G430" t="s">
        <v>49</v>
      </c>
      <c r="H430" s="2">
        <v>69</v>
      </c>
      <c r="I430" s="3">
        <v>4048</v>
      </c>
      <c r="J430" s="4">
        <v>16.989999999999998</v>
      </c>
      <c r="K430" s="2">
        <v>119</v>
      </c>
      <c r="L430" s="2">
        <v>4</v>
      </c>
      <c r="M430" s="3">
        <v>18488</v>
      </c>
      <c r="N430" t="str" cm="1">
        <f t="array" ref="N430">_xlfn.IFS(Table1_3[[#This Row],[Patient Satisfaction Score]]&gt;=83,"High",H430&lt;=75,"Low",TRUE,"Moderate")</f>
        <v>Low</v>
      </c>
      <c r="O430" t="str">
        <f t="shared" si="6"/>
        <v>Adult</v>
      </c>
    </row>
    <row r="431" spans="1:15">
      <c r="A431" t="s">
        <v>682</v>
      </c>
      <c r="B431" t="s">
        <v>97</v>
      </c>
      <c r="C431" t="s">
        <v>30</v>
      </c>
      <c r="D431" t="s">
        <v>27</v>
      </c>
      <c r="E431" s="2">
        <v>35</v>
      </c>
      <c r="F431" t="s">
        <v>17</v>
      </c>
      <c r="G431" t="s">
        <v>49</v>
      </c>
      <c r="H431" s="2">
        <v>74</v>
      </c>
      <c r="I431" s="3">
        <v>3377</v>
      </c>
      <c r="J431" s="4">
        <v>19.97</v>
      </c>
      <c r="K431" s="2">
        <v>90</v>
      </c>
      <c r="L431" s="2">
        <v>4</v>
      </c>
      <c r="M431" s="3">
        <v>10560</v>
      </c>
      <c r="N431" t="str" cm="1">
        <f t="array" ref="N431">_xlfn.IFS(Table1_3[[#This Row],[Patient Satisfaction Score]]&gt;=83,"High",H431&lt;=75,"Low",TRUE,"Moderate")</f>
        <v>Low</v>
      </c>
      <c r="O431" t="str">
        <f t="shared" si="6"/>
        <v>Adult</v>
      </c>
    </row>
    <row r="432" spans="1:15">
      <c r="A432" t="s">
        <v>203</v>
      </c>
      <c r="B432" t="s">
        <v>78</v>
      </c>
      <c r="C432" t="s">
        <v>15</v>
      </c>
      <c r="D432" t="s">
        <v>16</v>
      </c>
      <c r="E432" s="2">
        <v>35</v>
      </c>
      <c r="F432" t="s">
        <v>17</v>
      </c>
      <c r="G432" t="s">
        <v>70</v>
      </c>
      <c r="H432" s="2">
        <v>77</v>
      </c>
      <c r="I432" s="3">
        <v>7513</v>
      </c>
      <c r="J432" s="4">
        <v>13.9</v>
      </c>
      <c r="K432" s="2">
        <v>87</v>
      </c>
      <c r="L432" s="2">
        <v>3</v>
      </c>
      <c r="M432" s="3">
        <v>39040</v>
      </c>
      <c r="N432" t="str" cm="1">
        <f t="array" ref="N432">_xlfn.IFS(Table1_3[[#This Row],[Patient Satisfaction Score]]&gt;=83,"High",H432&lt;=75,"Low",TRUE,"Moderate")</f>
        <v>Moderate</v>
      </c>
      <c r="O432" t="str">
        <f t="shared" si="6"/>
        <v>Adult</v>
      </c>
    </row>
    <row r="433" spans="1:15">
      <c r="A433" t="s">
        <v>344</v>
      </c>
      <c r="B433" t="s">
        <v>14</v>
      </c>
      <c r="C433" t="s">
        <v>15</v>
      </c>
      <c r="D433" t="s">
        <v>27</v>
      </c>
      <c r="E433" s="2">
        <v>35</v>
      </c>
      <c r="F433" t="s">
        <v>22</v>
      </c>
      <c r="G433" t="s">
        <v>23</v>
      </c>
      <c r="H433" s="2">
        <v>74</v>
      </c>
      <c r="I433" s="3">
        <v>7764</v>
      </c>
      <c r="J433" s="4">
        <v>16.03</v>
      </c>
      <c r="K433" s="2">
        <v>84</v>
      </c>
      <c r="L433" s="2">
        <v>4</v>
      </c>
      <c r="M433" s="3">
        <v>20251</v>
      </c>
      <c r="N433" t="str" cm="1">
        <f t="array" ref="N433">_xlfn.IFS(Table1_3[[#This Row],[Patient Satisfaction Score]]&gt;=83,"High",H433&lt;=75,"Low",TRUE,"Moderate")</f>
        <v>Low</v>
      </c>
      <c r="O433" t="str">
        <f t="shared" si="6"/>
        <v>Adult</v>
      </c>
    </row>
    <row r="434" spans="1:15">
      <c r="A434" t="s">
        <v>532</v>
      </c>
      <c r="B434" t="s">
        <v>78</v>
      </c>
      <c r="C434" t="s">
        <v>15</v>
      </c>
      <c r="D434" t="s">
        <v>72</v>
      </c>
      <c r="E434" s="2">
        <v>35</v>
      </c>
      <c r="F434" t="s">
        <v>17</v>
      </c>
      <c r="G434" t="s">
        <v>70</v>
      </c>
      <c r="H434" s="2">
        <v>80</v>
      </c>
      <c r="I434" s="3">
        <v>5383</v>
      </c>
      <c r="J434" s="4">
        <v>8.99</v>
      </c>
      <c r="K434" s="2">
        <v>71</v>
      </c>
      <c r="L434" s="2">
        <v>4</v>
      </c>
      <c r="M434" s="3">
        <v>14110</v>
      </c>
      <c r="N434" t="str" cm="1">
        <f t="array" ref="N434">_xlfn.IFS(Table1_3[[#This Row],[Patient Satisfaction Score]]&gt;=83,"High",H434&lt;=75,"Low",TRUE,"Moderate")</f>
        <v>Moderate</v>
      </c>
      <c r="O434" t="str">
        <f t="shared" si="6"/>
        <v>Adult</v>
      </c>
    </row>
    <row r="435" spans="1:15">
      <c r="A435" t="s">
        <v>784</v>
      </c>
      <c r="B435" t="s">
        <v>80</v>
      </c>
      <c r="C435" t="s">
        <v>15</v>
      </c>
      <c r="D435" t="s">
        <v>27</v>
      </c>
      <c r="E435" s="2">
        <v>35</v>
      </c>
      <c r="F435" t="s">
        <v>34</v>
      </c>
      <c r="G435" t="s">
        <v>18</v>
      </c>
      <c r="H435" s="2">
        <v>81</v>
      </c>
      <c r="I435" s="3">
        <v>6038</v>
      </c>
      <c r="J435" s="4">
        <v>10.6</v>
      </c>
      <c r="K435" s="2">
        <v>68</v>
      </c>
      <c r="L435" s="2">
        <v>3</v>
      </c>
      <c r="M435" s="3">
        <v>23704</v>
      </c>
      <c r="N435" t="str" cm="1">
        <f t="array" ref="N435">_xlfn.IFS(Table1_3[[#This Row],[Patient Satisfaction Score]]&gt;=83,"High",H435&lt;=75,"Low",TRUE,"Moderate")</f>
        <v>Moderate</v>
      </c>
      <c r="O435" t="str">
        <f t="shared" si="6"/>
        <v>Adult</v>
      </c>
    </row>
    <row r="436" spans="1:15">
      <c r="A436" t="s">
        <v>987</v>
      </c>
      <c r="B436" t="s">
        <v>80</v>
      </c>
      <c r="C436" t="s">
        <v>15</v>
      </c>
      <c r="D436" t="s">
        <v>16</v>
      </c>
      <c r="E436" s="2">
        <v>35</v>
      </c>
      <c r="F436" t="s">
        <v>17</v>
      </c>
      <c r="G436" t="s">
        <v>40</v>
      </c>
      <c r="H436" s="2">
        <v>78</v>
      </c>
      <c r="I436" s="3">
        <v>8461</v>
      </c>
      <c r="J436" s="4">
        <v>15.91</v>
      </c>
      <c r="K436" s="2">
        <v>110</v>
      </c>
      <c r="L436" s="2">
        <v>3</v>
      </c>
      <c r="M436" s="3">
        <v>22612</v>
      </c>
      <c r="N436" t="str" cm="1">
        <f t="array" ref="N436">_xlfn.IFS(Table1_3[[#This Row],[Patient Satisfaction Score]]&gt;=83,"High",H436&lt;=75,"Low",TRUE,"Moderate")</f>
        <v>Moderate</v>
      </c>
      <c r="O436" t="str">
        <f t="shared" si="6"/>
        <v>Adult</v>
      </c>
    </row>
    <row r="437" spans="1:15">
      <c r="A437" t="s">
        <v>110</v>
      </c>
      <c r="B437" t="s">
        <v>103</v>
      </c>
      <c r="C437" t="s">
        <v>26</v>
      </c>
      <c r="D437" t="s">
        <v>16</v>
      </c>
      <c r="E437" s="2">
        <v>36</v>
      </c>
      <c r="F437" t="s">
        <v>34</v>
      </c>
      <c r="G437" t="s">
        <v>23</v>
      </c>
      <c r="H437" s="2">
        <v>90</v>
      </c>
      <c r="I437" s="3">
        <v>2779</v>
      </c>
      <c r="J437" s="4">
        <v>8.49</v>
      </c>
      <c r="K437" s="2">
        <v>49</v>
      </c>
      <c r="L437" s="2">
        <v>4</v>
      </c>
      <c r="M437" s="3">
        <v>16160</v>
      </c>
      <c r="N437" t="str" cm="1">
        <f t="array" ref="N437">_xlfn.IFS(Table1_3[[#This Row],[Patient Satisfaction Score]]&gt;=83,"High",H437&lt;=75,"Low",TRUE,"Moderate")</f>
        <v>High</v>
      </c>
      <c r="O437" t="str">
        <f t="shared" si="6"/>
        <v>Adult</v>
      </c>
    </row>
    <row r="438" spans="1:15">
      <c r="A438" t="s">
        <v>842</v>
      </c>
      <c r="B438" t="s">
        <v>122</v>
      </c>
      <c r="C438" t="s">
        <v>48</v>
      </c>
      <c r="D438" t="s">
        <v>16</v>
      </c>
      <c r="E438" s="2">
        <v>36</v>
      </c>
      <c r="F438" t="s">
        <v>34</v>
      </c>
      <c r="G438" t="s">
        <v>70</v>
      </c>
      <c r="H438" s="2">
        <v>84</v>
      </c>
      <c r="I438" s="3">
        <v>4047</v>
      </c>
      <c r="J438" s="4">
        <v>20.09</v>
      </c>
      <c r="K438" s="2">
        <v>60</v>
      </c>
      <c r="L438" s="2">
        <v>4</v>
      </c>
      <c r="M438" s="3">
        <v>22773</v>
      </c>
      <c r="N438" t="str" cm="1">
        <f t="array" ref="N438">_xlfn.IFS(Table1_3[[#This Row],[Patient Satisfaction Score]]&gt;=83,"High",H438&lt;=75,"Low",TRUE,"Moderate")</f>
        <v>High</v>
      </c>
      <c r="O438" t="str">
        <f t="shared" si="6"/>
        <v>Adult</v>
      </c>
    </row>
    <row r="439" spans="1:15">
      <c r="A439" t="s">
        <v>841</v>
      </c>
      <c r="B439" t="s">
        <v>62</v>
      </c>
      <c r="C439" t="s">
        <v>52</v>
      </c>
      <c r="D439" t="s">
        <v>16</v>
      </c>
      <c r="E439" s="2">
        <v>36</v>
      </c>
      <c r="F439" t="s">
        <v>34</v>
      </c>
      <c r="G439" t="s">
        <v>31</v>
      </c>
      <c r="H439" s="2">
        <v>70</v>
      </c>
      <c r="I439" s="3">
        <v>7124</v>
      </c>
      <c r="J439" s="4">
        <v>11.3</v>
      </c>
      <c r="K439" s="2">
        <v>96</v>
      </c>
      <c r="L439" s="2">
        <v>3</v>
      </c>
      <c r="M439" s="3">
        <v>25803</v>
      </c>
      <c r="N439" t="str" cm="1">
        <f t="array" ref="N439">_xlfn.IFS(Table1_3[[#This Row],[Patient Satisfaction Score]]&gt;=83,"High",H439&lt;=75,"Low",TRUE,"Moderate")</f>
        <v>Low</v>
      </c>
      <c r="O439" t="str">
        <f t="shared" si="6"/>
        <v>Adult</v>
      </c>
    </row>
    <row r="440" spans="1:15">
      <c r="A440" t="s">
        <v>912</v>
      </c>
      <c r="B440" t="s">
        <v>95</v>
      </c>
      <c r="C440" t="s">
        <v>52</v>
      </c>
      <c r="D440" t="s">
        <v>16</v>
      </c>
      <c r="E440" s="2">
        <v>36</v>
      </c>
      <c r="F440" t="s">
        <v>34</v>
      </c>
      <c r="G440" t="s">
        <v>18</v>
      </c>
      <c r="H440" s="2">
        <v>73</v>
      </c>
      <c r="I440" s="3">
        <v>6772</v>
      </c>
      <c r="J440" s="4">
        <v>11.58</v>
      </c>
      <c r="K440" s="2">
        <v>114</v>
      </c>
      <c r="L440" s="2">
        <v>3</v>
      </c>
      <c r="M440" s="3">
        <v>28422</v>
      </c>
      <c r="N440" t="str" cm="1">
        <f t="array" ref="N440">_xlfn.IFS(Table1_3[[#This Row],[Patient Satisfaction Score]]&gt;=83,"High",H440&lt;=75,"Low",TRUE,"Moderate")</f>
        <v>Low</v>
      </c>
      <c r="O440" t="str">
        <f t="shared" si="6"/>
        <v>Adult</v>
      </c>
    </row>
    <row r="441" spans="1:15">
      <c r="A441" t="s">
        <v>83</v>
      </c>
      <c r="B441" t="s">
        <v>84</v>
      </c>
      <c r="C441" t="s">
        <v>21</v>
      </c>
      <c r="D441" t="s">
        <v>16</v>
      </c>
      <c r="E441" s="2">
        <v>36</v>
      </c>
      <c r="F441" t="s">
        <v>22</v>
      </c>
      <c r="G441" t="s">
        <v>23</v>
      </c>
      <c r="H441" s="2">
        <v>77</v>
      </c>
      <c r="I441" s="3">
        <v>6778</v>
      </c>
      <c r="J441" s="4">
        <v>10.02</v>
      </c>
      <c r="K441" s="2">
        <v>107</v>
      </c>
      <c r="L441" s="2">
        <v>4</v>
      </c>
      <c r="M441" s="3">
        <v>30468</v>
      </c>
      <c r="N441" t="str" cm="1">
        <f t="array" ref="N441">_xlfn.IFS(Table1_3[[#This Row],[Patient Satisfaction Score]]&gt;=83,"High",H441&lt;=75,"Low",TRUE,"Moderate")</f>
        <v>Moderate</v>
      </c>
      <c r="O441" t="str">
        <f t="shared" si="6"/>
        <v>Adult</v>
      </c>
    </row>
    <row r="442" spans="1:15">
      <c r="A442" t="s">
        <v>188</v>
      </c>
      <c r="B442" t="s">
        <v>36</v>
      </c>
      <c r="C442" t="s">
        <v>21</v>
      </c>
      <c r="D442" t="s">
        <v>16</v>
      </c>
      <c r="E442" s="2">
        <v>36</v>
      </c>
      <c r="F442" t="s">
        <v>22</v>
      </c>
      <c r="G442" t="s">
        <v>49</v>
      </c>
      <c r="H442" s="2">
        <v>72</v>
      </c>
      <c r="I442" s="3">
        <v>8553</v>
      </c>
      <c r="J442" s="4">
        <v>12.91</v>
      </c>
      <c r="K442" s="2">
        <v>119</v>
      </c>
      <c r="L442" s="2">
        <v>3</v>
      </c>
      <c r="M442" s="3">
        <v>31998</v>
      </c>
      <c r="N442" t="str" cm="1">
        <f t="array" ref="N442">_xlfn.IFS(Table1_3[[#This Row],[Patient Satisfaction Score]]&gt;=83,"High",H442&lt;=75,"Low",TRUE,"Moderate")</f>
        <v>Low</v>
      </c>
      <c r="O442" t="str">
        <f t="shared" si="6"/>
        <v>Adult</v>
      </c>
    </row>
    <row r="443" spans="1:15">
      <c r="A443" t="s">
        <v>452</v>
      </c>
      <c r="B443" t="s">
        <v>129</v>
      </c>
      <c r="C443" t="s">
        <v>21</v>
      </c>
      <c r="D443" t="s">
        <v>16</v>
      </c>
      <c r="E443" s="2">
        <v>36</v>
      </c>
      <c r="F443" t="s">
        <v>17</v>
      </c>
      <c r="G443" t="s">
        <v>49</v>
      </c>
      <c r="H443" s="2">
        <v>78</v>
      </c>
      <c r="I443" s="3">
        <v>6885</v>
      </c>
      <c r="J443" s="4">
        <v>16.850000000000001</v>
      </c>
      <c r="K443" s="2">
        <v>80</v>
      </c>
      <c r="L443" s="2">
        <v>4</v>
      </c>
      <c r="M443" s="3">
        <v>31602</v>
      </c>
      <c r="N443" t="str" cm="1">
        <f t="array" ref="N443">_xlfn.IFS(Table1_3[[#This Row],[Patient Satisfaction Score]]&gt;=83,"High",H443&lt;=75,"Low",TRUE,"Moderate")</f>
        <v>Moderate</v>
      </c>
      <c r="O443" t="str">
        <f t="shared" si="6"/>
        <v>Adult</v>
      </c>
    </row>
    <row r="444" spans="1:15">
      <c r="A444" t="s">
        <v>830</v>
      </c>
      <c r="B444" t="s">
        <v>84</v>
      </c>
      <c r="C444" t="s">
        <v>21</v>
      </c>
      <c r="D444" t="s">
        <v>16</v>
      </c>
      <c r="E444" s="2">
        <v>36</v>
      </c>
      <c r="F444" t="s">
        <v>17</v>
      </c>
      <c r="G444" t="s">
        <v>18</v>
      </c>
      <c r="H444" s="2">
        <v>69</v>
      </c>
      <c r="I444" s="3">
        <v>7214</v>
      </c>
      <c r="J444" s="4">
        <v>22.21</v>
      </c>
      <c r="K444" s="2">
        <v>70</v>
      </c>
      <c r="L444" s="2">
        <v>3</v>
      </c>
      <c r="M444" s="3">
        <v>32227</v>
      </c>
      <c r="N444" t="str" cm="1">
        <f t="array" ref="N444">_xlfn.IFS(Table1_3[[#This Row],[Patient Satisfaction Score]]&gt;=83,"High",H444&lt;=75,"Low",TRUE,"Moderate")</f>
        <v>Low</v>
      </c>
      <c r="O444" t="str">
        <f t="shared" si="6"/>
        <v>Adult</v>
      </c>
    </row>
    <row r="445" spans="1:15">
      <c r="A445" t="s">
        <v>1002</v>
      </c>
      <c r="B445" t="s">
        <v>84</v>
      </c>
      <c r="C445" t="s">
        <v>21</v>
      </c>
      <c r="D445" t="s">
        <v>27</v>
      </c>
      <c r="E445" s="2">
        <v>36</v>
      </c>
      <c r="F445" t="s">
        <v>17</v>
      </c>
      <c r="G445" t="s">
        <v>18</v>
      </c>
      <c r="H445" s="2">
        <v>80</v>
      </c>
      <c r="I445" s="3">
        <v>6351</v>
      </c>
      <c r="J445" s="4">
        <v>15.34</v>
      </c>
      <c r="K445" s="2">
        <v>84</v>
      </c>
      <c r="L445" s="2">
        <v>4</v>
      </c>
      <c r="M445" s="3">
        <v>23578</v>
      </c>
      <c r="N445" t="str" cm="1">
        <f t="array" ref="N445">_xlfn.IFS(Table1_3[[#This Row],[Patient Satisfaction Score]]&gt;=83,"High",H445&lt;=75,"Low",TRUE,"Moderate")</f>
        <v>Moderate</v>
      </c>
      <c r="O445" t="str">
        <f t="shared" si="6"/>
        <v>Adult</v>
      </c>
    </row>
    <row r="446" spans="1:15">
      <c r="A446" t="s">
        <v>1003</v>
      </c>
      <c r="B446" t="s">
        <v>36</v>
      </c>
      <c r="C446" t="s">
        <v>21</v>
      </c>
      <c r="D446" t="s">
        <v>16</v>
      </c>
      <c r="E446" s="2">
        <v>36</v>
      </c>
      <c r="F446" t="s">
        <v>17</v>
      </c>
      <c r="G446" t="s">
        <v>18</v>
      </c>
      <c r="H446" s="2">
        <v>78</v>
      </c>
      <c r="I446" s="3">
        <v>6889</v>
      </c>
      <c r="J446" s="4">
        <v>12.69</v>
      </c>
      <c r="K446" s="2">
        <v>126</v>
      </c>
      <c r="L446" s="2">
        <v>4</v>
      </c>
      <c r="M446" s="3">
        <v>26810</v>
      </c>
      <c r="N446" t="str" cm="1">
        <f t="array" ref="N446">_xlfn.IFS(Table1_3[[#This Row],[Patient Satisfaction Score]]&gt;=83,"High",H446&lt;=75,"Low",TRUE,"Moderate")</f>
        <v>Moderate</v>
      </c>
      <c r="O446" t="str">
        <f t="shared" si="6"/>
        <v>Adult</v>
      </c>
    </row>
    <row r="447" spans="1:15">
      <c r="A447" t="s">
        <v>1069</v>
      </c>
      <c r="B447" t="s">
        <v>143</v>
      </c>
      <c r="C447" t="s">
        <v>21</v>
      </c>
      <c r="D447" t="s">
        <v>16</v>
      </c>
      <c r="E447" s="2">
        <v>36</v>
      </c>
      <c r="F447" t="s">
        <v>17</v>
      </c>
      <c r="G447" t="s">
        <v>18</v>
      </c>
      <c r="H447" s="2">
        <v>64</v>
      </c>
      <c r="I447" s="3">
        <v>7953</v>
      </c>
      <c r="J447" s="4">
        <v>19.79</v>
      </c>
      <c r="K447" s="2">
        <v>104</v>
      </c>
      <c r="L447" s="2">
        <v>3</v>
      </c>
      <c r="M447" s="3">
        <v>42400</v>
      </c>
      <c r="N447" t="str" cm="1">
        <f t="array" ref="N447">_xlfn.IFS(Table1_3[[#This Row],[Patient Satisfaction Score]]&gt;=83,"High",H447&lt;=75,"Low",TRUE,"Moderate")</f>
        <v>Low</v>
      </c>
      <c r="O447" t="str">
        <f t="shared" si="6"/>
        <v>Adult</v>
      </c>
    </row>
    <row r="448" spans="1:15">
      <c r="A448" t="s">
        <v>371</v>
      </c>
      <c r="B448" t="s">
        <v>44</v>
      </c>
      <c r="C448" t="s">
        <v>45</v>
      </c>
      <c r="D448" t="s">
        <v>27</v>
      </c>
      <c r="E448" s="2">
        <v>36</v>
      </c>
      <c r="F448" t="s">
        <v>17</v>
      </c>
      <c r="G448" t="s">
        <v>70</v>
      </c>
      <c r="H448" s="2">
        <v>60</v>
      </c>
      <c r="I448" s="3">
        <v>9734</v>
      </c>
      <c r="J448" s="4">
        <v>16.5</v>
      </c>
      <c r="K448" s="2">
        <v>97</v>
      </c>
      <c r="L448" s="2">
        <v>3</v>
      </c>
      <c r="M448" s="3">
        <v>39928</v>
      </c>
      <c r="N448" t="str" cm="1">
        <f t="array" ref="N448">_xlfn.IFS(Table1_3[[#This Row],[Patient Satisfaction Score]]&gt;=83,"High",H448&lt;=75,"Low",TRUE,"Moderate")</f>
        <v>Low</v>
      </c>
      <c r="O448" t="str">
        <f t="shared" si="6"/>
        <v>Adult</v>
      </c>
    </row>
    <row r="449" spans="1:15">
      <c r="A449" t="s">
        <v>202</v>
      </c>
      <c r="B449" t="s">
        <v>64</v>
      </c>
      <c r="C449" t="s">
        <v>30</v>
      </c>
      <c r="D449" t="s">
        <v>16</v>
      </c>
      <c r="E449" s="2">
        <v>36</v>
      </c>
      <c r="F449" t="s">
        <v>22</v>
      </c>
      <c r="G449" t="s">
        <v>40</v>
      </c>
      <c r="H449" s="2">
        <v>75</v>
      </c>
      <c r="I449" s="3">
        <v>4251</v>
      </c>
      <c r="J449" s="4">
        <v>13.89</v>
      </c>
      <c r="K449" s="2">
        <v>113</v>
      </c>
      <c r="L449" s="2">
        <v>3</v>
      </c>
      <c r="M449" s="3">
        <v>15773</v>
      </c>
      <c r="N449" t="str" cm="1">
        <f t="array" ref="N449">_xlfn.IFS(Table1_3[[#This Row],[Patient Satisfaction Score]]&gt;=83,"High",H449&lt;=75,"Low",TRUE,"Moderate")</f>
        <v>Low</v>
      </c>
      <c r="O449" t="str">
        <f t="shared" si="6"/>
        <v>Adult</v>
      </c>
    </row>
    <row r="450" spans="1:15">
      <c r="A450" t="s">
        <v>713</v>
      </c>
      <c r="B450" t="s">
        <v>14</v>
      </c>
      <c r="C450" t="s">
        <v>15</v>
      </c>
      <c r="D450" t="s">
        <v>27</v>
      </c>
      <c r="E450" s="2">
        <v>36</v>
      </c>
      <c r="F450" t="s">
        <v>34</v>
      </c>
      <c r="G450" t="s">
        <v>40</v>
      </c>
      <c r="H450" s="2">
        <v>84</v>
      </c>
      <c r="I450" s="3">
        <v>7806</v>
      </c>
      <c r="J450" s="4">
        <v>15.4</v>
      </c>
      <c r="K450" s="2">
        <v>72</v>
      </c>
      <c r="L450" s="2">
        <v>4</v>
      </c>
      <c r="M450" s="3">
        <v>38922</v>
      </c>
      <c r="N450" t="str" cm="1">
        <f t="array" ref="N450">_xlfn.IFS(Table1_3[[#This Row],[Patient Satisfaction Score]]&gt;=83,"High",H450&lt;=75,"Low",TRUE,"Moderate")</f>
        <v>High</v>
      </c>
      <c r="O450" t="str">
        <f t="shared" ref="O450:O513" si="7">IF(E450&lt;19,"Pediatric","Adult")</f>
        <v>Adult</v>
      </c>
    </row>
    <row r="451" spans="1:15">
      <c r="A451" t="s">
        <v>837</v>
      </c>
      <c r="B451" t="s">
        <v>80</v>
      </c>
      <c r="C451" t="s">
        <v>15</v>
      </c>
      <c r="D451" t="s">
        <v>27</v>
      </c>
      <c r="E451" s="2">
        <v>36</v>
      </c>
      <c r="F451" t="s">
        <v>17</v>
      </c>
      <c r="G451" t="s">
        <v>18</v>
      </c>
      <c r="H451" s="2">
        <v>85</v>
      </c>
      <c r="I451" s="3">
        <v>8849</v>
      </c>
      <c r="J451" s="4">
        <v>16.68</v>
      </c>
      <c r="K451" s="2">
        <v>34</v>
      </c>
      <c r="L451" s="2">
        <v>4</v>
      </c>
      <c r="M451" s="3">
        <v>43581</v>
      </c>
      <c r="N451" t="str" cm="1">
        <f t="array" ref="N451">_xlfn.IFS(Table1_3[[#This Row],[Patient Satisfaction Score]]&gt;=83,"High",H451&lt;=75,"Low",TRUE,"Moderate")</f>
        <v>High</v>
      </c>
      <c r="O451" t="str">
        <f t="shared" si="7"/>
        <v>Adult</v>
      </c>
    </row>
    <row r="452" spans="1:15">
      <c r="A452" t="s">
        <v>994</v>
      </c>
      <c r="B452" t="s">
        <v>80</v>
      </c>
      <c r="C452" t="s">
        <v>15</v>
      </c>
      <c r="D452" t="s">
        <v>16</v>
      </c>
      <c r="E452" s="2">
        <v>36</v>
      </c>
      <c r="F452" t="s">
        <v>17</v>
      </c>
      <c r="G452" t="s">
        <v>49</v>
      </c>
      <c r="H452" s="2">
        <v>71</v>
      </c>
      <c r="I452" s="3">
        <v>8274</v>
      </c>
      <c r="J452" s="4">
        <v>15.27</v>
      </c>
      <c r="K452" s="2">
        <v>86</v>
      </c>
      <c r="L452" s="2">
        <v>4</v>
      </c>
      <c r="M452" s="3">
        <v>47377</v>
      </c>
      <c r="N452" t="str" cm="1">
        <f t="array" ref="N452">_xlfn.IFS(Table1_3[[#This Row],[Patient Satisfaction Score]]&gt;=83,"High",H452&lt;=75,"Low",TRUE,"Moderate")</f>
        <v>Low</v>
      </c>
      <c r="O452" t="str">
        <f t="shared" si="7"/>
        <v>Adult</v>
      </c>
    </row>
    <row r="453" spans="1:15">
      <c r="A453" t="s">
        <v>381</v>
      </c>
      <c r="B453" t="s">
        <v>25</v>
      </c>
      <c r="C453" t="s">
        <v>26</v>
      </c>
      <c r="D453" t="s">
        <v>16</v>
      </c>
      <c r="E453" s="2">
        <v>37</v>
      </c>
      <c r="F453" t="s">
        <v>22</v>
      </c>
      <c r="G453" t="s">
        <v>31</v>
      </c>
      <c r="H453" s="2">
        <v>97</v>
      </c>
      <c r="I453" s="3">
        <v>2128</v>
      </c>
      <c r="J453" s="4">
        <v>1.81</v>
      </c>
      <c r="K453" s="2">
        <v>41</v>
      </c>
      <c r="L453" s="2">
        <v>5</v>
      </c>
      <c r="M453" s="3">
        <v>8848</v>
      </c>
      <c r="N453" t="str" cm="1">
        <f t="array" ref="N453">_xlfn.IFS(Table1_3[[#This Row],[Patient Satisfaction Score]]&gt;=83,"High",H453&lt;=75,"Low",TRUE,"Moderate")</f>
        <v>High</v>
      </c>
      <c r="O453" t="str">
        <f t="shared" si="7"/>
        <v>Adult</v>
      </c>
    </row>
    <row r="454" spans="1:15">
      <c r="A454" t="s">
        <v>392</v>
      </c>
      <c r="B454" t="s">
        <v>137</v>
      </c>
      <c r="C454" t="s">
        <v>26</v>
      </c>
      <c r="D454" t="s">
        <v>16</v>
      </c>
      <c r="E454" s="2">
        <v>37</v>
      </c>
      <c r="F454" t="s">
        <v>17</v>
      </c>
      <c r="G454" t="s">
        <v>18</v>
      </c>
      <c r="H454" s="2">
        <v>86</v>
      </c>
      <c r="I454" s="3">
        <v>2872</v>
      </c>
      <c r="J454" s="4">
        <v>4.28</v>
      </c>
      <c r="K454" s="2">
        <v>32</v>
      </c>
      <c r="L454" s="2">
        <v>5</v>
      </c>
      <c r="M454" s="3">
        <v>11124</v>
      </c>
      <c r="N454" t="str" cm="1">
        <f t="array" ref="N454">_xlfn.IFS(Table1_3[[#This Row],[Patient Satisfaction Score]]&gt;=83,"High",H454&lt;=75,"Low",TRUE,"Moderate")</f>
        <v>High</v>
      </c>
      <c r="O454" t="str">
        <f t="shared" si="7"/>
        <v>Adult</v>
      </c>
    </row>
    <row r="455" spans="1:15">
      <c r="A455" t="s">
        <v>535</v>
      </c>
      <c r="B455" t="s">
        <v>103</v>
      </c>
      <c r="C455" t="s">
        <v>26</v>
      </c>
      <c r="D455" t="s">
        <v>27</v>
      </c>
      <c r="E455" s="2">
        <v>37</v>
      </c>
      <c r="F455" t="s">
        <v>22</v>
      </c>
      <c r="G455" t="s">
        <v>49</v>
      </c>
      <c r="H455" s="2">
        <v>92</v>
      </c>
      <c r="I455" s="3">
        <v>2740</v>
      </c>
      <c r="J455" s="4">
        <v>2.2200000000000002</v>
      </c>
      <c r="K455" s="2">
        <v>68</v>
      </c>
      <c r="L455" s="2">
        <v>4</v>
      </c>
      <c r="M455" s="3">
        <v>9445</v>
      </c>
      <c r="N455" t="str" cm="1">
        <f t="array" ref="N455">_xlfn.IFS(Table1_3[[#This Row],[Patient Satisfaction Score]]&gt;=83,"High",H455&lt;=75,"Low",TRUE,"Moderate")</f>
        <v>High</v>
      </c>
      <c r="O455" t="str">
        <f t="shared" si="7"/>
        <v>Adult</v>
      </c>
    </row>
    <row r="456" spans="1:15">
      <c r="A456" t="s">
        <v>642</v>
      </c>
      <c r="B456" t="s">
        <v>137</v>
      </c>
      <c r="C456" t="s">
        <v>26</v>
      </c>
      <c r="D456" t="s">
        <v>27</v>
      </c>
      <c r="E456" s="2">
        <v>37</v>
      </c>
      <c r="F456" t="s">
        <v>17</v>
      </c>
      <c r="G456" t="s">
        <v>40</v>
      </c>
      <c r="H456" s="2">
        <v>85</v>
      </c>
      <c r="I456" s="3">
        <v>3196</v>
      </c>
      <c r="J456" s="4">
        <v>7.84</v>
      </c>
      <c r="K456" s="2">
        <v>65</v>
      </c>
      <c r="L456" s="2">
        <v>4</v>
      </c>
      <c r="M456" s="3">
        <v>12409</v>
      </c>
      <c r="N456" t="str" cm="1">
        <f t="array" ref="N456">_xlfn.IFS(Table1_3[[#This Row],[Patient Satisfaction Score]]&gt;=83,"High",H456&lt;=75,"Low",TRUE,"Moderate")</f>
        <v>High</v>
      </c>
      <c r="O456" t="str">
        <f t="shared" si="7"/>
        <v>Adult</v>
      </c>
    </row>
    <row r="457" spans="1:15">
      <c r="A457" t="s">
        <v>1020</v>
      </c>
      <c r="B457" t="s">
        <v>137</v>
      </c>
      <c r="C457" t="s">
        <v>26</v>
      </c>
      <c r="D457" t="s">
        <v>72</v>
      </c>
      <c r="E457" s="2">
        <v>37</v>
      </c>
      <c r="F457" t="s">
        <v>22</v>
      </c>
      <c r="G457" t="s">
        <v>23</v>
      </c>
      <c r="H457" s="2">
        <v>83</v>
      </c>
      <c r="I457" s="3">
        <v>2415</v>
      </c>
      <c r="J457" s="4">
        <v>7.4</v>
      </c>
      <c r="K457" s="2">
        <v>19</v>
      </c>
      <c r="L457" s="2">
        <v>4</v>
      </c>
      <c r="M457" s="3">
        <v>7111</v>
      </c>
      <c r="N457" t="str" cm="1">
        <f t="array" ref="N457">_xlfn.IFS(Table1_3[[#This Row],[Patient Satisfaction Score]]&gt;=83,"High",H457&lt;=75,"Low",TRUE,"Moderate")</f>
        <v>High</v>
      </c>
      <c r="O457" t="str">
        <f t="shared" si="7"/>
        <v>Adult</v>
      </c>
    </row>
    <row r="458" spans="1:15">
      <c r="A458" t="s">
        <v>941</v>
      </c>
      <c r="B458" t="s">
        <v>95</v>
      </c>
      <c r="C458" t="s">
        <v>52</v>
      </c>
      <c r="D458" t="s">
        <v>27</v>
      </c>
      <c r="E458" s="2">
        <v>37</v>
      </c>
      <c r="F458" t="s">
        <v>34</v>
      </c>
      <c r="G458" t="s">
        <v>23</v>
      </c>
      <c r="H458" s="2">
        <v>74</v>
      </c>
      <c r="I458" s="3">
        <v>8809</v>
      </c>
      <c r="J458" s="4">
        <v>21.96</v>
      </c>
      <c r="K458" s="2">
        <v>89</v>
      </c>
      <c r="L458" s="2">
        <v>3</v>
      </c>
      <c r="M458" s="3">
        <v>51200</v>
      </c>
      <c r="N458" t="str" cm="1">
        <f t="array" ref="N458">_xlfn.IFS(Table1_3[[#This Row],[Patient Satisfaction Score]]&gt;=83,"High",H458&lt;=75,"Low",TRUE,"Moderate")</f>
        <v>Low</v>
      </c>
      <c r="O458" t="str">
        <f t="shared" si="7"/>
        <v>Adult</v>
      </c>
    </row>
    <row r="459" spans="1:15">
      <c r="A459" t="s">
        <v>373</v>
      </c>
      <c r="B459" t="s">
        <v>20</v>
      </c>
      <c r="C459" t="s">
        <v>21</v>
      </c>
      <c r="D459" t="s">
        <v>27</v>
      </c>
      <c r="E459" s="2">
        <v>37</v>
      </c>
      <c r="F459" t="s">
        <v>34</v>
      </c>
      <c r="G459" t="s">
        <v>70</v>
      </c>
      <c r="H459" s="2">
        <v>70</v>
      </c>
      <c r="I459" s="3">
        <v>6018</v>
      </c>
      <c r="J459" s="4">
        <v>23.42</v>
      </c>
      <c r="K459" s="2">
        <v>99</v>
      </c>
      <c r="L459" s="2">
        <v>4</v>
      </c>
      <c r="M459" s="3">
        <v>29321</v>
      </c>
      <c r="N459" t="str" cm="1">
        <f t="array" ref="N459">_xlfn.IFS(Table1_3[[#This Row],[Patient Satisfaction Score]]&gt;=83,"High",H459&lt;=75,"Low",TRUE,"Moderate")</f>
        <v>Low</v>
      </c>
      <c r="O459" t="str">
        <f t="shared" si="7"/>
        <v>Adult</v>
      </c>
    </row>
    <row r="460" spans="1:15">
      <c r="A460" t="s">
        <v>630</v>
      </c>
      <c r="B460" t="s">
        <v>129</v>
      </c>
      <c r="C460" t="s">
        <v>21</v>
      </c>
      <c r="D460" t="s">
        <v>27</v>
      </c>
      <c r="E460" s="2">
        <v>37</v>
      </c>
      <c r="F460" t="s">
        <v>34</v>
      </c>
      <c r="G460" t="s">
        <v>18</v>
      </c>
      <c r="H460" s="2">
        <v>77</v>
      </c>
      <c r="I460" s="3">
        <v>5983</v>
      </c>
      <c r="J460" s="4">
        <v>10.26</v>
      </c>
      <c r="K460" s="2">
        <v>87</v>
      </c>
      <c r="L460" s="2">
        <v>4</v>
      </c>
      <c r="M460" s="3">
        <v>35505</v>
      </c>
      <c r="N460" t="str" cm="1">
        <f t="array" ref="N460">_xlfn.IFS(Table1_3[[#This Row],[Patient Satisfaction Score]]&gt;=83,"High",H460&lt;=75,"Low",TRUE,"Moderate")</f>
        <v>Moderate</v>
      </c>
      <c r="O460" t="str">
        <f t="shared" si="7"/>
        <v>Adult</v>
      </c>
    </row>
    <row r="461" spans="1:15">
      <c r="A461" t="s">
        <v>667</v>
      </c>
      <c r="B461" t="s">
        <v>129</v>
      </c>
      <c r="C461" t="s">
        <v>21</v>
      </c>
      <c r="D461" t="s">
        <v>16</v>
      </c>
      <c r="E461" s="2">
        <v>37</v>
      </c>
      <c r="F461" t="s">
        <v>22</v>
      </c>
      <c r="G461" t="s">
        <v>70</v>
      </c>
      <c r="H461" s="2">
        <v>71</v>
      </c>
      <c r="I461" s="3">
        <v>7492</v>
      </c>
      <c r="J461" s="4">
        <v>19.510000000000002</v>
      </c>
      <c r="K461" s="2">
        <v>74</v>
      </c>
      <c r="L461" s="2">
        <v>3</v>
      </c>
      <c r="M461" s="3">
        <v>38565</v>
      </c>
      <c r="N461" t="str" cm="1">
        <f t="array" ref="N461">_xlfn.IFS(Table1_3[[#This Row],[Patient Satisfaction Score]]&gt;=83,"High",H461&lt;=75,"Low",TRUE,"Moderate")</f>
        <v>Low</v>
      </c>
      <c r="O461" t="str">
        <f t="shared" si="7"/>
        <v>Adult</v>
      </c>
    </row>
    <row r="462" spans="1:15">
      <c r="A462" t="s">
        <v>891</v>
      </c>
      <c r="B462" t="s">
        <v>20</v>
      </c>
      <c r="C462" t="s">
        <v>21</v>
      </c>
      <c r="D462" t="s">
        <v>16</v>
      </c>
      <c r="E462" s="2">
        <v>37</v>
      </c>
      <c r="F462" t="s">
        <v>17</v>
      </c>
      <c r="G462" t="s">
        <v>31</v>
      </c>
      <c r="H462" s="2">
        <v>65</v>
      </c>
      <c r="I462" s="3">
        <v>9345</v>
      </c>
      <c r="J462" s="4">
        <v>14.07</v>
      </c>
      <c r="K462" s="2">
        <v>120</v>
      </c>
      <c r="L462" s="2">
        <v>4</v>
      </c>
      <c r="M462" s="3">
        <v>26168</v>
      </c>
      <c r="N462" t="str" cm="1">
        <f t="array" ref="N462">_xlfn.IFS(Table1_3[[#This Row],[Patient Satisfaction Score]]&gt;=83,"High",H462&lt;=75,"Low",TRUE,"Moderate")</f>
        <v>Low</v>
      </c>
      <c r="O462" t="str">
        <f t="shared" si="7"/>
        <v>Adult</v>
      </c>
    </row>
    <row r="463" spans="1:15">
      <c r="A463" t="s">
        <v>832</v>
      </c>
      <c r="B463" t="s">
        <v>74</v>
      </c>
      <c r="C463" t="s">
        <v>45</v>
      </c>
      <c r="D463" t="s">
        <v>16</v>
      </c>
      <c r="E463" s="2">
        <v>37</v>
      </c>
      <c r="F463" t="s">
        <v>22</v>
      </c>
      <c r="G463" t="s">
        <v>18</v>
      </c>
      <c r="H463" s="2">
        <v>67</v>
      </c>
      <c r="I463" s="3">
        <v>7347</v>
      </c>
      <c r="J463" s="4">
        <v>23.92</v>
      </c>
      <c r="K463" s="2">
        <v>99</v>
      </c>
      <c r="L463" s="2">
        <v>3</v>
      </c>
      <c r="M463" s="3">
        <v>23280</v>
      </c>
      <c r="N463" t="str" cm="1">
        <f t="array" ref="N463">_xlfn.IFS(Table1_3[[#This Row],[Patient Satisfaction Score]]&gt;=83,"High",H463&lt;=75,"Low",TRUE,"Moderate")</f>
        <v>Low</v>
      </c>
      <c r="O463" t="str">
        <f t="shared" si="7"/>
        <v>Adult</v>
      </c>
    </row>
    <row r="464" spans="1:15">
      <c r="A464" t="s">
        <v>1012</v>
      </c>
      <c r="B464" t="s">
        <v>44</v>
      </c>
      <c r="C464" t="s">
        <v>45</v>
      </c>
      <c r="D464" t="s">
        <v>27</v>
      </c>
      <c r="E464" s="2">
        <v>37</v>
      </c>
      <c r="F464" t="s">
        <v>17</v>
      </c>
      <c r="G464" t="s">
        <v>70</v>
      </c>
      <c r="H464" s="2">
        <v>70</v>
      </c>
      <c r="I464" s="3">
        <v>9938</v>
      </c>
      <c r="J464" s="4">
        <v>22.35</v>
      </c>
      <c r="K464" s="2">
        <v>105</v>
      </c>
      <c r="L464" s="2">
        <v>4</v>
      </c>
      <c r="M464" s="3">
        <v>48548</v>
      </c>
      <c r="N464" t="str" cm="1">
        <f t="array" ref="N464">_xlfn.IFS(Table1_3[[#This Row],[Patient Satisfaction Score]]&gt;=83,"High",H464&lt;=75,"Low",TRUE,"Moderate")</f>
        <v>Low</v>
      </c>
      <c r="O464" t="str">
        <f t="shared" si="7"/>
        <v>Adult</v>
      </c>
    </row>
    <row r="465" spans="1:15">
      <c r="A465" t="s">
        <v>199</v>
      </c>
      <c r="B465" t="s">
        <v>64</v>
      </c>
      <c r="C465" t="s">
        <v>30</v>
      </c>
      <c r="D465" t="s">
        <v>16</v>
      </c>
      <c r="E465" s="2">
        <v>37</v>
      </c>
      <c r="F465" t="s">
        <v>34</v>
      </c>
      <c r="G465" t="s">
        <v>70</v>
      </c>
      <c r="H465" s="2">
        <v>75</v>
      </c>
      <c r="I465" s="3">
        <v>3017</v>
      </c>
      <c r="J465" s="4">
        <v>19.98</v>
      </c>
      <c r="K465" s="2">
        <v>93</v>
      </c>
      <c r="L465" s="2">
        <v>4</v>
      </c>
      <c r="M465" s="3">
        <v>12901</v>
      </c>
      <c r="N465" t="str" cm="1">
        <f t="array" ref="N465">_xlfn.IFS(Table1_3[[#This Row],[Patient Satisfaction Score]]&gt;=83,"High",H465&lt;=75,"Low",TRUE,"Moderate")</f>
        <v>Low</v>
      </c>
      <c r="O465" t="str">
        <f t="shared" si="7"/>
        <v>Adult</v>
      </c>
    </row>
    <row r="466" spans="1:15">
      <c r="A466" t="s">
        <v>718</v>
      </c>
      <c r="B466" t="s">
        <v>109</v>
      </c>
      <c r="C466" t="s">
        <v>30</v>
      </c>
      <c r="D466" t="s">
        <v>16</v>
      </c>
      <c r="E466" s="2">
        <v>37</v>
      </c>
      <c r="F466" t="s">
        <v>17</v>
      </c>
      <c r="G466" t="s">
        <v>18</v>
      </c>
      <c r="H466" s="2">
        <v>86</v>
      </c>
      <c r="I466" s="3">
        <v>4458</v>
      </c>
      <c r="J466" s="4">
        <v>13.66</v>
      </c>
      <c r="K466" s="2">
        <v>65</v>
      </c>
      <c r="L466" s="2">
        <v>5</v>
      </c>
      <c r="M466" s="3">
        <v>15328</v>
      </c>
      <c r="N466" t="str" cm="1">
        <f t="array" ref="N466">_xlfn.IFS(Table1_3[[#This Row],[Patient Satisfaction Score]]&gt;=83,"High",H466&lt;=75,"Low",TRUE,"Moderate")</f>
        <v>High</v>
      </c>
      <c r="O466" t="str">
        <f t="shared" si="7"/>
        <v>Adult</v>
      </c>
    </row>
    <row r="467" spans="1:15">
      <c r="A467" t="s">
        <v>916</v>
      </c>
      <c r="B467" t="s">
        <v>109</v>
      </c>
      <c r="C467" t="s">
        <v>30</v>
      </c>
      <c r="D467" t="s">
        <v>16</v>
      </c>
      <c r="E467" s="2">
        <v>37</v>
      </c>
      <c r="F467" t="s">
        <v>22</v>
      </c>
      <c r="G467" t="s">
        <v>31</v>
      </c>
      <c r="H467" s="2">
        <v>73</v>
      </c>
      <c r="I467" s="3">
        <v>3487</v>
      </c>
      <c r="J467" s="4">
        <v>14.09</v>
      </c>
      <c r="K467" s="2">
        <v>114</v>
      </c>
      <c r="L467" s="2">
        <v>3</v>
      </c>
      <c r="M467" s="3">
        <v>13161</v>
      </c>
      <c r="N467" t="str" cm="1">
        <f t="array" ref="N467">_xlfn.IFS(Table1_3[[#This Row],[Patient Satisfaction Score]]&gt;=83,"High",H467&lt;=75,"Low",TRUE,"Moderate")</f>
        <v>Low</v>
      </c>
      <c r="O467" t="str">
        <f t="shared" si="7"/>
        <v>Adult</v>
      </c>
    </row>
    <row r="468" spans="1:15">
      <c r="A468" t="s">
        <v>257</v>
      </c>
      <c r="B468" t="s">
        <v>54</v>
      </c>
      <c r="C468" t="s">
        <v>15</v>
      </c>
      <c r="D468" t="s">
        <v>72</v>
      </c>
      <c r="E468" s="2">
        <v>37</v>
      </c>
      <c r="F468" t="s">
        <v>17</v>
      </c>
      <c r="G468" t="s">
        <v>70</v>
      </c>
      <c r="H468" s="2">
        <v>76</v>
      </c>
      <c r="I468" s="3">
        <v>6385</v>
      </c>
      <c r="J468" s="4">
        <v>20.67</v>
      </c>
      <c r="K468" s="2">
        <v>94</v>
      </c>
      <c r="L468" s="2">
        <v>4</v>
      </c>
      <c r="M468" s="3">
        <v>22771</v>
      </c>
      <c r="N468" t="str" cm="1">
        <f t="array" ref="N468">_xlfn.IFS(Table1_3[[#This Row],[Patient Satisfaction Score]]&gt;=83,"High",H468&lt;=75,"Low",TRUE,"Moderate")</f>
        <v>Moderate</v>
      </c>
      <c r="O468" t="str">
        <f t="shared" si="7"/>
        <v>Adult</v>
      </c>
    </row>
    <row r="469" spans="1:15">
      <c r="A469" t="s">
        <v>554</v>
      </c>
      <c r="B469" t="s">
        <v>88</v>
      </c>
      <c r="C469" t="s">
        <v>15</v>
      </c>
      <c r="D469" t="s">
        <v>16</v>
      </c>
      <c r="E469" s="2">
        <v>37</v>
      </c>
      <c r="F469" t="s">
        <v>17</v>
      </c>
      <c r="G469" t="s">
        <v>49</v>
      </c>
      <c r="H469" s="2">
        <v>83</v>
      </c>
      <c r="I469" s="3">
        <v>6924</v>
      </c>
      <c r="J469" s="4">
        <v>12.07</v>
      </c>
      <c r="K469" s="2">
        <v>93</v>
      </c>
      <c r="L469" s="2">
        <v>5</v>
      </c>
      <c r="M469" s="3">
        <v>19394</v>
      </c>
      <c r="N469" t="str" cm="1">
        <f t="array" ref="N469">_xlfn.IFS(Table1_3[[#This Row],[Patient Satisfaction Score]]&gt;=83,"High",H469&lt;=75,"Low",TRUE,"Moderate")</f>
        <v>High</v>
      </c>
      <c r="O469" t="str">
        <f t="shared" si="7"/>
        <v>Adult</v>
      </c>
    </row>
    <row r="470" spans="1:15">
      <c r="A470" t="s">
        <v>777</v>
      </c>
      <c r="B470" t="s">
        <v>80</v>
      </c>
      <c r="C470" t="s">
        <v>15</v>
      </c>
      <c r="D470" t="s">
        <v>27</v>
      </c>
      <c r="E470" s="2">
        <v>37</v>
      </c>
      <c r="F470" t="s">
        <v>17</v>
      </c>
      <c r="G470" t="s">
        <v>18</v>
      </c>
      <c r="H470" s="2">
        <v>69</v>
      </c>
      <c r="I470" s="3">
        <v>6521</v>
      </c>
      <c r="J470" s="4">
        <v>19.47</v>
      </c>
      <c r="K470" s="2">
        <v>93</v>
      </c>
      <c r="L470" s="2">
        <v>4</v>
      </c>
      <c r="M470" s="3">
        <v>36978</v>
      </c>
      <c r="N470" t="str" cm="1">
        <f t="array" ref="N470">_xlfn.IFS(Table1_3[[#This Row],[Patient Satisfaction Score]]&gt;=83,"High",H470&lt;=75,"Low",TRUE,"Moderate")</f>
        <v>Low</v>
      </c>
      <c r="O470" t="str">
        <f t="shared" si="7"/>
        <v>Adult</v>
      </c>
    </row>
    <row r="471" spans="1:15">
      <c r="A471" t="s">
        <v>1046</v>
      </c>
      <c r="B471" t="s">
        <v>54</v>
      </c>
      <c r="C471" t="s">
        <v>15</v>
      </c>
      <c r="D471" t="s">
        <v>27</v>
      </c>
      <c r="E471" s="2">
        <v>37</v>
      </c>
      <c r="F471" t="s">
        <v>22</v>
      </c>
      <c r="G471" t="s">
        <v>70</v>
      </c>
      <c r="H471" s="2">
        <v>69</v>
      </c>
      <c r="I471" s="3">
        <v>5461</v>
      </c>
      <c r="J471" s="4">
        <v>23.19</v>
      </c>
      <c r="K471" s="2">
        <v>84</v>
      </c>
      <c r="L471" s="2">
        <v>3</v>
      </c>
      <c r="M471" s="3">
        <v>26153</v>
      </c>
      <c r="N471" t="str" cm="1">
        <f t="array" ref="N471">_xlfn.IFS(Table1_3[[#This Row],[Patient Satisfaction Score]]&gt;=83,"High",H471&lt;=75,"Low",TRUE,"Moderate")</f>
        <v>Low</v>
      </c>
      <c r="O471" t="str">
        <f t="shared" si="7"/>
        <v>Adult</v>
      </c>
    </row>
    <row r="472" spans="1:15">
      <c r="A472" t="s">
        <v>813</v>
      </c>
      <c r="B472" t="s">
        <v>25</v>
      </c>
      <c r="C472" t="s">
        <v>26</v>
      </c>
      <c r="D472" t="s">
        <v>72</v>
      </c>
      <c r="E472" s="2">
        <v>38</v>
      </c>
      <c r="F472" t="s">
        <v>34</v>
      </c>
      <c r="G472" t="s">
        <v>18</v>
      </c>
      <c r="H472" s="2">
        <v>92</v>
      </c>
      <c r="I472" s="3">
        <v>2564</v>
      </c>
      <c r="J472" s="4">
        <v>0</v>
      </c>
      <c r="K472" s="2">
        <v>59</v>
      </c>
      <c r="L472" s="2">
        <v>4</v>
      </c>
      <c r="M472" s="3">
        <v>9964</v>
      </c>
      <c r="N472" t="str" cm="1">
        <f t="array" ref="N472">_xlfn.IFS(Table1_3[[#This Row],[Patient Satisfaction Score]]&gt;=83,"High",H472&lt;=75,"Low",TRUE,"Moderate")</f>
        <v>High</v>
      </c>
      <c r="O472" t="str">
        <f t="shared" si="7"/>
        <v>Adult</v>
      </c>
    </row>
    <row r="473" spans="1:15">
      <c r="A473" t="s">
        <v>899</v>
      </c>
      <c r="B473" t="s">
        <v>103</v>
      </c>
      <c r="C473" t="s">
        <v>26</v>
      </c>
      <c r="D473" t="s">
        <v>16</v>
      </c>
      <c r="E473" s="2">
        <v>38</v>
      </c>
      <c r="F473" t="s">
        <v>22</v>
      </c>
      <c r="G473" t="s">
        <v>18</v>
      </c>
      <c r="H473" s="2">
        <v>73</v>
      </c>
      <c r="I473" s="3">
        <v>2537</v>
      </c>
      <c r="J473" s="4">
        <v>10.27</v>
      </c>
      <c r="K473" s="2">
        <v>55</v>
      </c>
      <c r="L473" s="2">
        <v>3</v>
      </c>
      <c r="M473" s="3">
        <v>11501</v>
      </c>
      <c r="N473" t="str" cm="1">
        <f t="array" ref="N473">_xlfn.IFS(Table1_3[[#This Row],[Patient Satisfaction Score]]&gt;=83,"High",H473&lt;=75,"Low",TRUE,"Moderate")</f>
        <v>Low</v>
      </c>
      <c r="O473" t="str">
        <f t="shared" si="7"/>
        <v>Adult</v>
      </c>
    </row>
    <row r="474" spans="1:15">
      <c r="A474" t="s">
        <v>330</v>
      </c>
      <c r="B474" t="s">
        <v>150</v>
      </c>
      <c r="C474" t="s">
        <v>48</v>
      </c>
      <c r="D474" t="s">
        <v>16</v>
      </c>
      <c r="E474" s="2">
        <v>38</v>
      </c>
      <c r="F474" t="s">
        <v>22</v>
      </c>
      <c r="G474" t="s">
        <v>70</v>
      </c>
      <c r="H474" s="2">
        <v>70</v>
      </c>
      <c r="I474" s="3">
        <v>6383</v>
      </c>
      <c r="J474" s="4">
        <v>17.36</v>
      </c>
      <c r="K474" s="2">
        <v>59</v>
      </c>
      <c r="L474" s="2">
        <v>4</v>
      </c>
      <c r="M474" s="3">
        <v>36773</v>
      </c>
      <c r="N474" t="str" cm="1">
        <f t="array" ref="N474">_xlfn.IFS(Table1_3[[#This Row],[Patient Satisfaction Score]]&gt;=83,"High",H474&lt;=75,"Low",TRUE,"Moderate")</f>
        <v>Low</v>
      </c>
      <c r="O474" t="str">
        <f t="shared" si="7"/>
        <v>Adult</v>
      </c>
    </row>
    <row r="475" spans="1:15">
      <c r="A475" t="s">
        <v>857</v>
      </c>
      <c r="B475" t="s">
        <v>122</v>
      </c>
      <c r="C475" t="s">
        <v>48</v>
      </c>
      <c r="D475" t="s">
        <v>16</v>
      </c>
      <c r="E475" s="2">
        <v>38</v>
      </c>
      <c r="F475" t="s">
        <v>34</v>
      </c>
      <c r="G475" t="s">
        <v>40</v>
      </c>
      <c r="H475" s="2">
        <v>82</v>
      </c>
      <c r="I475" s="3">
        <v>5245</v>
      </c>
      <c r="J475" s="4">
        <v>10.83</v>
      </c>
      <c r="K475" s="2">
        <v>35</v>
      </c>
      <c r="L475" s="2">
        <v>4</v>
      </c>
      <c r="M475" s="3">
        <v>15141</v>
      </c>
      <c r="N475" t="str" cm="1">
        <f t="array" ref="N475">_xlfn.IFS(Table1_3[[#This Row],[Patient Satisfaction Score]]&gt;=83,"High",H475&lt;=75,"Low",TRUE,"Moderate")</f>
        <v>Moderate</v>
      </c>
      <c r="O475" t="str">
        <f t="shared" si="7"/>
        <v>Adult</v>
      </c>
    </row>
    <row r="476" spans="1:15">
      <c r="A476" t="s">
        <v>550</v>
      </c>
      <c r="B476" t="s">
        <v>129</v>
      </c>
      <c r="C476" t="s">
        <v>21</v>
      </c>
      <c r="D476" t="s">
        <v>27</v>
      </c>
      <c r="E476" s="2">
        <v>38</v>
      </c>
      <c r="F476" t="s">
        <v>22</v>
      </c>
      <c r="G476" t="s">
        <v>70</v>
      </c>
      <c r="H476" s="2">
        <v>85</v>
      </c>
      <c r="I476" s="3">
        <v>5683</v>
      </c>
      <c r="J476" s="4">
        <v>13.85</v>
      </c>
      <c r="K476" s="2">
        <v>85</v>
      </c>
      <c r="L476" s="2">
        <v>3</v>
      </c>
      <c r="M476" s="3">
        <v>31584</v>
      </c>
      <c r="N476" t="str" cm="1">
        <f t="array" ref="N476">_xlfn.IFS(Table1_3[[#This Row],[Patient Satisfaction Score]]&gt;=83,"High",H476&lt;=75,"Low",TRUE,"Moderate")</f>
        <v>High</v>
      </c>
      <c r="O476" t="str">
        <f t="shared" si="7"/>
        <v>Adult</v>
      </c>
    </row>
    <row r="477" spans="1:15">
      <c r="A477" t="s">
        <v>648</v>
      </c>
      <c r="B477" t="s">
        <v>84</v>
      </c>
      <c r="C477" t="s">
        <v>21</v>
      </c>
      <c r="D477" t="s">
        <v>27</v>
      </c>
      <c r="E477" s="2">
        <v>38</v>
      </c>
      <c r="F477" t="s">
        <v>34</v>
      </c>
      <c r="G477" t="s">
        <v>18</v>
      </c>
      <c r="H477" s="2">
        <v>73</v>
      </c>
      <c r="I477" s="3">
        <v>6992</v>
      </c>
      <c r="J477" s="4">
        <v>19.920000000000002</v>
      </c>
      <c r="K477" s="2">
        <v>74</v>
      </c>
      <c r="L477" s="2">
        <v>3</v>
      </c>
      <c r="M477" s="3">
        <v>38392</v>
      </c>
      <c r="N477" t="str" cm="1">
        <f t="array" ref="N477">_xlfn.IFS(Table1_3[[#This Row],[Patient Satisfaction Score]]&gt;=83,"High",H477&lt;=75,"Low",TRUE,"Moderate")</f>
        <v>Low</v>
      </c>
      <c r="O477" t="str">
        <f t="shared" si="7"/>
        <v>Adult</v>
      </c>
    </row>
    <row r="478" spans="1:15">
      <c r="A478" t="s">
        <v>689</v>
      </c>
      <c r="B478" t="s">
        <v>36</v>
      </c>
      <c r="C478" t="s">
        <v>21</v>
      </c>
      <c r="D478" t="s">
        <v>27</v>
      </c>
      <c r="E478" s="2">
        <v>38</v>
      </c>
      <c r="F478" t="s">
        <v>17</v>
      </c>
      <c r="G478" t="s">
        <v>31</v>
      </c>
      <c r="H478" s="2">
        <v>89</v>
      </c>
      <c r="I478" s="3">
        <v>7919</v>
      </c>
      <c r="J478" s="4">
        <v>18.61</v>
      </c>
      <c r="K478" s="2">
        <v>57</v>
      </c>
      <c r="L478" s="2">
        <v>5</v>
      </c>
      <c r="M478" s="3">
        <v>31040</v>
      </c>
      <c r="N478" t="str" cm="1">
        <f t="array" ref="N478">_xlfn.IFS(Table1_3[[#This Row],[Patient Satisfaction Score]]&gt;=83,"High",H478&lt;=75,"Low",TRUE,"Moderate")</f>
        <v>High</v>
      </c>
      <c r="O478" t="str">
        <f t="shared" si="7"/>
        <v>Adult</v>
      </c>
    </row>
    <row r="479" spans="1:15">
      <c r="A479" t="s">
        <v>814</v>
      </c>
      <c r="B479" t="s">
        <v>84</v>
      </c>
      <c r="C479" t="s">
        <v>21</v>
      </c>
      <c r="D479" t="s">
        <v>27</v>
      </c>
      <c r="E479" s="2">
        <v>38</v>
      </c>
      <c r="F479" t="s">
        <v>22</v>
      </c>
      <c r="G479" t="s">
        <v>23</v>
      </c>
      <c r="H479" s="2">
        <v>80</v>
      </c>
      <c r="I479" s="3">
        <v>7466</v>
      </c>
      <c r="J479" s="4">
        <v>14.18</v>
      </c>
      <c r="K479" s="2">
        <v>63</v>
      </c>
      <c r="L479" s="2">
        <v>5</v>
      </c>
      <c r="M479" s="3">
        <v>44492</v>
      </c>
      <c r="N479" t="str" cm="1">
        <f t="array" ref="N479">_xlfn.IFS(Table1_3[[#This Row],[Patient Satisfaction Score]]&gt;=83,"High",H479&lt;=75,"Low",TRUE,"Moderate")</f>
        <v>Moderate</v>
      </c>
      <c r="O479" t="str">
        <f t="shared" si="7"/>
        <v>Adult</v>
      </c>
    </row>
    <row r="480" spans="1:15">
      <c r="A480" t="s">
        <v>854</v>
      </c>
      <c r="B480" t="s">
        <v>129</v>
      </c>
      <c r="C480" t="s">
        <v>21</v>
      </c>
      <c r="D480" t="s">
        <v>27</v>
      </c>
      <c r="E480" s="2">
        <v>38</v>
      </c>
      <c r="F480" t="s">
        <v>17</v>
      </c>
      <c r="G480" t="s">
        <v>31</v>
      </c>
      <c r="H480" s="2">
        <v>65</v>
      </c>
      <c r="I480" s="3">
        <v>5130</v>
      </c>
      <c r="J480" s="4">
        <v>16.71</v>
      </c>
      <c r="K480" s="2">
        <v>105</v>
      </c>
      <c r="L480" s="2">
        <v>3</v>
      </c>
      <c r="M480" s="3">
        <v>26054</v>
      </c>
      <c r="N480" t="str" cm="1">
        <f t="array" ref="N480">_xlfn.IFS(Table1_3[[#This Row],[Patient Satisfaction Score]]&gt;=83,"High",H480&lt;=75,"Low",TRUE,"Moderate")</f>
        <v>Low</v>
      </c>
      <c r="O480" t="str">
        <f t="shared" si="7"/>
        <v>Adult</v>
      </c>
    </row>
    <row r="481" spans="1:15">
      <c r="A481" t="s">
        <v>112</v>
      </c>
      <c r="B481" t="s">
        <v>56</v>
      </c>
      <c r="C481" t="s">
        <v>45</v>
      </c>
      <c r="D481" t="s">
        <v>27</v>
      </c>
      <c r="E481" s="2">
        <v>38</v>
      </c>
      <c r="F481" t="s">
        <v>22</v>
      </c>
      <c r="G481" t="s">
        <v>49</v>
      </c>
      <c r="H481" s="2">
        <v>81</v>
      </c>
      <c r="I481" s="3">
        <v>7771</v>
      </c>
      <c r="J481" s="4">
        <v>16.809999999999999</v>
      </c>
      <c r="K481" s="2">
        <v>94</v>
      </c>
      <c r="L481" s="2">
        <v>4</v>
      </c>
      <c r="M481" s="3">
        <v>35294</v>
      </c>
      <c r="N481" t="str" cm="1">
        <f t="array" ref="N481">_xlfn.IFS(Table1_3[[#This Row],[Patient Satisfaction Score]]&gt;=83,"High",H481&lt;=75,"Low",TRUE,"Moderate")</f>
        <v>Moderate</v>
      </c>
      <c r="O481" t="str">
        <f t="shared" si="7"/>
        <v>Adult</v>
      </c>
    </row>
    <row r="482" spans="1:15">
      <c r="A482" t="s">
        <v>175</v>
      </c>
      <c r="B482" t="s">
        <v>168</v>
      </c>
      <c r="C482" t="s">
        <v>45</v>
      </c>
      <c r="D482" t="s">
        <v>27</v>
      </c>
      <c r="E482" s="2">
        <v>38</v>
      </c>
      <c r="F482" t="s">
        <v>17</v>
      </c>
      <c r="G482" t="s">
        <v>31</v>
      </c>
      <c r="H482" s="2">
        <v>65</v>
      </c>
      <c r="I482" s="3">
        <v>6418</v>
      </c>
      <c r="J482" s="4">
        <v>19.32</v>
      </c>
      <c r="K482" s="2">
        <v>98</v>
      </c>
      <c r="L482" s="2">
        <v>3</v>
      </c>
      <c r="M482" s="3">
        <v>24034</v>
      </c>
      <c r="N482" t="str" cm="1">
        <f t="array" ref="N482">_xlfn.IFS(Table1_3[[#This Row],[Patient Satisfaction Score]]&gt;=83,"High",H482&lt;=75,"Low",TRUE,"Moderate")</f>
        <v>Low</v>
      </c>
      <c r="O482" t="str">
        <f t="shared" si="7"/>
        <v>Adult</v>
      </c>
    </row>
    <row r="483" spans="1:15">
      <c r="A483" t="s">
        <v>274</v>
      </c>
      <c r="B483" t="s">
        <v>29</v>
      </c>
      <c r="C483" t="s">
        <v>30</v>
      </c>
      <c r="D483" t="s">
        <v>27</v>
      </c>
      <c r="E483" s="2">
        <v>38</v>
      </c>
      <c r="F483" t="s">
        <v>22</v>
      </c>
      <c r="G483" t="s">
        <v>31</v>
      </c>
      <c r="H483" s="2">
        <v>74</v>
      </c>
      <c r="I483" s="3">
        <v>4429</v>
      </c>
      <c r="J483" s="4">
        <v>20.22</v>
      </c>
      <c r="K483" s="2">
        <v>104</v>
      </c>
      <c r="L483" s="2">
        <v>5</v>
      </c>
      <c r="M483" s="3">
        <v>11722</v>
      </c>
      <c r="N483" t="str" cm="1">
        <f t="array" ref="N483">_xlfn.IFS(Table1_3[[#This Row],[Patient Satisfaction Score]]&gt;=83,"High",H483&lt;=75,"Low",TRUE,"Moderate")</f>
        <v>Low</v>
      </c>
      <c r="O483" t="str">
        <f t="shared" si="7"/>
        <v>Adult</v>
      </c>
    </row>
    <row r="484" spans="1:15">
      <c r="A484" t="s">
        <v>308</v>
      </c>
      <c r="B484" t="s">
        <v>80</v>
      </c>
      <c r="C484" t="s">
        <v>15</v>
      </c>
      <c r="D484" t="s">
        <v>16</v>
      </c>
      <c r="E484" s="2">
        <v>38</v>
      </c>
      <c r="F484" t="s">
        <v>22</v>
      </c>
      <c r="G484" t="s">
        <v>40</v>
      </c>
      <c r="H484" s="2">
        <v>87</v>
      </c>
      <c r="I484" s="3">
        <v>5662</v>
      </c>
      <c r="J484" s="4">
        <v>17.690000000000001</v>
      </c>
      <c r="K484" s="2">
        <v>76</v>
      </c>
      <c r="L484" s="2">
        <v>4</v>
      </c>
      <c r="M484" s="3">
        <v>15809</v>
      </c>
      <c r="N484" t="str" cm="1">
        <f t="array" ref="N484">_xlfn.IFS(Table1_3[[#This Row],[Patient Satisfaction Score]]&gt;=83,"High",H484&lt;=75,"Low",TRUE,"Moderate")</f>
        <v>High</v>
      </c>
      <c r="O484" t="str">
        <f t="shared" si="7"/>
        <v>Adult</v>
      </c>
    </row>
    <row r="485" spans="1:15">
      <c r="A485" t="s">
        <v>342</v>
      </c>
      <c r="B485" t="s">
        <v>78</v>
      </c>
      <c r="C485" t="s">
        <v>15</v>
      </c>
      <c r="D485" t="s">
        <v>27</v>
      </c>
      <c r="E485" s="2">
        <v>38</v>
      </c>
      <c r="F485" t="s">
        <v>34</v>
      </c>
      <c r="G485" t="s">
        <v>70</v>
      </c>
      <c r="H485" s="2">
        <v>69</v>
      </c>
      <c r="I485" s="3">
        <v>8834</v>
      </c>
      <c r="J485" s="4">
        <v>21.58</v>
      </c>
      <c r="K485" s="2">
        <v>100</v>
      </c>
      <c r="L485" s="2">
        <v>3</v>
      </c>
      <c r="M485" s="3">
        <v>34750</v>
      </c>
      <c r="N485" t="str" cm="1">
        <f t="array" ref="N485">_xlfn.IFS(Table1_3[[#This Row],[Patient Satisfaction Score]]&gt;=83,"High",H485&lt;=75,"Low",TRUE,"Moderate")</f>
        <v>Low</v>
      </c>
      <c r="O485" t="str">
        <f t="shared" si="7"/>
        <v>Adult</v>
      </c>
    </row>
    <row r="486" spans="1:15">
      <c r="A486" t="s">
        <v>834</v>
      </c>
      <c r="B486" t="s">
        <v>14</v>
      </c>
      <c r="C486" t="s">
        <v>15</v>
      </c>
      <c r="D486" t="s">
        <v>27</v>
      </c>
      <c r="E486" s="2">
        <v>38</v>
      </c>
      <c r="F486" t="s">
        <v>34</v>
      </c>
      <c r="G486" t="s">
        <v>49</v>
      </c>
      <c r="H486" s="2">
        <v>88</v>
      </c>
      <c r="I486" s="3">
        <v>7209</v>
      </c>
      <c r="J486" s="4">
        <v>19.079999999999998</v>
      </c>
      <c r="K486" s="2">
        <v>74</v>
      </c>
      <c r="L486" s="2">
        <v>5</v>
      </c>
      <c r="M486" s="3">
        <v>27257</v>
      </c>
      <c r="N486" t="str" cm="1">
        <f t="array" ref="N486">_xlfn.IFS(Table1_3[[#This Row],[Patient Satisfaction Score]]&gt;=83,"High",H486&lt;=75,"Low",TRUE,"Moderate")</f>
        <v>High</v>
      </c>
      <c r="O486" t="str">
        <f t="shared" si="7"/>
        <v>Adult</v>
      </c>
    </row>
    <row r="487" spans="1:15">
      <c r="A487" t="s">
        <v>669</v>
      </c>
      <c r="B487" t="s">
        <v>103</v>
      </c>
      <c r="C487" t="s">
        <v>26</v>
      </c>
      <c r="D487" t="s">
        <v>27</v>
      </c>
      <c r="E487" s="2">
        <v>39</v>
      </c>
      <c r="F487" t="s">
        <v>22</v>
      </c>
      <c r="G487" t="s">
        <v>23</v>
      </c>
      <c r="H487" s="2">
        <v>83</v>
      </c>
      <c r="I487" s="3">
        <v>2296</v>
      </c>
      <c r="J487" s="4">
        <v>10.89</v>
      </c>
      <c r="K487" s="2">
        <v>37</v>
      </c>
      <c r="L487" s="2">
        <v>4</v>
      </c>
      <c r="M487" s="3">
        <v>6016</v>
      </c>
      <c r="N487" t="str" cm="1">
        <f t="array" ref="N487">_xlfn.IFS(Table1_3[[#This Row],[Patient Satisfaction Score]]&gt;=83,"High",H487&lt;=75,"Low",TRUE,"Moderate")</f>
        <v>High</v>
      </c>
      <c r="O487" t="str">
        <f t="shared" si="7"/>
        <v>Adult</v>
      </c>
    </row>
    <row r="488" spans="1:15">
      <c r="A488" t="s">
        <v>1009</v>
      </c>
      <c r="B488" t="s">
        <v>103</v>
      </c>
      <c r="C488" t="s">
        <v>26</v>
      </c>
      <c r="D488" t="s">
        <v>27</v>
      </c>
      <c r="E488" s="2">
        <v>39</v>
      </c>
      <c r="F488" t="s">
        <v>22</v>
      </c>
      <c r="G488" t="s">
        <v>23</v>
      </c>
      <c r="H488" s="2">
        <v>83</v>
      </c>
      <c r="I488" s="3">
        <v>3128</v>
      </c>
      <c r="J488" s="4">
        <v>6.35</v>
      </c>
      <c r="K488" s="2">
        <v>18</v>
      </c>
      <c r="L488" s="2">
        <v>4</v>
      </c>
      <c r="M488" s="3">
        <v>13237</v>
      </c>
      <c r="N488" t="str" cm="1">
        <f t="array" ref="N488">_xlfn.IFS(Table1_3[[#This Row],[Patient Satisfaction Score]]&gt;=83,"High",H488&lt;=75,"Low",TRUE,"Moderate")</f>
        <v>High</v>
      </c>
      <c r="O488" t="str">
        <f t="shared" si="7"/>
        <v>Adult</v>
      </c>
    </row>
    <row r="489" spans="1:15">
      <c r="A489" t="s">
        <v>824</v>
      </c>
      <c r="B489" t="s">
        <v>122</v>
      </c>
      <c r="C489" t="s">
        <v>48</v>
      </c>
      <c r="D489" t="s">
        <v>16</v>
      </c>
      <c r="E489" s="2">
        <v>39</v>
      </c>
      <c r="F489" t="s">
        <v>22</v>
      </c>
      <c r="G489" t="s">
        <v>23</v>
      </c>
      <c r="H489" s="2">
        <v>82</v>
      </c>
      <c r="I489" s="3">
        <v>6179</v>
      </c>
      <c r="J489" s="4">
        <v>12.39</v>
      </c>
      <c r="K489" s="2">
        <v>74</v>
      </c>
      <c r="L489" s="2">
        <v>4</v>
      </c>
      <c r="M489" s="3">
        <v>16579</v>
      </c>
      <c r="N489" t="str" cm="1">
        <f t="array" ref="N489">_xlfn.IFS(Table1_3[[#This Row],[Patient Satisfaction Score]]&gt;=83,"High",H489&lt;=75,"Low",TRUE,"Moderate")</f>
        <v>Moderate</v>
      </c>
      <c r="O489" t="str">
        <f t="shared" si="7"/>
        <v>Adult</v>
      </c>
    </row>
    <row r="490" spans="1:15">
      <c r="A490" t="s">
        <v>1038</v>
      </c>
      <c r="B490" t="s">
        <v>150</v>
      </c>
      <c r="C490" t="s">
        <v>48</v>
      </c>
      <c r="D490" t="s">
        <v>16</v>
      </c>
      <c r="E490" s="2">
        <v>39</v>
      </c>
      <c r="F490" t="s">
        <v>34</v>
      </c>
      <c r="G490" t="s">
        <v>49</v>
      </c>
      <c r="H490" s="2">
        <v>90</v>
      </c>
      <c r="I490" s="3">
        <v>7913</v>
      </c>
      <c r="J490" s="4">
        <v>12.41</v>
      </c>
      <c r="K490" s="2">
        <v>44</v>
      </c>
      <c r="L490" s="2">
        <v>4</v>
      </c>
      <c r="M490" s="3">
        <v>36907</v>
      </c>
      <c r="N490" t="str" cm="1">
        <f t="array" ref="N490">_xlfn.IFS(Table1_3[[#This Row],[Patient Satisfaction Score]]&gt;=83,"High",H490&lt;=75,"Low",TRUE,"Moderate")</f>
        <v>High</v>
      </c>
      <c r="O490" t="str">
        <f t="shared" si="7"/>
        <v>Adult</v>
      </c>
    </row>
    <row r="491" spans="1:15">
      <c r="A491" t="s">
        <v>1049</v>
      </c>
      <c r="B491" t="s">
        <v>47</v>
      </c>
      <c r="C491" t="s">
        <v>48</v>
      </c>
      <c r="D491" t="s">
        <v>27</v>
      </c>
      <c r="E491" s="2">
        <v>39</v>
      </c>
      <c r="F491" t="s">
        <v>17</v>
      </c>
      <c r="G491" t="s">
        <v>31</v>
      </c>
      <c r="H491" s="2">
        <v>72</v>
      </c>
      <c r="I491" s="3">
        <v>5512</v>
      </c>
      <c r="J491" s="4">
        <v>5.65</v>
      </c>
      <c r="K491" s="2">
        <v>84</v>
      </c>
      <c r="L491" s="2">
        <v>4</v>
      </c>
      <c r="M491" s="3">
        <v>14074</v>
      </c>
      <c r="N491" t="str" cm="1">
        <f t="array" ref="N491">_xlfn.IFS(Table1_3[[#This Row],[Patient Satisfaction Score]]&gt;=83,"High",H491&lt;=75,"Low",TRUE,"Moderate")</f>
        <v>Low</v>
      </c>
      <c r="O491" t="str">
        <f t="shared" si="7"/>
        <v>Adult</v>
      </c>
    </row>
    <row r="492" spans="1:15">
      <c r="A492" t="s">
        <v>945</v>
      </c>
      <c r="B492" t="s">
        <v>95</v>
      </c>
      <c r="C492" t="s">
        <v>52</v>
      </c>
      <c r="D492" t="s">
        <v>16</v>
      </c>
      <c r="E492" s="2">
        <v>39</v>
      </c>
      <c r="F492" t="s">
        <v>34</v>
      </c>
      <c r="G492" t="s">
        <v>18</v>
      </c>
      <c r="H492" s="2">
        <v>84</v>
      </c>
      <c r="I492" s="3">
        <v>9983</v>
      </c>
      <c r="J492" s="4">
        <v>14</v>
      </c>
      <c r="K492" s="2">
        <v>71</v>
      </c>
      <c r="L492" s="2">
        <v>4</v>
      </c>
      <c r="M492" s="3">
        <v>37220</v>
      </c>
      <c r="N492" t="str" cm="1">
        <f t="array" ref="N492">_xlfn.IFS(Table1_3[[#This Row],[Patient Satisfaction Score]]&gt;=83,"High",H492&lt;=75,"Low",TRUE,"Moderate")</f>
        <v>High</v>
      </c>
      <c r="O492" t="str">
        <f t="shared" si="7"/>
        <v>Adult</v>
      </c>
    </row>
    <row r="493" spans="1:15">
      <c r="A493" t="s">
        <v>239</v>
      </c>
      <c r="B493" t="s">
        <v>129</v>
      </c>
      <c r="C493" t="s">
        <v>21</v>
      </c>
      <c r="D493" t="s">
        <v>16</v>
      </c>
      <c r="E493" s="2">
        <v>39</v>
      </c>
      <c r="F493" t="s">
        <v>17</v>
      </c>
      <c r="G493" t="s">
        <v>23</v>
      </c>
      <c r="H493" s="2">
        <v>74</v>
      </c>
      <c r="I493" s="3">
        <v>6254</v>
      </c>
      <c r="J493" s="4">
        <v>17.21</v>
      </c>
      <c r="K493" s="2">
        <v>97</v>
      </c>
      <c r="L493" s="2">
        <v>3</v>
      </c>
      <c r="M493" s="3">
        <v>21255</v>
      </c>
      <c r="N493" t="str" cm="1">
        <f t="array" ref="N493">_xlfn.IFS(Table1_3[[#This Row],[Patient Satisfaction Score]]&gt;=83,"High",H493&lt;=75,"Low",TRUE,"Moderate")</f>
        <v>Low</v>
      </c>
      <c r="O493" t="str">
        <f t="shared" si="7"/>
        <v>Adult</v>
      </c>
    </row>
    <row r="494" spans="1:15">
      <c r="A494" t="s">
        <v>432</v>
      </c>
      <c r="B494" t="s">
        <v>36</v>
      </c>
      <c r="C494" t="s">
        <v>21</v>
      </c>
      <c r="D494" t="s">
        <v>16</v>
      </c>
      <c r="E494" s="2">
        <v>39</v>
      </c>
      <c r="F494" t="s">
        <v>34</v>
      </c>
      <c r="G494" t="s">
        <v>70</v>
      </c>
      <c r="H494" s="2">
        <v>79</v>
      </c>
      <c r="I494" s="3">
        <v>7527</v>
      </c>
      <c r="J494" s="4">
        <v>16.36</v>
      </c>
      <c r="K494" s="2">
        <v>84</v>
      </c>
      <c r="L494" s="2">
        <v>4</v>
      </c>
      <c r="M494" s="3">
        <v>21726</v>
      </c>
      <c r="N494" t="str" cm="1">
        <f t="array" ref="N494">_xlfn.IFS(Table1_3[[#This Row],[Patient Satisfaction Score]]&gt;=83,"High",H494&lt;=75,"Low",TRUE,"Moderate")</f>
        <v>Moderate</v>
      </c>
      <c r="O494" t="str">
        <f t="shared" si="7"/>
        <v>Adult</v>
      </c>
    </row>
    <row r="495" spans="1:15">
      <c r="A495" t="s">
        <v>1023</v>
      </c>
      <c r="B495" t="s">
        <v>84</v>
      </c>
      <c r="C495" t="s">
        <v>21</v>
      </c>
      <c r="D495" t="s">
        <v>16</v>
      </c>
      <c r="E495" s="2">
        <v>39</v>
      </c>
      <c r="F495" t="s">
        <v>17</v>
      </c>
      <c r="G495" t="s">
        <v>49</v>
      </c>
      <c r="H495" s="2">
        <v>74</v>
      </c>
      <c r="I495" s="3">
        <v>3816</v>
      </c>
      <c r="J495" s="4">
        <v>18.02</v>
      </c>
      <c r="K495" s="2">
        <v>105</v>
      </c>
      <c r="L495" s="2">
        <v>3</v>
      </c>
      <c r="M495" s="3">
        <v>16553</v>
      </c>
      <c r="N495" t="str" cm="1">
        <f t="array" ref="N495">_xlfn.IFS(Table1_3[[#This Row],[Patient Satisfaction Score]]&gt;=83,"High",H495&lt;=75,"Low",TRUE,"Moderate")</f>
        <v>Low</v>
      </c>
      <c r="O495" t="str">
        <f t="shared" si="7"/>
        <v>Adult</v>
      </c>
    </row>
    <row r="496" spans="1:15">
      <c r="A496" t="s">
        <v>211</v>
      </c>
      <c r="B496" t="s">
        <v>68</v>
      </c>
      <c r="C496" t="s">
        <v>45</v>
      </c>
      <c r="D496" t="s">
        <v>27</v>
      </c>
      <c r="E496" s="2">
        <v>39</v>
      </c>
      <c r="F496" t="s">
        <v>34</v>
      </c>
      <c r="G496" t="s">
        <v>40</v>
      </c>
      <c r="H496" s="2">
        <v>88</v>
      </c>
      <c r="I496" s="3">
        <v>8688</v>
      </c>
      <c r="J496" s="4">
        <v>14.25</v>
      </c>
      <c r="K496" s="2">
        <v>94</v>
      </c>
      <c r="L496" s="2">
        <v>4</v>
      </c>
      <c r="M496" s="3">
        <v>30588</v>
      </c>
      <c r="N496" t="str" cm="1">
        <f t="array" ref="N496">_xlfn.IFS(Table1_3[[#This Row],[Patient Satisfaction Score]]&gt;=83,"High",H496&lt;=75,"Low",TRUE,"Moderate")</f>
        <v>High</v>
      </c>
      <c r="O496" t="str">
        <f t="shared" si="7"/>
        <v>Adult</v>
      </c>
    </row>
    <row r="497" spans="1:15">
      <c r="A497" t="s">
        <v>415</v>
      </c>
      <c r="B497" t="s">
        <v>168</v>
      </c>
      <c r="C497" t="s">
        <v>45</v>
      </c>
      <c r="D497" t="s">
        <v>16</v>
      </c>
      <c r="E497" s="2">
        <v>39</v>
      </c>
      <c r="F497" t="s">
        <v>17</v>
      </c>
      <c r="G497" t="s">
        <v>23</v>
      </c>
      <c r="H497" s="2">
        <v>73</v>
      </c>
      <c r="I497" s="3">
        <v>8087</v>
      </c>
      <c r="J497" s="4">
        <v>10.33</v>
      </c>
      <c r="K497" s="2">
        <v>84</v>
      </c>
      <c r="L497" s="2">
        <v>4</v>
      </c>
      <c r="M497" s="3">
        <v>47692</v>
      </c>
      <c r="N497" t="str" cm="1">
        <f t="array" ref="N497">_xlfn.IFS(Table1_3[[#This Row],[Patient Satisfaction Score]]&gt;=83,"High",H497&lt;=75,"Low",TRUE,"Moderate")</f>
        <v>Low</v>
      </c>
      <c r="O497" t="str">
        <f t="shared" si="7"/>
        <v>Adult</v>
      </c>
    </row>
    <row r="498" spans="1:15">
      <c r="A498" t="s">
        <v>96</v>
      </c>
      <c r="B498" t="s">
        <v>97</v>
      </c>
      <c r="C498" t="s">
        <v>30</v>
      </c>
      <c r="D498" t="s">
        <v>27</v>
      </c>
      <c r="E498" s="2">
        <v>39</v>
      </c>
      <c r="F498" t="s">
        <v>17</v>
      </c>
      <c r="G498" t="s">
        <v>40</v>
      </c>
      <c r="H498" s="2">
        <v>76</v>
      </c>
      <c r="I498" s="3">
        <v>4642</v>
      </c>
      <c r="J498" s="4">
        <v>12.28</v>
      </c>
      <c r="K498" s="2">
        <v>85</v>
      </c>
      <c r="L498" s="2">
        <v>4</v>
      </c>
      <c r="M498" s="3">
        <v>17691</v>
      </c>
      <c r="N498" t="str" cm="1">
        <f t="array" ref="N498">_xlfn.IFS(Table1_3[[#This Row],[Patient Satisfaction Score]]&gt;=83,"High",H498&lt;=75,"Low",TRUE,"Moderate")</f>
        <v>Moderate</v>
      </c>
      <c r="O498" t="str">
        <f t="shared" si="7"/>
        <v>Adult</v>
      </c>
    </row>
    <row r="499" spans="1:15">
      <c r="A499" t="s">
        <v>334</v>
      </c>
      <c r="B499" t="s">
        <v>64</v>
      </c>
      <c r="C499" t="s">
        <v>30</v>
      </c>
      <c r="D499" t="s">
        <v>16</v>
      </c>
      <c r="E499" s="2">
        <v>39</v>
      </c>
      <c r="F499" t="s">
        <v>34</v>
      </c>
      <c r="G499" t="s">
        <v>23</v>
      </c>
      <c r="H499" s="2">
        <v>75</v>
      </c>
      <c r="I499" s="3">
        <v>1993</v>
      </c>
      <c r="J499" s="4">
        <v>15.12</v>
      </c>
      <c r="K499" s="2">
        <v>92</v>
      </c>
      <c r="L499" s="2">
        <v>3</v>
      </c>
      <c r="M499" s="3">
        <v>10222</v>
      </c>
      <c r="N499" t="str" cm="1">
        <f t="array" ref="N499">_xlfn.IFS(Table1_3[[#This Row],[Patient Satisfaction Score]]&gt;=83,"High",H499&lt;=75,"Low",TRUE,"Moderate")</f>
        <v>Low</v>
      </c>
      <c r="O499" t="str">
        <f t="shared" si="7"/>
        <v>Adult</v>
      </c>
    </row>
    <row r="500" spans="1:15">
      <c r="A500" t="s">
        <v>592</v>
      </c>
      <c r="B500" t="s">
        <v>78</v>
      </c>
      <c r="C500" t="s">
        <v>15</v>
      </c>
      <c r="D500" t="s">
        <v>16</v>
      </c>
      <c r="E500" s="2">
        <v>39</v>
      </c>
      <c r="F500" t="s">
        <v>34</v>
      </c>
      <c r="G500" t="s">
        <v>23</v>
      </c>
      <c r="H500" s="2">
        <v>66</v>
      </c>
      <c r="I500" s="3">
        <v>7449</v>
      </c>
      <c r="J500" s="4">
        <v>16.78</v>
      </c>
      <c r="K500" s="2">
        <v>111</v>
      </c>
      <c r="L500" s="2">
        <v>3</v>
      </c>
      <c r="M500" s="3">
        <v>25630</v>
      </c>
      <c r="N500" t="str" cm="1">
        <f t="array" ref="N500">_xlfn.IFS(Table1_3[[#This Row],[Patient Satisfaction Score]]&gt;=83,"High",H500&lt;=75,"Low",TRUE,"Moderate")</f>
        <v>Low</v>
      </c>
      <c r="O500" t="str">
        <f t="shared" si="7"/>
        <v>Adult</v>
      </c>
    </row>
    <row r="501" spans="1:15">
      <c r="A501" t="s">
        <v>688</v>
      </c>
      <c r="B501" t="s">
        <v>78</v>
      </c>
      <c r="C501" t="s">
        <v>15</v>
      </c>
      <c r="D501" t="s">
        <v>16</v>
      </c>
      <c r="E501" s="2">
        <v>39</v>
      </c>
      <c r="F501" t="s">
        <v>22</v>
      </c>
      <c r="G501" t="s">
        <v>31</v>
      </c>
      <c r="H501" s="2">
        <v>82</v>
      </c>
      <c r="I501" s="3">
        <v>8116</v>
      </c>
      <c r="J501" s="4">
        <v>8.56</v>
      </c>
      <c r="K501" s="2">
        <v>74</v>
      </c>
      <c r="L501" s="2">
        <v>4</v>
      </c>
      <c r="M501" s="3">
        <v>20693</v>
      </c>
      <c r="N501" t="str" cm="1">
        <f t="array" ref="N501">_xlfn.IFS(Table1_3[[#This Row],[Patient Satisfaction Score]]&gt;=83,"High",H501&lt;=75,"Low",TRUE,"Moderate")</f>
        <v>Moderate</v>
      </c>
      <c r="O501" t="str">
        <f t="shared" si="7"/>
        <v>Adult</v>
      </c>
    </row>
    <row r="502" spans="1:15">
      <c r="A502" t="s">
        <v>1064</v>
      </c>
      <c r="B502" t="s">
        <v>80</v>
      </c>
      <c r="C502" t="s">
        <v>15</v>
      </c>
      <c r="D502" t="s">
        <v>27</v>
      </c>
      <c r="E502" s="2">
        <v>39</v>
      </c>
      <c r="F502" t="s">
        <v>22</v>
      </c>
      <c r="G502" t="s">
        <v>18</v>
      </c>
      <c r="H502" s="2">
        <v>82</v>
      </c>
      <c r="I502" s="3">
        <v>4281</v>
      </c>
      <c r="J502" s="4">
        <v>6.46</v>
      </c>
      <c r="K502" s="2">
        <v>92</v>
      </c>
      <c r="L502" s="2">
        <v>4</v>
      </c>
      <c r="M502" s="3">
        <v>18390</v>
      </c>
      <c r="N502" t="str" cm="1">
        <f t="array" ref="N502">_xlfn.IFS(Table1_3[[#This Row],[Patient Satisfaction Score]]&gt;=83,"High",H502&lt;=75,"Low",TRUE,"Moderate")</f>
        <v>Moderate</v>
      </c>
      <c r="O502" t="str">
        <f t="shared" si="7"/>
        <v>Adult</v>
      </c>
    </row>
    <row r="503" spans="1:15">
      <c r="A503" t="s">
        <v>329</v>
      </c>
      <c r="B503" t="s">
        <v>25</v>
      </c>
      <c r="C503" t="s">
        <v>26</v>
      </c>
      <c r="D503" t="s">
        <v>27</v>
      </c>
      <c r="E503" s="2">
        <v>40</v>
      </c>
      <c r="F503" t="s">
        <v>34</v>
      </c>
      <c r="G503" t="s">
        <v>31</v>
      </c>
      <c r="H503" s="2">
        <v>90</v>
      </c>
      <c r="I503" s="3">
        <v>2726</v>
      </c>
      <c r="J503" s="4">
        <v>0.04</v>
      </c>
      <c r="K503" s="2">
        <v>5</v>
      </c>
      <c r="L503" s="2">
        <v>4</v>
      </c>
      <c r="M503" s="3">
        <v>11743</v>
      </c>
      <c r="N503" t="str" cm="1">
        <f t="array" ref="N503">_xlfn.IFS(Table1_3[[#This Row],[Patient Satisfaction Score]]&gt;=83,"High",H503&lt;=75,"Low",TRUE,"Moderate")</f>
        <v>High</v>
      </c>
      <c r="O503" t="str">
        <f t="shared" si="7"/>
        <v>Adult</v>
      </c>
    </row>
    <row r="504" spans="1:15">
      <c r="A504" t="s">
        <v>369</v>
      </c>
      <c r="B504" t="s">
        <v>103</v>
      </c>
      <c r="C504" t="s">
        <v>26</v>
      </c>
      <c r="D504" t="s">
        <v>16</v>
      </c>
      <c r="E504" s="2">
        <v>40</v>
      </c>
      <c r="F504" t="s">
        <v>22</v>
      </c>
      <c r="G504" t="s">
        <v>23</v>
      </c>
      <c r="H504" s="2">
        <v>89</v>
      </c>
      <c r="I504" s="3">
        <v>2467</v>
      </c>
      <c r="J504" s="4">
        <v>12.93</v>
      </c>
      <c r="K504" s="2">
        <v>60</v>
      </c>
      <c r="L504" s="2">
        <v>4</v>
      </c>
      <c r="M504" s="3">
        <v>12244</v>
      </c>
      <c r="N504" t="str" cm="1">
        <f t="array" ref="N504">_xlfn.IFS(Table1_3[[#This Row],[Patient Satisfaction Score]]&gt;=83,"High",H504&lt;=75,"Low",TRUE,"Moderate")</f>
        <v>High</v>
      </c>
      <c r="O504" t="str">
        <f t="shared" si="7"/>
        <v>Adult</v>
      </c>
    </row>
    <row r="505" spans="1:15">
      <c r="A505" t="s">
        <v>387</v>
      </c>
      <c r="B505" t="s">
        <v>33</v>
      </c>
      <c r="C505" t="s">
        <v>26</v>
      </c>
      <c r="D505" t="s">
        <v>27</v>
      </c>
      <c r="E505" s="2">
        <v>40</v>
      </c>
      <c r="F505" t="s">
        <v>22</v>
      </c>
      <c r="G505" t="s">
        <v>49</v>
      </c>
      <c r="H505" s="2">
        <v>89</v>
      </c>
      <c r="I505" s="3">
        <v>2723</v>
      </c>
      <c r="J505" s="4">
        <v>6.48</v>
      </c>
      <c r="K505" s="2">
        <v>20</v>
      </c>
      <c r="L505" s="2">
        <v>5</v>
      </c>
      <c r="M505" s="3">
        <v>9281</v>
      </c>
      <c r="N505" t="str" cm="1">
        <f t="array" ref="N505">_xlfn.IFS(Table1_3[[#This Row],[Patient Satisfaction Score]]&gt;=83,"High",H505&lt;=75,"Low",TRUE,"Moderate")</f>
        <v>High</v>
      </c>
      <c r="O505" t="str">
        <f t="shared" si="7"/>
        <v>Adult</v>
      </c>
    </row>
    <row r="506" spans="1:15">
      <c r="A506" t="s">
        <v>259</v>
      </c>
      <c r="B506" t="s">
        <v>122</v>
      </c>
      <c r="C506" t="s">
        <v>48</v>
      </c>
      <c r="D506" t="s">
        <v>16</v>
      </c>
      <c r="E506" s="2">
        <v>40</v>
      </c>
      <c r="F506" t="s">
        <v>34</v>
      </c>
      <c r="G506" t="s">
        <v>18</v>
      </c>
      <c r="H506" s="2">
        <v>77</v>
      </c>
      <c r="I506" s="3">
        <v>8957</v>
      </c>
      <c r="J506" s="4">
        <v>10.8</v>
      </c>
      <c r="K506" s="2">
        <v>78</v>
      </c>
      <c r="L506" s="2">
        <v>4</v>
      </c>
      <c r="M506" s="3">
        <v>38147</v>
      </c>
      <c r="N506" t="str" cm="1">
        <f t="array" ref="N506">_xlfn.IFS(Table1_3[[#This Row],[Patient Satisfaction Score]]&gt;=83,"High",H506&lt;=75,"Low",TRUE,"Moderate")</f>
        <v>Moderate</v>
      </c>
      <c r="O506" t="str">
        <f t="shared" si="7"/>
        <v>Adult</v>
      </c>
    </row>
    <row r="507" spans="1:15">
      <c r="A507" t="s">
        <v>833</v>
      </c>
      <c r="B507" t="s">
        <v>150</v>
      </c>
      <c r="C507" t="s">
        <v>48</v>
      </c>
      <c r="D507" t="s">
        <v>16</v>
      </c>
      <c r="E507" s="2">
        <v>40</v>
      </c>
      <c r="F507" t="s">
        <v>22</v>
      </c>
      <c r="G507" t="s">
        <v>70</v>
      </c>
      <c r="H507" s="2">
        <v>81</v>
      </c>
      <c r="I507" s="3">
        <v>4931</v>
      </c>
      <c r="J507" s="4">
        <v>5.91</v>
      </c>
      <c r="K507" s="2">
        <v>103</v>
      </c>
      <c r="L507" s="2">
        <v>4</v>
      </c>
      <c r="M507" s="3">
        <v>17027</v>
      </c>
      <c r="N507" t="str" cm="1">
        <f t="array" ref="N507">_xlfn.IFS(Table1_3[[#This Row],[Patient Satisfaction Score]]&gt;=83,"High",H507&lt;=75,"Low",TRUE,"Moderate")</f>
        <v>Moderate</v>
      </c>
      <c r="O507" t="str">
        <f t="shared" si="7"/>
        <v>Adult</v>
      </c>
    </row>
    <row r="508" spans="1:15">
      <c r="A508" t="s">
        <v>848</v>
      </c>
      <c r="B508" t="s">
        <v>135</v>
      </c>
      <c r="C508" t="s">
        <v>48</v>
      </c>
      <c r="D508" t="s">
        <v>27</v>
      </c>
      <c r="E508" s="2">
        <v>40</v>
      </c>
      <c r="F508" t="s">
        <v>17</v>
      </c>
      <c r="G508" t="s">
        <v>23</v>
      </c>
      <c r="H508" s="2">
        <v>78</v>
      </c>
      <c r="I508" s="3">
        <v>7029</v>
      </c>
      <c r="J508" s="4">
        <v>14.21</v>
      </c>
      <c r="K508" s="2">
        <v>68</v>
      </c>
      <c r="L508" s="2">
        <v>4</v>
      </c>
      <c r="M508" s="3">
        <v>19770</v>
      </c>
      <c r="N508" t="str" cm="1">
        <f t="array" ref="N508">_xlfn.IFS(Table1_3[[#This Row],[Patient Satisfaction Score]]&gt;=83,"High",H508&lt;=75,"Low",TRUE,"Moderate")</f>
        <v>Moderate</v>
      </c>
      <c r="O508" t="str">
        <f t="shared" si="7"/>
        <v>Adult</v>
      </c>
    </row>
    <row r="509" spans="1:15">
      <c r="A509" t="s">
        <v>1024</v>
      </c>
      <c r="B509" t="s">
        <v>135</v>
      </c>
      <c r="C509" t="s">
        <v>48</v>
      </c>
      <c r="D509" t="s">
        <v>16</v>
      </c>
      <c r="E509" s="2">
        <v>40</v>
      </c>
      <c r="F509" t="s">
        <v>34</v>
      </c>
      <c r="G509" t="s">
        <v>70</v>
      </c>
      <c r="H509" s="2">
        <v>81</v>
      </c>
      <c r="I509" s="3">
        <v>6482</v>
      </c>
      <c r="J509" s="4">
        <v>17.28</v>
      </c>
      <c r="K509" s="2">
        <v>46</v>
      </c>
      <c r="L509" s="2">
        <v>4</v>
      </c>
      <c r="M509" s="3">
        <v>32148</v>
      </c>
      <c r="N509" t="str" cm="1">
        <f t="array" ref="N509">_xlfn.IFS(Table1_3[[#This Row],[Patient Satisfaction Score]]&gt;=83,"High",H509&lt;=75,"Low",TRUE,"Moderate")</f>
        <v>Moderate</v>
      </c>
      <c r="O509" t="str">
        <f t="shared" si="7"/>
        <v>Adult</v>
      </c>
    </row>
    <row r="510" spans="1:15">
      <c r="A510" t="s">
        <v>35</v>
      </c>
      <c r="B510" t="s">
        <v>36</v>
      </c>
      <c r="C510" t="s">
        <v>21</v>
      </c>
      <c r="D510" t="s">
        <v>27</v>
      </c>
      <c r="E510" s="2">
        <v>40</v>
      </c>
      <c r="F510" t="s">
        <v>17</v>
      </c>
      <c r="G510" t="s">
        <v>18</v>
      </c>
      <c r="H510" s="2">
        <v>87</v>
      </c>
      <c r="I510" s="3">
        <v>4855</v>
      </c>
      <c r="J510" s="4">
        <v>19.37</v>
      </c>
      <c r="K510" s="2">
        <v>97</v>
      </c>
      <c r="L510" s="2">
        <v>5</v>
      </c>
      <c r="M510" s="3">
        <v>15278</v>
      </c>
      <c r="N510" t="str" cm="1">
        <f t="array" ref="N510">_xlfn.IFS(Table1_3[[#This Row],[Patient Satisfaction Score]]&gt;=83,"High",H510&lt;=75,"Low",TRUE,"Moderate")</f>
        <v>High</v>
      </c>
      <c r="O510" t="str">
        <f t="shared" si="7"/>
        <v>Adult</v>
      </c>
    </row>
    <row r="511" spans="1:15">
      <c r="A511" t="s">
        <v>290</v>
      </c>
      <c r="B511" t="s">
        <v>20</v>
      </c>
      <c r="C511" t="s">
        <v>21</v>
      </c>
      <c r="D511" t="s">
        <v>16</v>
      </c>
      <c r="E511" s="2">
        <v>40</v>
      </c>
      <c r="F511" t="s">
        <v>22</v>
      </c>
      <c r="G511" t="s">
        <v>23</v>
      </c>
      <c r="H511" s="2">
        <v>86</v>
      </c>
      <c r="I511" s="3">
        <v>6016</v>
      </c>
      <c r="J511" s="4">
        <v>19.350000000000001</v>
      </c>
      <c r="K511" s="2">
        <v>70</v>
      </c>
      <c r="L511" s="2">
        <v>5</v>
      </c>
      <c r="M511" s="3">
        <v>18924</v>
      </c>
      <c r="N511" t="str" cm="1">
        <f t="array" ref="N511">_xlfn.IFS(Table1_3[[#This Row],[Patient Satisfaction Score]]&gt;=83,"High",H511&lt;=75,"Low",TRUE,"Moderate")</f>
        <v>High</v>
      </c>
      <c r="O511" t="str">
        <f t="shared" si="7"/>
        <v>Adult</v>
      </c>
    </row>
    <row r="512" spans="1:15">
      <c r="A512" t="s">
        <v>565</v>
      </c>
      <c r="B512" t="s">
        <v>20</v>
      </c>
      <c r="C512" t="s">
        <v>21</v>
      </c>
      <c r="D512" t="s">
        <v>27</v>
      </c>
      <c r="E512" s="2">
        <v>40</v>
      </c>
      <c r="F512" t="s">
        <v>22</v>
      </c>
      <c r="G512" t="s">
        <v>49</v>
      </c>
      <c r="H512" s="2">
        <v>85</v>
      </c>
      <c r="I512" s="3">
        <v>5516</v>
      </c>
      <c r="J512" s="4">
        <v>15.69</v>
      </c>
      <c r="K512" s="2">
        <v>67</v>
      </c>
      <c r="L512" s="2">
        <v>4</v>
      </c>
      <c r="M512" s="3">
        <v>15338</v>
      </c>
      <c r="N512" t="str" cm="1">
        <f t="array" ref="N512">_xlfn.IFS(Table1_3[[#This Row],[Patient Satisfaction Score]]&gt;=83,"High",H512&lt;=75,"Low",TRUE,"Moderate")</f>
        <v>High</v>
      </c>
      <c r="O512" t="str">
        <f t="shared" si="7"/>
        <v>Adult</v>
      </c>
    </row>
    <row r="513" spans="1:15">
      <c r="A513" t="s">
        <v>768</v>
      </c>
      <c r="B513" t="s">
        <v>143</v>
      </c>
      <c r="C513" t="s">
        <v>21</v>
      </c>
      <c r="D513" t="s">
        <v>27</v>
      </c>
      <c r="E513" s="2">
        <v>40</v>
      </c>
      <c r="F513" t="s">
        <v>34</v>
      </c>
      <c r="G513" t="s">
        <v>31</v>
      </c>
      <c r="H513" s="2">
        <v>69</v>
      </c>
      <c r="I513" s="3">
        <v>5804</v>
      </c>
      <c r="J513" s="4">
        <v>16.18</v>
      </c>
      <c r="K513" s="2">
        <v>81</v>
      </c>
      <c r="L513" s="2">
        <v>4</v>
      </c>
      <c r="M513" s="3">
        <v>30535</v>
      </c>
      <c r="N513" t="str" cm="1">
        <f t="array" ref="N513">_xlfn.IFS(Table1_3[[#This Row],[Patient Satisfaction Score]]&gt;=83,"High",H513&lt;=75,"Low",TRUE,"Moderate")</f>
        <v>Low</v>
      </c>
      <c r="O513" t="str">
        <f t="shared" si="7"/>
        <v>Adult</v>
      </c>
    </row>
    <row r="514" spans="1:15">
      <c r="A514" t="s">
        <v>167</v>
      </c>
      <c r="B514" t="s">
        <v>168</v>
      </c>
      <c r="C514" t="s">
        <v>45</v>
      </c>
      <c r="D514" t="s">
        <v>16</v>
      </c>
      <c r="E514" s="2">
        <v>40</v>
      </c>
      <c r="F514" t="s">
        <v>22</v>
      </c>
      <c r="G514" t="s">
        <v>18</v>
      </c>
      <c r="H514" s="2">
        <v>73</v>
      </c>
      <c r="I514" s="3">
        <v>10279</v>
      </c>
      <c r="J514" s="4">
        <v>18.78</v>
      </c>
      <c r="K514" s="2">
        <v>87</v>
      </c>
      <c r="L514" s="2">
        <v>4</v>
      </c>
      <c r="M514" s="3">
        <v>49732</v>
      </c>
      <c r="N514" t="str" cm="1">
        <f t="array" ref="N514">_xlfn.IFS(Table1_3[[#This Row],[Patient Satisfaction Score]]&gt;=83,"High",H514&lt;=75,"Low",TRUE,"Moderate")</f>
        <v>Low</v>
      </c>
      <c r="O514" t="str">
        <f t="shared" ref="O514:O577" si="8">IF(E514&lt;19,"Pediatric","Adult")</f>
        <v>Adult</v>
      </c>
    </row>
    <row r="515" spans="1:15">
      <c r="A515" t="s">
        <v>282</v>
      </c>
      <c r="B515" t="s">
        <v>56</v>
      </c>
      <c r="C515" t="s">
        <v>45</v>
      </c>
      <c r="D515" t="s">
        <v>16</v>
      </c>
      <c r="E515" s="2">
        <v>40</v>
      </c>
      <c r="F515" t="s">
        <v>17</v>
      </c>
      <c r="G515" t="s">
        <v>23</v>
      </c>
      <c r="H515" s="2">
        <v>84</v>
      </c>
      <c r="I515" s="3">
        <v>7955</v>
      </c>
      <c r="J515" s="4">
        <v>19.350000000000001</v>
      </c>
      <c r="K515" s="2">
        <v>77</v>
      </c>
      <c r="L515" s="2">
        <v>4</v>
      </c>
      <c r="M515" s="3">
        <v>37038</v>
      </c>
      <c r="N515" t="str" cm="1">
        <f t="array" ref="N515">_xlfn.IFS(Table1_3[[#This Row],[Patient Satisfaction Score]]&gt;=83,"High",H515&lt;=75,"Low",TRUE,"Moderate")</f>
        <v>High</v>
      </c>
      <c r="O515" t="str">
        <f t="shared" si="8"/>
        <v>Adult</v>
      </c>
    </row>
    <row r="516" spans="1:15">
      <c r="A516" t="s">
        <v>416</v>
      </c>
      <c r="B516" t="s">
        <v>74</v>
      </c>
      <c r="C516" t="s">
        <v>45</v>
      </c>
      <c r="D516" t="s">
        <v>27</v>
      </c>
      <c r="E516" s="2">
        <v>40</v>
      </c>
      <c r="F516" t="s">
        <v>17</v>
      </c>
      <c r="G516" t="s">
        <v>18</v>
      </c>
      <c r="H516" s="2">
        <v>66</v>
      </c>
      <c r="I516" s="3">
        <v>10602</v>
      </c>
      <c r="J516" s="4">
        <v>21.14</v>
      </c>
      <c r="K516" s="2">
        <v>76</v>
      </c>
      <c r="L516" s="2">
        <v>3</v>
      </c>
      <c r="M516" s="3">
        <v>41259</v>
      </c>
      <c r="N516" t="str" cm="1">
        <f t="array" ref="N516">_xlfn.IFS(Table1_3[[#This Row],[Patient Satisfaction Score]]&gt;=83,"High",H516&lt;=75,"Low",TRUE,"Moderate")</f>
        <v>Low</v>
      </c>
      <c r="O516" t="str">
        <f t="shared" si="8"/>
        <v>Adult</v>
      </c>
    </row>
    <row r="517" spans="1:15">
      <c r="A517" t="s">
        <v>445</v>
      </c>
      <c r="B517" t="s">
        <v>44</v>
      </c>
      <c r="C517" t="s">
        <v>45</v>
      </c>
      <c r="D517" t="s">
        <v>27</v>
      </c>
      <c r="E517" s="2">
        <v>40</v>
      </c>
      <c r="F517" t="s">
        <v>34</v>
      </c>
      <c r="G517" t="s">
        <v>49</v>
      </c>
      <c r="H517" s="2">
        <v>71</v>
      </c>
      <c r="I517" s="3">
        <v>9600</v>
      </c>
      <c r="J517" s="4">
        <v>15.81</v>
      </c>
      <c r="K517" s="2">
        <v>123</v>
      </c>
      <c r="L517" s="2">
        <v>4</v>
      </c>
      <c r="M517" s="3">
        <v>26543</v>
      </c>
      <c r="N517" t="str" cm="1">
        <f t="array" ref="N517">_xlfn.IFS(Table1_3[[#This Row],[Patient Satisfaction Score]]&gt;=83,"High",H517&lt;=75,"Low",TRUE,"Moderate")</f>
        <v>Low</v>
      </c>
      <c r="O517" t="str">
        <f t="shared" si="8"/>
        <v>Adult</v>
      </c>
    </row>
    <row r="518" spans="1:15">
      <c r="A518" t="s">
        <v>161</v>
      </c>
      <c r="B518" t="s">
        <v>64</v>
      </c>
      <c r="C518" t="s">
        <v>30</v>
      </c>
      <c r="D518" t="s">
        <v>27</v>
      </c>
      <c r="E518" s="2">
        <v>40</v>
      </c>
      <c r="F518" t="s">
        <v>34</v>
      </c>
      <c r="G518" t="s">
        <v>49</v>
      </c>
      <c r="H518" s="2">
        <v>67</v>
      </c>
      <c r="I518" s="3">
        <v>4794</v>
      </c>
      <c r="J518" s="4">
        <v>22.51</v>
      </c>
      <c r="K518" s="2">
        <v>123</v>
      </c>
      <c r="L518" s="2">
        <v>3</v>
      </c>
      <c r="M518" s="3">
        <v>13417</v>
      </c>
      <c r="N518" t="str" cm="1">
        <f t="array" ref="N518">_xlfn.IFS(Table1_3[[#This Row],[Patient Satisfaction Score]]&gt;=83,"High",H518&lt;=75,"Low",TRUE,"Moderate")</f>
        <v>Low</v>
      </c>
      <c r="O518" t="str">
        <f t="shared" si="8"/>
        <v>Adult</v>
      </c>
    </row>
    <row r="519" spans="1:15">
      <c r="A519" t="s">
        <v>474</v>
      </c>
      <c r="B519" t="s">
        <v>54</v>
      </c>
      <c r="C519" t="s">
        <v>15</v>
      </c>
      <c r="D519" t="s">
        <v>72</v>
      </c>
      <c r="E519" s="2">
        <v>40</v>
      </c>
      <c r="F519" t="s">
        <v>34</v>
      </c>
      <c r="G519" t="s">
        <v>40</v>
      </c>
      <c r="H519" s="2">
        <v>79</v>
      </c>
      <c r="I519" s="3">
        <v>6752</v>
      </c>
      <c r="J519" s="4">
        <v>9.81</v>
      </c>
      <c r="K519" s="2">
        <v>70</v>
      </c>
      <c r="L519" s="2">
        <v>4</v>
      </c>
      <c r="M519" s="3">
        <v>20838</v>
      </c>
      <c r="N519" t="str" cm="1">
        <f t="array" ref="N519">_xlfn.IFS(Table1_3[[#This Row],[Patient Satisfaction Score]]&gt;=83,"High",H519&lt;=75,"Low",TRUE,"Moderate")</f>
        <v>Moderate</v>
      </c>
      <c r="O519" t="str">
        <f t="shared" si="8"/>
        <v>Adult</v>
      </c>
    </row>
    <row r="520" spans="1:15">
      <c r="A520" t="s">
        <v>736</v>
      </c>
      <c r="B520" t="s">
        <v>78</v>
      </c>
      <c r="C520" t="s">
        <v>15</v>
      </c>
      <c r="D520" t="s">
        <v>27</v>
      </c>
      <c r="E520" s="2">
        <v>40</v>
      </c>
      <c r="F520" t="s">
        <v>34</v>
      </c>
      <c r="G520" t="s">
        <v>23</v>
      </c>
      <c r="H520" s="2">
        <v>62</v>
      </c>
      <c r="I520" s="3">
        <v>5543</v>
      </c>
      <c r="J520" s="4">
        <v>23.78</v>
      </c>
      <c r="K520" s="2">
        <v>100</v>
      </c>
      <c r="L520" s="2">
        <v>3</v>
      </c>
      <c r="M520" s="3">
        <v>28643</v>
      </c>
      <c r="N520" t="str" cm="1">
        <f t="array" ref="N520">_xlfn.IFS(Table1_3[[#This Row],[Patient Satisfaction Score]]&gt;=83,"High",H520&lt;=75,"Low",TRUE,"Moderate")</f>
        <v>Low</v>
      </c>
      <c r="O520" t="str">
        <f t="shared" si="8"/>
        <v>Adult</v>
      </c>
    </row>
    <row r="521" spans="1:15">
      <c r="A521" t="s">
        <v>1056</v>
      </c>
      <c r="B521" t="s">
        <v>78</v>
      </c>
      <c r="C521" t="s">
        <v>15</v>
      </c>
      <c r="D521" t="s">
        <v>27</v>
      </c>
      <c r="E521" s="2">
        <v>40</v>
      </c>
      <c r="F521" t="s">
        <v>22</v>
      </c>
      <c r="G521" t="s">
        <v>49</v>
      </c>
      <c r="H521" s="2">
        <v>87</v>
      </c>
      <c r="I521" s="3">
        <v>6421</v>
      </c>
      <c r="J521" s="4">
        <v>16.13</v>
      </c>
      <c r="K521" s="2">
        <v>61</v>
      </c>
      <c r="L521" s="2">
        <v>4</v>
      </c>
      <c r="M521" s="3">
        <v>31335</v>
      </c>
      <c r="N521" t="str" cm="1">
        <f t="array" ref="N521">_xlfn.IFS(Table1_3[[#This Row],[Patient Satisfaction Score]]&gt;=83,"High",H521&lt;=75,"Low",TRUE,"Moderate")</f>
        <v>High</v>
      </c>
      <c r="O521" t="str">
        <f t="shared" si="8"/>
        <v>Adult</v>
      </c>
    </row>
    <row r="522" spans="1:15">
      <c r="A522" t="s">
        <v>349</v>
      </c>
      <c r="B522" t="s">
        <v>137</v>
      </c>
      <c r="C522" t="s">
        <v>26</v>
      </c>
      <c r="D522" t="s">
        <v>27</v>
      </c>
      <c r="E522" s="2">
        <v>41</v>
      </c>
      <c r="F522" t="s">
        <v>17</v>
      </c>
      <c r="G522" t="s">
        <v>40</v>
      </c>
      <c r="H522" s="2">
        <v>87</v>
      </c>
      <c r="I522" s="3">
        <v>2397</v>
      </c>
      <c r="J522" s="4">
        <v>14.34</v>
      </c>
      <c r="K522" s="2">
        <v>22</v>
      </c>
      <c r="L522" s="2">
        <v>5</v>
      </c>
      <c r="M522" s="3">
        <v>10769</v>
      </c>
      <c r="N522" t="str" cm="1">
        <f t="array" ref="N522">_xlfn.IFS(Table1_3[[#This Row],[Patient Satisfaction Score]]&gt;=83,"High",H522&lt;=75,"Low",TRUE,"Moderate")</f>
        <v>High</v>
      </c>
      <c r="O522" t="str">
        <f t="shared" si="8"/>
        <v>Adult</v>
      </c>
    </row>
    <row r="523" spans="1:15">
      <c r="A523" t="s">
        <v>778</v>
      </c>
      <c r="B523" t="s">
        <v>103</v>
      </c>
      <c r="C523" t="s">
        <v>26</v>
      </c>
      <c r="D523" t="s">
        <v>16</v>
      </c>
      <c r="E523" s="2">
        <v>41</v>
      </c>
      <c r="F523" t="s">
        <v>17</v>
      </c>
      <c r="G523" t="s">
        <v>31</v>
      </c>
      <c r="H523" s="2">
        <v>87</v>
      </c>
      <c r="I523" s="3">
        <v>2077</v>
      </c>
      <c r="J523" s="4">
        <v>4.9400000000000004</v>
      </c>
      <c r="K523" s="2">
        <v>41</v>
      </c>
      <c r="L523" s="2">
        <v>4</v>
      </c>
      <c r="M523" s="3">
        <v>11904</v>
      </c>
      <c r="N523" t="str" cm="1">
        <f t="array" ref="N523">_xlfn.IFS(Table1_3[[#This Row],[Patient Satisfaction Score]]&gt;=83,"High",H523&lt;=75,"Low",TRUE,"Moderate")</f>
        <v>High</v>
      </c>
      <c r="O523" t="str">
        <f t="shared" si="8"/>
        <v>Adult</v>
      </c>
    </row>
    <row r="524" spans="1:15">
      <c r="A524" t="s">
        <v>858</v>
      </c>
      <c r="B524" t="s">
        <v>47</v>
      </c>
      <c r="C524" t="s">
        <v>48</v>
      </c>
      <c r="D524" t="s">
        <v>27</v>
      </c>
      <c r="E524" s="2">
        <v>41</v>
      </c>
      <c r="F524" t="s">
        <v>17</v>
      </c>
      <c r="G524" t="s">
        <v>70</v>
      </c>
      <c r="H524" s="2">
        <v>82</v>
      </c>
      <c r="I524" s="3">
        <v>7635</v>
      </c>
      <c r="J524" s="4">
        <v>10.79</v>
      </c>
      <c r="K524" s="2">
        <v>45</v>
      </c>
      <c r="L524" s="2">
        <v>5</v>
      </c>
      <c r="M524" s="3">
        <v>28004</v>
      </c>
      <c r="N524" t="str" cm="1">
        <f t="array" ref="N524">_xlfn.IFS(Table1_3[[#This Row],[Patient Satisfaction Score]]&gt;=83,"High",H524&lt;=75,"Low",TRUE,"Moderate")</f>
        <v>Moderate</v>
      </c>
      <c r="O524" t="str">
        <f t="shared" si="8"/>
        <v>Adult</v>
      </c>
    </row>
    <row r="525" spans="1:15">
      <c r="A525" t="s">
        <v>1008</v>
      </c>
      <c r="B525" t="s">
        <v>150</v>
      </c>
      <c r="C525" t="s">
        <v>48</v>
      </c>
      <c r="D525" t="s">
        <v>16</v>
      </c>
      <c r="E525" s="2">
        <v>41</v>
      </c>
      <c r="F525" t="s">
        <v>22</v>
      </c>
      <c r="G525" t="s">
        <v>18</v>
      </c>
      <c r="H525" s="2">
        <v>81</v>
      </c>
      <c r="I525" s="3">
        <v>6429</v>
      </c>
      <c r="J525" s="4">
        <v>12.26</v>
      </c>
      <c r="K525" s="2">
        <v>96</v>
      </c>
      <c r="L525" s="2">
        <v>4</v>
      </c>
      <c r="M525" s="3">
        <v>17940</v>
      </c>
      <c r="N525" t="str" cm="1">
        <f t="array" ref="N525">_xlfn.IFS(Table1_3[[#This Row],[Patient Satisfaction Score]]&gt;=83,"High",H525&lt;=75,"Low",TRUE,"Moderate")</f>
        <v>Moderate</v>
      </c>
      <c r="O525" t="str">
        <f t="shared" si="8"/>
        <v>Adult</v>
      </c>
    </row>
    <row r="526" spans="1:15">
      <c r="A526" t="s">
        <v>1021</v>
      </c>
      <c r="B526" t="s">
        <v>58</v>
      </c>
      <c r="C526" t="s">
        <v>48</v>
      </c>
      <c r="D526" t="s">
        <v>27</v>
      </c>
      <c r="E526" s="2">
        <v>41</v>
      </c>
      <c r="F526" t="s">
        <v>22</v>
      </c>
      <c r="G526" t="s">
        <v>70</v>
      </c>
      <c r="H526" s="2">
        <v>71</v>
      </c>
      <c r="I526" s="3">
        <v>5607</v>
      </c>
      <c r="J526" s="4">
        <v>10.63</v>
      </c>
      <c r="K526" s="2">
        <v>68</v>
      </c>
      <c r="L526" s="2">
        <v>4</v>
      </c>
      <c r="M526" s="3">
        <v>23958</v>
      </c>
      <c r="N526" t="str" cm="1">
        <f t="array" ref="N526">_xlfn.IFS(Table1_3[[#This Row],[Patient Satisfaction Score]]&gt;=83,"High",H526&lt;=75,"Low",TRUE,"Moderate")</f>
        <v>Low</v>
      </c>
      <c r="O526" t="str">
        <f t="shared" si="8"/>
        <v>Adult</v>
      </c>
    </row>
    <row r="527" spans="1:15">
      <c r="A527" t="s">
        <v>500</v>
      </c>
      <c r="B527" t="s">
        <v>51</v>
      </c>
      <c r="C527" t="s">
        <v>52</v>
      </c>
      <c r="D527" t="s">
        <v>27</v>
      </c>
      <c r="E527" s="2">
        <v>41</v>
      </c>
      <c r="F527" t="s">
        <v>34</v>
      </c>
      <c r="G527" t="s">
        <v>31</v>
      </c>
      <c r="H527" s="2">
        <v>83</v>
      </c>
      <c r="I527" s="3">
        <v>9929</v>
      </c>
      <c r="J527" s="4">
        <v>17.11</v>
      </c>
      <c r="K527" s="2">
        <v>47</v>
      </c>
      <c r="L527" s="2">
        <v>5</v>
      </c>
      <c r="M527" s="3">
        <v>56250</v>
      </c>
      <c r="N527" t="str" cm="1">
        <f t="array" ref="N527">_xlfn.IFS(Table1_3[[#This Row],[Patient Satisfaction Score]]&gt;=83,"High",H527&lt;=75,"Low",TRUE,"Moderate")</f>
        <v>High</v>
      </c>
      <c r="O527" t="str">
        <f t="shared" si="8"/>
        <v>Adult</v>
      </c>
    </row>
    <row r="528" spans="1:15">
      <c r="A528" t="s">
        <v>544</v>
      </c>
      <c r="B528" t="s">
        <v>51</v>
      </c>
      <c r="C528" t="s">
        <v>52</v>
      </c>
      <c r="D528" t="s">
        <v>27</v>
      </c>
      <c r="E528" s="2">
        <v>41</v>
      </c>
      <c r="F528" t="s">
        <v>34</v>
      </c>
      <c r="G528" t="s">
        <v>18</v>
      </c>
      <c r="H528" s="2">
        <v>79</v>
      </c>
      <c r="I528" s="3">
        <v>8706</v>
      </c>
      <c r="J528" s="4">
        <v>11.07</v>
      </c>
      <c r="K528" s="2">
        <v>95</v>
      </c>
      <c r="L528" s="2">
        <v>3</v>
      </c>
      <c r="M528" s="3">
        <v>43028</v>
      </c>
      <c r="N528" t="str" cm="1">
        <f t="array" ref="N528">_xlfn.IFS(Table1_3[[#This Row],[Patient Satisfaction Score]]&gt;=83,"High",H528&lt;=75,"Low",TRUE,"Moderate")</f>
        <v>Moderate</v>
      </c>
      <c r="O528" t="str">
        <f t="shared" si="8"/>
        <v>Adult</v>
      </c>
    </row>
    <row r="529" spans="1:15">
      <c r="A529" t="s">
        <v>268</v>
      </c>
      <c r="B529" t="s">
        <v>36</v>
      </c>
      <c r="C529" t="s">
        <v>21</v>
      </c>
      <c r="D529" t="s">
        <v>72</v>
      </c>
      <c r="E529" s="2">
        <v>41</v>
      </c>
      <c r="F529" t="s">
        <v>17</v>
      </c>
      <c r="G529" t="s">
        <v>49</v>
      </c>
      <c r="H529" s="2">
        <v>83</v>
      </c>
      <c r="I529" s="3">
        <v>4716</v>
      </c>
      <c r="J529" s="4">
        <v>8.5500000000000007</v>
      </c>
      <c r="K529" s="2">
        <v>124</v>
      </c>
      <c r="L529" s="2">
        <v>4</v>
      </c>
      <c r="M529" s="3">
        <v>26514</v>
      </c>
      <c r="N529" t="str" cm="1">
        <f t="array" ref="N529">_xlfn.IFS(Table1_3[[#This Row],[Patient Satisfaction Score]]&gt;=83,"High",H529&lt;=75,"Low",TRUE,"Moderate")</f>
        <v>High</v>
      </c>
      <c r="O529" t="str">
        <f t="shared" si="8"/>
        <v>Adult</v>
      </c>
    </row>
    <row r="530" spans="1:15">
      <c r="A530" t="s">
        <v>882</v>
      </c>
      <c r="B530" t="s">
        <v>143</v>
      </c>
      <c r="C530" t="s">
        <v>21</v>
      </c>
      <c r="D530" t="s">
        <v>16</v>
      </c>
      <c r="E530" s="2">
        <v>41</v>
      </c>
      <c r="F530" t="s">
        <v>22</v>
      </c>
      <c r="G530" t="s">
        <v>23</v>
      </c>
      <c r="H530" s="2">
        <v>85</v>
      </c>
      <c r="I530" s="3">
        <v>8179</v>
      </c>
      <c r="J530" s="4">
        <v>12</v>
      </c>
      <c r="K530" s="2">
        <v>87</v>
      </c>
      <c r="L530" s="2">
        <v>4</v>
      </c>
      <c r="M530" s="3">
        <v>47917</v>
      </c>
      <c r="N530" t="str" cm="1">
        <f t="array" ref="N530">_xlfn.IFS(Table1_3[[#This Row],[Patient Satisfaction Score]]&gt;=83,"High",H530&lt;=75,"Low",TRUE,"Moderate")</f>
        <v>High</v>
      </c>
      <c r="O530" t="str">
        <f t="shared" si="8"/>
        <v>Adult</v>
      </c>
    </row>
    <row r="531" spans="1:15">
      <c r="A531" t="s">
        <v>1013</v>
      </c>
      <c r="B531" t="s">
        <v>143</v>
      </c>
      <c r="C531" t="s">
        <v>21</v>
      </c>
      <c r="D531" t="s">
        <v>27</v>
      </c>
      <c r="E531" s="2">
        <v>41</v>
      </c>
      <c r="F531" t="s">
        <v>22</v>
      </c>
      <c r="G531" t="s">
        <v>40</v>
      </c>
      <c r="H531" s="2">
        <v>74</v>
      </c>
      <c r="I531" s="3">
        <v>6558</v>
      </c>
      <c r="J531" s="4">
        <v>17.13</v>
      </c>
      <c r="K531" s="2">
        <v>77</v>
      </c>
      <c r="L531" s="2">
        <v>4</v>
      </c>
      <c r="M531" s="3">
        <v>32543</v>
      </c>
      <c r="N531" t="str" cm="1">
        <f t="array" ref="N531">_xlfn.IFS(Table1_3[[#This Row],[Patient Satisfaction Score]]&gt;=83,"High",H531&lt;=75,"Low",TRUE,"Moderate")</f>
        <v>Low</v>
      </c>
      <c r="O531" t="str">
        <f t="shared" si="8"/>
        <v>Adult</v>
      </c>
    </row>
    <row r="532" spans="1:15">
      <c r="A532" t="s">
        <v>575</v>
      </c>
      <c r="B532" t="s">
        <v>168</v>
      </c>
      <c r="C532" t="s">
        <v>45</v>
      </c>
      <c r="D532" t="s">
        <v>27</v>
      </c>
      <c r="E532" s="2">
        <v>41</v>
      </c>
      <c r="F532" t="s">
        <v>22</v>
      </c>
      <c r="G532" t="s">
        <v>49</v>
      </c>
      <c r="H532" s="2">
        <v>75</v>
      </c>
      <c r="I532" s="3">
        <v>7690</v>
      </c>
      <c r="J532" s="4">
        <v>17.04</v>
      </c>
      <c r="K532" s="2">
        <v>98</v>
      </c>
      <c r="L532" s="2">
        <v>3</v>
      </c>
      <c r="M532" s="3">
        <v>34459</v>
      </c>
      <c r="N532" t="str" cm="1">
        <f t="array" ref="N532">_xlfn.IFS(Table1_3[[#This Row],[Patient Satisfaction Score]]&gt;=83,"High",H532&lt;=75,"Low",TRUE,"Moderate")</f>
        <v>Low</v>
      </c>
      <c r="O532" t="str">
        <f t="shared" si="8"/>
        <v>Adult</v>
      </c>
    </row>
    <row r="533" spans="1:15">
      <c r="A533" t="s">
        <v>968</v>
      </c>
      <c r="B533" t="s">
        <v>56</v>
      </c>
      <c r="C533" t="s">
        <v>45</v>
      </c>
      <c r="D533" t="s">
        <v>27</v>
      </c>
      <c r="E533" s="2">
        <v>41</v>
      </c>
      <c r="F533" t="s">
        <v>17</v>
      </c>
      <c r="G533" t="s">
        <v>23</v>
      </c>
      <c r="H533" s="2">
        <v>70</v>
      </c>
      <c r="I533" s="3">
        <v>9129</v>
      </c>
      <c r="J533" s="4">
        <v>19.95</v>
      </c>
      <c r="K533" s="2">
        <v>77</v>
      </c>
      <c r="L533" s="2">
        <v>4</v>
      </c>
      <c r="M533" s="3">
        <v>22847</v>
      </c>
      <c r="N533" t="str" cm="1">
        <f t="array" ref="N533">_xlfn.IFS(Table1_3[[#This Row],[Patient Satisfaction Score]]&gt;=83,"High",H533&lt;=75,"Low",TRUE,"Moderate")</f>
        <v>Low</v>
      </c>
      <c r="O533" t="str">
        <f t="shared" si="8"/>
        <v>Adult</v>
      </c>
    </row>
    <row r="534" spans="1:15">
      <c r="A534" t="s">
        <v>386</v>
      </c>
      <c r="B534" t="s">
        <v>64</v>
      </c>
      <c r="C534" t="s">
        <v>30</v>
      </c>
      <c r="D534" t="s">
        <v>16</v>
      </c>
      <c r="E534" s="2">
        <v>41</v>
      </c>
      <c r="F534" t="s">
        <v>22</v>
      </c>
      <c r="G534" t="s">
        <v>18</v>
      </c>
      <c r="H534" s="2">
        <v>59</v>
      </c>
      <c r="I534" s="3">
        <v>3373</v>
      </c>
      <c r="J534" s="4">
        <v>23.49</v>
      </c>
      <c r="K534" s="2">
        <v>102</v>
      </c>
      <c r="L534" s="2">
        <v>4</v>
      </c>
      <c r="M534" s="3">
        <v>8950</v>
      </c>
      <c r="N534" t="str" cm="1">
        <f t="array" ref="N534">_xlfn.IFS(Table1_3[[#This Row],[Patient Satisfaction Score]]&gt;=83,"High",H534&lt;=75,"Low",TRUE,"Moderate")</f>
        <v>Low</v>
      </c>
      <c r="O534" t="str">
        <f t="shared" si="8"/>
        <v>Adult</v>
      </c>
    </row>
    <row r="535" spans="1:15">
      <c r="A535" t="s">
        <v>939</v>
      </c>
      <c r="B535" t="s">
        <v>97</v>
      </c>
      <c r="C535" t="s">
        <v>30</v>
      </c>
      <c r="D535" t="s">
        <v>27</v>
      </c>
      <c r="E535" s="2">
        <v>41</v>
      </c>
      <c r="F535" t="s">
        <v>17</v>
      </c>
      <c r="G535" t="s">
        <v>40</v>
      </c>
      <c r="H535" s="2">
        <v>71</v>
      </c>
      <c r="I535" s="3">
        <v>1705</v>
      </c>
      <c r="J535" s="4">
        <v>17.61</v>
      </c>
      <c r="K535" s="2">
        <v>88</v>
      </c>
      <c r="L535" s="2">
        <v>4</v>
      </c>
      <c r="M535" s="3">
        <v>9999</v>
      </c>
      <c r="N535" t="str" cm="1">
        <f t="array" ref="N535">_xlfn.IFS(Table1_3[[#This Row],[Patient Satisfaction Score]]&gt;=83,"High",H535&lt;=75,"Low",TRUE,"Moderate")</f>
        <v>Low</v>
      </c>
      <c r="O535" t="str">
        <f t="shared" si="8"/>
        <v>Adult</v>
      </c>
    </row>
    <row r="536" spans="1:15">
      <c r="A536" t="s">
        <v>258</v>
      </c>
      <c r="B536" t="s">
        <v>54</v>
      </c>
      <c r="C536" t="s">
        <v>15</v>
      </c>
      <c r="D536" t="s">
        <v>16</v>
      </c>
      <c r="E536" s="2">
        <v>41</v>
      </c>
      <c r="F536" t="s">
        <v>22</v>
      </c>
      <c r="G536" t="s">
        <v>40</v>
      </c>
      <c r="H536" s="2">
        <v>80</v>
      </c>
      <c r="I536" s="3">
        <v>7751</v>
      </c>
      <c r="J536" s="4">
        <v>12.41</v>
      </c>
      <c r="K536" s="2">
        <v>69</v>
      </c>
      <c r="L536" s="2">
        <v>4</v>
      </c>
      <c r="M536" s="3">
        <v>36766</v>
      </c>
      <c r="N536" t="str" cm="1">
        <f t="array" ref="N536">_xlfn.IFS(Table1_3[[#This Row],[Patient Satisfaction Score]]&gt;=83,"High",H536&lt;=75,"Low",TRUE,"Moderate")</f>
        <v>Moderate</v>
      </c>
      <c r="O536" t="str">
        <f t="shared" si="8"/>
        <v>Adult</v>
      </c>
    </row>
    <row r="537" spans="1:15">
      <c r="A537" t="s">
        <v>753</v>
      </c>
      <c r="B537" t="s">
        <v>54</v>
      </c>
      <c r="C537" t="s">
        <v>15</v>
      </c>
      <c r="D537" t="s">
        <v>16</v>
      </c>
      <c r="E537" s="2">
        <v>41</v>
      </c>
      <c r="F537" t="s">
        <v>34</v>
      </c>
      <c r="G537" t="s">
        <v>18</v>
      </c>
      <c r="H537" s="2">
        <v>82</v>
      </c>
      <c r="I537" s="3">
        <v>7394</v>
      </c>
      <c r="J537" s="4">
        <v>15.31</v>
      </c>
      <c r="K537" s="2">
        <v>57</v>
      </c>
      <c r="L537" s="2">
        <v>4</v>
      </c>
      <c r="M537" s="3">
        <v>32279</v>
      </c>
      <c r="N537" t="str" cm="1">
        <f t="array" ref="N537">_xlfn.IFS(Table1_3[[#This Row],[Patient Satisfaction Score]]&gt;=83,"High",H537&lt;=75,"Low",TRUE,"Moderate")</f>
        <v>Moderate</v>
      </c>
      <c r="O537" t="str">
        <f t="shared" si="8"/>
        <v>Adult</v>
      </c>
    </row>
    <row r="538" spans="1:15">
      <c r="A538" t="s">
        <v>886</v>
      </c>
      <c r="B538" t="s">
        <v>14</v>
      </c>
      <c r="C538" t="s">
        <v>15</v>
      </c>
      <c r="D538" t="s">
        <v>16</v>
      </c>
      <c r="E538" s="2">
        <v>41</v>
      </c>
      <c r="F538" t="s">
        <v>22</v>
      </c>
      <c r="G538" t="s">
        <v>18</v>
      </c>
      <c r="H538" s="2">
        <v>78</v>
      </c>
      <c r="I538" s="3">
        <v>6910</v>
      </c>
      <c r="J538" s="4">
        <v>10.199999999999999</v>
      </c>
      <c r="K538" s="2">
        <v>97</v>
      </c>
      <c r="L538" s="2">
        <v>4</v>
      </c>
      <c r="M538" s="3">
        <v>39763</v>
      </c>
      <c r="N538" t="str" cm="1">
        <f t="array" ref="N538">_xlfn.IFS(Table1_3[[#This Row],[Patient Satisfaction Score]]&gt;=83,"High",H538&lt;=75,"Low",TRUE,"Moderate")</f>
        <v>Moderate</v>
      </c>
      <c r="O538" t="str">
        <f t="shared" si="8"/>
        <v>Adult</v>
      </c>
    </row>
    <row r="539" spans="1:15">
      <c r="A539" t="s">
        <v>513</v>
      </c>
      <c r="B539" t="s">
        <v>137</v>
      </c>
      <c r="C539" t="s">
        <v>26</v>
      </c>
      <c r="D539" t="s">
        <v>27</v>
      </c>
      <c r="E539" s="2">
        <v>42</v>
      </c>
      <c r="F539" t="s">
        <v>34</v>
      </c>
      <c r="G539" t="s">
        <v>31</v>
      </c>
      <c r="H539" s="2">
        <v>91</v>
      </c>
      <c r="I539" s="3">
        <v>2633</v>
      </c>
      <c r="J539" s="4">
        <v>1.37</v>
      </c>
      <c r="K539" s="2">
        <v>30</v>
      </c>
      <c r="L539" s="2">
        <v>5</v>
      </c>
      <c r="M539" s="3">
        <v>7290</v>
      </c>
      <c r="N539" t="str" cm="1">
        <f t="array" ref="N539">_xlfn.IFS(Table1_3[[#This Row],[Patient Satisfaction Score]]&gt;=83,"High",H539&lt;=75,"Low",TRUE,"Moderate")</f>
        <v>High</v>
      </c>
      <c r="O539" t="str">
        <f t="shared" si="8"/>
        <v>Adult</v>
      </c>
    </row>
    <row r="540" spans="1:15">
      <c r="A540" t="s">
        <v>967</v>
      </c>
      <c r="B540" t="s">
        <v>25</v>
      </c>
      <c r="C540" t="s">
        <v>26</v>
      </c>
      <c r="D540" t="s">
        <v>16</v>
      </c>
      <c r="E540" s="2">
        <v>42</v>
      </c>
      <c r="F540" t="s">
        <v>17</v>
      </c>
      <c r="G540" t="s">
        <v>23</v>
      </c>
      <c r="H540" s="2">
        <v>86</v>
      </c>
      <c r="I540" s="3">
        <v>2516</v>
      </c>
      <c r="J540" s="4">
        <v>6.21</v>
      </c>
      <c r="K540" s="2">
        <v>60</v>
      </c>
      <c r="L540" s="2">
        <v>4</v>
      </c>
      <c r="M540" s="3">
        <v>7520</v>
      </c>
      <c r="N540" t="str" cm="1">
        <f t="array" ref="N540">_xlfn.IFS(Table1_3[[#This Row],[Patient Satisfaction Score]]&gt;=83,"High",H540&lt;=75,"Low",TRUE,"Moderate")</f>
        <v>High</v>
      </c>
      <c r="O540" t="str">
        <f t="shared" si="8"/>
        <v>Adult</v>
      </c>
    </row>
    <row r="541" spans="1:15">
      <c r="A541" t="s">
        <v>957</v>
      </c>
      <c r="B541" t="s">
        <v>135</v>
      </c>
      <c r="C541" t="s">
        <v>48</v>
      </c>
      <c r="D541" t="s">
        <v>16</v>
      </c>
      <c r="E541" s="2">
        <v>42</v>
      </c>
      <c r="F541" t="s">
        <v>22</v>
      </c>
      <c r="G541" t="s">
        <v>49</v>
      </c>
      <c r="H541" s="2">
        <v>80</v>
      </c>
      <c r="I541" s="3">
        <v>5336</v>
      </c>
      <c r="J541" s="4">
        <v>12.61</v>
      </c>
      <c r="K541" s="2">
        <v>69</v>
      </c>
      <c r="L541" s="2">
        <v>4</v>
      </c>
      <c r="M541" s="3">
        <v>19553</v>
      </c>
      <c r="N541" t="str" cm="1">
        <f t="array" ref="N541">_xlfn.IFS(Table1_3[[#This Row],[Patient Satisfaction Score]]&gt;=83,"High",H541&lt;=75,"Low",TRUE,"Moderate")</f>
        <v>Moderate</v>
      </c>
      <c r="O541" t="str">
        <f t="shared" si="8"/>
        <v>Adult</v>
      </c>
    </row>
    <row r="542" spans="1:15">
      <c r="A542" t="s">
        <v>761</v>
      </c>
      <c r="B542" t="s">
        <v>95</v>
      </c>
      <c r="C542" t="s">
        <v>52</v>
      </c>
      <c r="D542" t="s">
        <v>27</v>
      </c>
      <c r="E542" s="2">
        <v>42</v>
      </c>
      <c r="F542" t="s">
        <v>22</v>
      </c>
      <c r="G542" t="s">
        <v>23</v>
      </c>
      <c r="H542" s="2">
        <v>76</v>
      </c>
      <c r="I542" s="3">
        <v>7852</v>
      </c>
      <c r="J542" s="4">
        <v>20.23</v>
      </c>
      <c r="K542" s="2">
        <v>91</v>
      </c>
      <c r="L542" s="2">
        <v>4</v>
      </c>
      <c r="M542" s="3">
        <v>25151</v>
      </c>
      <c r="N542" t="str" cm="1">
        <f t="array" ref="N542">_xlfn.IFS(Table1_3[[#This Row],[Patient Satisfaction Score]]&gt;=83,"High",H542&lt;=75,"Low",TRUE,"Moderate")</f>
        <v>Moderate</v>
      </c>
      <c r="O542" t="str">
        <f t="shared" si="8"/>
        <v>Adult</v>
      </c>
    </row>
    <row r="543" spans="1:15">
      <c r="A543" t="s">
        <v>956</v>
      </c>
      <c r="B543" t="s">
        <v>60</v>
      </c>
      <c r="C543" t="s">
        <v>52</v>
      </c>
      <c r="D543" t="s">
        <v>16</v>
      </c>
      <c r="E543" s="2">
        <v>42</v>
      </c>
      <c r="F543" t="s">
        <v>34</v>
      </c>
      <c r="G543" t="s">
        <v>40</v>
      </c>
      <c r="H543" s="2">
        <v>87</v>
      </c>
      <c r="I543" s="3">
        <v>8399</v>
      </c>
      <c r="J543" s="4">
        <v>15.6</v>
      </c>
      <c r="K543" s="2">
        <v>99</v>
      </c>
      <c r="L543" s="2">
        <v>4</v>
      </c>
      <c r="M543" s="3">
        <v>30568</v>
      </c>
      <c r="N543" t="str" cm="1">
        <f t="array" ref="N543">_xlfn.IFS(Table1_3[[#This Row],[Patient Satisfaction Score]]&gt;=83,"High",H543&lt;=75,"Low",TRUE,"Moderate")</f>
        <v>High</v>
      </c>
      <c r="O543" t="str">
        <f t="shared" si="8"/>
        <v>Adult</v>
      </c>
    </row>
    <row r="544" spans="1:15">
      <c r="A544" t="s">
        <v>130</v>
      </c>
      <c r="B544" t="s">
        <v>129</v>
      </c>
      <c r="C544" t="s">
        <v>21</v>
      </c>
      <c r="D544" t="s">
        <v>27</v>
      </c>
      <c r="E544" s="2">
        <v>42</v>
      </c>
      <c r="F544" t="s">
        <v>17</v>
      </c>
      <c r="G544" t="s">
        <v>31</v>
      </c>
      <c r="H544" s="2">
        <v>78</v>
      </c>
      <c r="I544" s="3">
        <v>7168</v>
      </c>
      <c r="J544" s="4">
        <v>19.82</v>
      </c>
      <c r="K544" s="2">
        <v>90</v>
      </c>
      <c r="L544" s="2">
        <v>4</v>
      </c>
      <c r="M544" s="3">
        <v>36692</v>
      </c>
      <c r="N544" t="str" cm="1">
        <f t="array" ref="N544">_xlfn.IFS(Table1_3[[#This Row],[Patient Satisfaction Score]]&gt;=83,"High",H544&lt;=75,"Low",TRUE,"Moderate")</f>
        <v>Moderate</v>
      </c>
      <c r="O544" t="str">
        <f t="shared" si="8"/>
        <v>Adult</v>
      </c>
    </row>
    <row r="545" spans="1:15">
      <c r="A545" t="s">
        <v>113</v>
      </c>
      <c r="B545" t="s">
        <v>68</v>
      </c>
      <c r="C545" t="s">
        <v>45</v>
      </c>
      <c r="D545" t="s">
        <v>27</v>
      </c>
      <c r="E545" s="2">
        <v>42</v>
      </c>
      <c r="F545" t="s">
        <v>17</v>
      </c>
      <c r="G545" t="s">
        <v>23</v>
      </c>
      <c r="H545" s="2">
        <v>76</v>
      </c>
      <c r="I545" s="3">
        <v>10242</v>
      </c>
      <c r="J545" s="4">
        <v>15.4</v>
      </c>
      <c r="K545" s="2">
        <v>103</v>
      </c>
      <c r="L545" s="2">
        <v>4</v>
      </c>
      <c r="M545" s="3">
        <v>28250</v>
      </c>
      <c r="N545" t="str" cm="1">
        <f t="array" ref="N545">_xlfn.IFS(Table1_3[[#This Row],[Patient Satisfaction Score]]&gt;=83,"High",H545&lt;=75,"Low",TRUE,"Moderate")</f>
        <v>Moderate</v>
      </c>
      <c r="O545" t="str">
        <f t="shared" si="8"/>
        <v>Adult</v>
      </c>
    </row>
    <row r="546" spans="1:15">
      <c r="A546" t="s">
        <v>147</v>
      </c>
      <c r="B546" t="s">
        <v>56</v>
      </c>
      <c r="C546" t="s">
        <v>45</v>
      </c>
      <c r="D546" t="s">
        <v>27</v>
      </c>
      <c r="E546" s="2">
        <v>42</v>
      </c>
      <c r="F546" t="s">
        <v>17</v>
      </c>
      <c r="G546" t="s">
        <v>18</v>
      </c>
      <c r="H546" s="2">
        <v>72</v>
      </c>
      <c r="I546" s="3">
        <v>7929</v>
      </c>
      <c r="J546" s="4">
        <v>19.350000000000001</v>
      </c>
      <c r="K546" s="2">
        <v>97</v>
      </c>
      <c r="L546" s="2">
        <v>3</v>
      </c>
      <c r="M546" s="3">
        <v>42428</v>
      </c>
      <c r="N546" t="str" cm="1">
        <f t="array" ref="N546">_xlfn.IFS(Table1_3[[#This Row],[Patient Satisfaction Score]]&gt;=83,"High",H546&lt;=75,"Low",TRUE,"Moderate")</f>
        <v>Low</v>
      </c>
      <c r="O546" t="str">
        <f t="shared" si="8"/>
        <v>Adult</v>
      </c>
    </row>
    <row r="547" spans="1:15">
      <c r="A547" t="s">
        <v>326</v>
      </c>
      <c r="B547" t="s">
        <v>44</v>
      </c>
      <c r="C547" t="s">
        <v>45</v>
      </c>
      <c r="D547" t="s">
        <v>16</v>
      </c>
      <c r="E547" s="2">
        <v>42</v>
      </c>
      <c r="F547" t="s">
        <v>17</v>
      </c>
      <c r="G547" t="s">
        <v>31</v>
      </c>
      <c r="H547" s="2">
        <v>78</v>
      </c>
      <c r="I547" s="3">
        <v>11902</v>
      </c>
      <c r="J547" s="4">
        <v>22.26</v>
      </c>
      <c r="K547" s="2">
        <v>114</v>
      </c>
      <c r="L547" s="2">
        <v>4</v>
      </c>
      <c r="M547" s="3">
        <v>39645</v>
      </c>
      <c r="N547" t="str" cm="1">
        <f t="array" ref="N547">_xlfn.IFS(Table1_3[[#This Row],[Patient Satisfaction Score]]&gt;=83,"High",H547&lt;=75,"Low",TRUE,"Moderate")</f>
        <v>Moderate</v>
      </c>
      <c r="O547" t="str">
        <f t="shared" si="8"/>
        <v>Adult</v>
      </c>
    </row>
    <row r="548" spans="1:15">
      <c r="A548" t="s">
        <v>526</v>
      </c>
      <c r="B548" t="s">
        <v>74</v>
      </c>
      <c r="C548" t="s">
        <v>45</v>
      </c>
      <c r="D548" t="s">
        <v>16</v>
      </c>
      <c r="E548" s="2">
        <v>42</v>
      </c>
      <c r="F548" t="s">
        <v>22</v>
      </c>
      <c r="G548" t="s">
        <v>49</v>
      </c>
      <c r="H548" s="2">
        <v>71</v>
      </c>
      <c r="I548" s="3">
        <v>5563</v>
      </c>
      <c r="J548" s="4">
        <v>22.27</v>
      </c>
      <c r="K548" s="2">
        <v>109</v>
      </c>
      <c r="L548" s="2">
        <v>3</v>
      </c>
      <c r="M548" s="3">
        <v>14127</v>
      </c>
      <c r="N548" t="str" cm="1">
        <f t="array" ref="N548">_xlfn.IFS(Table1_3[[#This Row],[Patient Satisfaction Score]]&gt;=83,"High",H548&lt;=75,"Low",TRUE,"Moderate")</f>
        <v>Low</v>
      </c>
      <c r="O548" t="str">
        <f t="shared" si="8"/>
        <v>Adult</v>
      </c>
    </row>
    <row r="549" spans="1:15">
      <c r="A549" t="s">
        <v>716</v>
      </c>
      <c r="B549" t="s">
        <v>44</v>
      </c>
      <c r="C549" t="s">
        <v>45</v>
      </c>
      <c r="D549" t="s">
        <v>27</v>
      </c>
      <c r="E549" s="2">
        <v>42</v>
      </c>
      <c r="F549" t="s">
        <v>17</v>
      </c>
      <c r="G549" t="s">
        <v>40</v>
      </c>
      <c r="H549" s="2">
        <v>76</v>
      </c>
      <c r="I549" s="3">
        <v>8792</v>
      </c>
      <c r="J549" s="4">
        <v>15.46</v>
      </c>
      <c r="K549" s="2">
        <v>111</v>
      </c>
      <c r="L549" s="2">
        <v>4</v>
      </c>
      <c r="M549" s="3">
        <v>36114</v>
      </c>
      <c r="N549" t="str" cm="1">
        <f t="array" ref="N549">_xlfn.IFS(Table1_3[[#This Row],[Patient Satisfaction Score]]&gt;=83,"High",H549&lt;=75,"Low",TRUE,"Moderate")</f>
        <v>Moderate</v>
      </c>
      <c r="O549" t="str">
        <f t="shared" si="8"/>
        <v>Adult</v>
      </c>
    </row>
    <row r="550" spans="1:15">
      <c r="A550" t="s">
        <v>804</v>
      </c>
      <c r="B550" t="s">
        <v>56</v>
      </c>
      <c r="C550" t="s">
        <v>45</v>
      </c>
      <c r="D550" t="s">
        <v>27</v>
      </c>
      <c r="E550" s="2">
        <v>42</v>
      </c>
      <c r="F550" t="s">
        <v>34</v>
      </c>
      <c r="G550" t="s">
        <v>49</v>
      </c>
      <c r="H550" s="2">
        <v>77</v>
      </c>
      <c r="I550" s="3">
        <v>7816</v>
      </c>
      <c r="J550" s="4">
        <v>16.8</v>
      </c>
      <c r="K550" s="2">
        <v>106</v>
      </c>
      <c r="L550" s="2">
        <v>5</v>
      </c>
      <c r="M550" s="3">
        <v>26190</v>
      </c>
      <c r="N550" t="str" cm="1">
        <f t="array" ref="N550">_xlfn.IFS(Table1_3[[#This Row],[Patient Satisfaction Score]]&gt;=83,"High",H550&lt;=75,"Low",TRUE,"Moderate")</f>
        <v>Moderate</v>
      </c>
      <c r="O550" t="str">
        <f t="shared" si="8"/>
        <v>Adult</v>
      </c>
    </row>
    <row r="551" spans="1:15">
      <c r="A551" t="s">
        <v>530</v>
      </c>
      <c r="B551" t="s">
        <v>187</v>
      </c>
      <c r="C551" t="s">
        <v>30</v>
      </c>
      <c r="D551" t="s">
        <v>27</v>
      </c>
      <c r="E551" s="2">
        <v>42</v>
      </c>
      <c r="F551" t="s">
        <v>17</v>
      </c>
      <c r="G551" t="s">
        <v>31</v>
      </c>
      <c r="H551" s="2">
        <v>61</v>
      </c>
      <c r="I551" s="3">
        <v>4089</v>
      </c>
      <c r="J551" s="4">
        <v>16.52</v>
      </c>
      <c r="K551" s="2">
        <v>92</v>
      </c>
      <c r="L551" s="2">
        <v>3</v>
      </c>
      <c r="M551" s="3">
        <v>15008</v>
      </c>
      <c r="N551" t="str" cm="1">
        <f t="array" ref="N551">_xlfn.IFS(Table1_3[[#This Row],[Patient Satisfaction Score]]&gt;=83,"High",H551&lt;=75,"Low",TRUE,"Moderate")</f>
        <v>Low</v>
      </c>
      <c r="O551" t="str">
        <f t="shared" si="8"/>
        <v>Adult</v>
      </c>
    </row>
    <row r="552" spans="1:15">
      <c r="A552" t="s">
        <v>586</v>
      </c>
      <c r="B552" t="s">
        <v>97</v>
      </c>
      <c r="C552" t="s">
        <v>30</v>
      </c>
      <c r="D552" t="s">
        <v>27</v>
      </c>
      <c r="E552" s="2">
        <v>42</v>
      </c>
      <c r="F552" t="s">
        <v>22</v>
      </c>
      <c r="G552" t="s">
        <v>49</v>
      </c>
      <c r="H552" s="2">
        <v>76</v>
      </c>
      <c r="I552" s="3">
        <v>4967</v>
      </c>
      <c r="J552" s="4">
        <v>24.38</v>
      </c>
      <c r="K552" s="2">
        <v>85</v>
      </c>
      <c r="L552" s="2">
        <v>3</v>
      </c>
      <c r="M552" s="3">
        <v>12855</v>
      </c>
      <c r="N552" t="str" cm="1">
        <f t="array" ref="N552">_xlfn.IFS(Table1_3[[#This Row],[Patient Satisfaction Score]]&gt;=83,"High",H552&lt;=75,"Low",TRUE,"Moderate")</f>
        <v>Moderate</v>
      </c>
      <c r="O552" t="str">
        <f t="shared" si="8"/>
        <v>Adult</v>
      </c>
    </row>
    <row r="553" spans="1:15">
      <c r="A553" t="s">
        <v>717</v>
      </c>
      <c r="B553" t="s">
        <v>78</v>
      </c>
      <c r="C553" t="s">
        <v>15</v>
      </c>
      <c r="D553" t="s">
        <v>16</v>
      </c>
      <c r="E553" s="2">
        <v>42</v>
      </c>
      <c r="F553" t="s">
        <v>17</v>
      </c>
      <c r="G553" t="s">
        <v>18</v>
      </c>
      <c r="H553" s="2">
        <v>71</v>
      </c>
      <c r="I553" s="3">
        <v>8087</v>
      </c>
      <c r="J553" s="4">
        <v>15.78</v>
      </c>
      <c r="K553" s="2">
        <v>72</v>
      </c>
      <c r="L553" s="2">
        <v>4</v>
      </c>
      <c r="M553" s="3">
        <v>35086</v>
      </c>
      <c r="N553" t="str" cm="1">
        <f t="array" ref="N553">_xlfn.IFS(Table1_3[[#This Row],[Patient Satisfaction Score]]&gt;=83,"High",H553&lt;=75,"Low",TRUE,"Moderate")</f>
        <v>Low</v>
      </c>
      <c r="O553" t="str">
        <f t="shared" si="8"/>
        <v>Adult</v>
      </c>
    </row>
    <row r="554" spans="1:15">
      <c r="A554" t="s">
        <v>1034</v>
      </c>
      <c r="B554" t="s">
        <v>80</v>
      </c>
      <c r="C554" t="s">
        <v>15</v>
      </c>
      <c r="D554" t="s">
        <v>16</v>
      </c>
      <c r="E554" s="2">
        <v>42</v>
      </c>
      <c r="F554" t="s">
        <v>22</v>
      </c>
      <c r="G554" t="s">
        <v>70</v>
      </c>
      <c r="H554" s="2">
        <v>69</v>
      </c>
      <c r="I554" s="3">
        <v>7959</v>
      </c>
      <c r="J554" s="4">
        <v>21.61</v>
      </c>
      <c r="K554" s="2">
        <v>107</v>
      </c>
      <c r="L554" s="2">
        <v>4</v>
      </c>
      <c r="M554" s="3">
        <v>41787</v>
      </c>
      <c r="N554" t="str" cm="1">
        <f t="array" ref="N554">_xlfn.IFS(Table1_3[[#This Row],[Patient Satisfaction Score]]&gt;=83,"High",H554&lt;=75,"Low",TRUE,"Moderate")</f>
        <v>Low</v>
      </c>
      <c r="O554" t="str">
        <f t="shared" si="8"/>
        <v>Adult</v>
      </c>
    </row>
    <row r="555" spans="1:15">
      <c r="A555" t="s">
        <v>1036</v>
      </c>
      <c r="B555" t="s">
        <v>78</v>
      </c>
      <c r="C555" t="s">
        <v>15</v>
      </c>
      <c r="D555" t="s">
        <v>27</v>
      </c>
      <c r="E555" s="2">
        <v>42</v>
      </c>
      <c r="F555" t="s">
        <v>22</v>
      </c>
      <c r="G555" t="s">
        <v>18</v>
      </c>
      <c r="H555" s="2">
        <v>81</v>
      </c>
      <c r="I555" s="3">
        <v>10000</v>
      </c>
      <c r="J555" s="4">
        <v>14.12</v>
      </c>
      <c r="K555" s="2">
        <v>58</v>
      </c>
      <c r="L555" s="2">
        <v>5</v>
      </c>
      <c r="M555" s="3">
        <v>31905</v>
      </c>
      <c r="N555" t="str" cm="1">
        <f t="array" ref="N555">_xlfn.IFS(Table1_3[[#This Row],[Patient Satisfaction Score]]&gt;=83,"High",H555&lt;=75,"Low",TRUE,"Moderate")</f>
        <v>Moderate</v>
      </c>
      <c r="O555" t="str">
        <f t="shared" si="8"/>
        <v>Adult</v>
      </c>
    </row>
    <row r="556" spans="1:15">
      <c r="A556" t="s">
        <v>354</v>
      </c>
      <c r="B556" t="s">
        <v>25</v>
      </c>
      <c r="C556" t="s">
        <v>26</v>
      </c>
      <c r="D556" t="s">
        <v>27</v>
      </c>
      <c r="E556" s="2">
        <v>43</v>
      </c>
      <c r="F556" t="s">
        <v>17</v>
      </c>
      <c r="G556" t="s">
        <v>40</v>
      </c>
      <c r="H556" s="2">
        <v>88</v>
      </c>
      <c r="I556" s="3">
        <v>2760</v>
      </c>
      <c r="J556" s="4">
        <v>7.58</v>
      </c>
      <c r="K556" s="2">
        <v>50</v>
      </c>
      <c r="L556" s="2">
        <v>4</v>
      </c>
      <c r="M556" s="3">
        <v>8836</v>
      </c>
      <c r="N556" t="str" cm="1">
        <f t="array" ref="N556">_xlfn.IFS(Table1_3[[#This Row],[Patient Satisfaction Score]]&gt;=83,"High",H556&lt;=75,"Low",TRUE,"Moderate")</f>
        <v>High</v>
      </c>
      <c r="O556" t="str">
        <f t="shared" si="8"/>
        <v>Adult</v>
      </c>
    </row>
    <row r="557" spans="1:15">
      <c r="A557" t="s">
        <v>696</v>
      </c>
      <c r="B557" t="s">
        <v>25</v>
      </c>
      <c r="C557" t="s">
        <v>26</v>
      </c>
      <c r="D557" t="s">
        <v>16</v>
      </c>
      <c r="E557" s="2">
        <v>43</v>
      </c>
      <c r="F557" t="s">
        <v>17</v>
      </c>
      <c r="G557" t="s">
        <v>70</v>
      </c>
      <c r="H557" s="2">
        <v>83</v>
      </c>
      <c r="I557" s="3">
        <v>2645</v>
      </c>
      <c r="J557" s="4">
        <v>0</v>
      </c>
      <c r="K557" s="2">
        <v>54</v>
      </c>
      <c r="L557" s="2">
        <v>5</v>
      </c>
      <c r="M557" s="3">
        <v>13430</v>
      </c>
      <c r="N557" t="str" cm="1">
        <f t="array" ref="N557">_xlfn.IFS(Table1_3[[#This Row],[Patient Satisfaction Score]]&gt;=83,"High",H557&lt;=75,"Low",TRUE,"Moderate")</f>
        <v>High</v>
      </c>
      <c r="O557" t="str">
        <f t="shared" si="8"/>
        <v>Adult</v>
      </c>
    </row>
    <row r="558" spans="1:15">
      <c r="A558" t="s">
        <v>158</v>
      </c>
      <c r="B558" t="s">
        <v>122</v>
      </c>
      <c r="C558" t="s">
        <v>48</v>
      </c>
      <c r="D558" t="s">
        <v>27</v>
      </c>
      <c r="E558" s="2">
        <v>43</v>
      </c>
      <c r="F558" t="s">
        <v>22</v>
      </c>
      <c r="G558" t="s">
        <v>40</v>
      </c>
      <c r="H558" s="2">
        <v>74</v>
      </c>
      <c r="I558" s="3">
        <v>9046</v>
      </c>
      <c r="J558" s="4">
        <v>14.1</v>
      </c>
      <c r="K558" s="2">
        <v>90</v>
      </c>
      <c r="L558" s="2">
        <v>4</v>
      </c>
      <c r="M558" s="3">
        <v>33227</v>
      </c>
      <c r="N558" t="str" cm="1">
        <f t="array" ref="N558">_xlfn.IFS(Table1_3[[#This Row],[Patient Satisfaction Score]]&gt;=83,"High",H558&lt;=75,"Low",TRUE,"Moderate")</f>
        <v>Low</v>
      </c>
      <c r="O558" t="str">
        <f t="shared" si="8"/>
        <v>Adult</v>
      </c>
    </row>
    <row r="559" spans="1:15">
      <c r="A559" t="s">
        <v>608</v>
      </c>
      <c r="B559" t="s">
        <v>122</v>
      </c>
      <c r="C559" t="s">
        <v>48</v>
      </c>
      <c r="D559" t="s">
        <v>16</v>
      </c>
      <c r="E559" s="2">
        <v>43</v>
      </c>
      <c r="F559" t="s">
        <v>34</v>
      </c>
      <c r="G559" t="s">
        <v>40</v>
      </c>
      <c r="H559" s="2">
        <v>86</v>
      </c>
      <c r="I559" s="3">
        <v>6087</v>
      </c>
      <c r="J559" s="4">
        <v>11.4</v>
      </c>
      <c r="K559" s="2">
        <v>76</v>
      </c>
      <c r="L559" s="2">
        <v>4</v>
      </c>
      <c r="M559" s="3">
        <v>23385</v>
      </c>
      <c r="N559" t="str" cm="1">
        <f t="array" ref="N559">_xlfn.IFS(Table1_3[[#This Row],[Patient Satisfaction Score]]&gt;=83,"High",H559&lt;=75,"Low",TRUE,"Moderate")</f>
        <v>High</v>
      </c>
      <c r="O559" t="str">
        <f t="shared" si="8"/>
        <v>Adult</v>
      </c>
    </row>
    <row r="560" spans="1:15">
      <c r="A560" t="s">
        <v>301</v>
      </c>
      <c r="B560" t="s">
        <v>51</v>
      </c>
      <c r="C560" t="s">
        <v>52</v>
      </c>
      <c r="D560" t="s">
        <v>16</v>
      </c>
      <c r="E560" s="2">
        <v>43</v>
      </c>
      <c r="F560" t="s">
        <v>34</v>
      </c>
      <c r="G560" t="s">
        <v>31</v>
      </c>
      <c r="H560" s="2">
        <v>78</v>
      </c>
      <c r="I560" s="3">
        <v>5973</v>
      </c>
      <c r="J560" s="4">
        <v>13.77</v>
      </c>
      <c r="K560" s="2">
        <v>63</v>
      </c>
      <c r="L560" s="2">
        <v>5</v>
      </c>
      <c r="M560" s="3">
        <v>23540</v>
      </c>
      <c r="N560" t="str" cm="1">
        <f t="array" ref="N560">_xlfn.IFS(Table1_3[[#This Row],[Patient Satisfaction Score]]&gt;=83,"High",H560&lt;=75,"Low",TRUE,"Moderate")</f>
        <v>Moderate</v>
      </c>
      <c r="O560" t="str">
        <f t="shared" si="8"/>
        <v>Adult</v>
      </c>
    </row>
    <row r="561" spans="1:15">
      <c r="A561" t="s">
        <v>389</v>
      </c>
      <c r="B561" t="s">
        <v>185</v>
      </c>
      <c r="C561" t="s">
        <v>52</v>
      </c>
      <c r="D561" t="s">
        <v>16</v>
      </c>
      <c r="E561" s="2">
        <v>43</v>
      </c>
      <c r="F561" t="s">
        <v>22</v>
      </c>
      <c r="G561" t="s">
        <v>70</v>
      </c>
      <c r="H561" s="2">
        <v>86</v>
      </c>
      <c r="I561" s="3">
        <v>6461</v>
      </c>
      <c r="J561" s="4">
        <v>17.32</v>
      </c>
      <c r="K561" s="2">
        <v>55</v>
      </c>
      <c r="L561" s="2">
        <v>5</v>
      </c>
      <c r="M561" s="3">
        <v>19831</v>
      </c>
      <c r="N561" t="str" cm="1">
        <f t="array" ref="N561">_xlfn.IFS(Table1_3[[#This Row],[Patient Satisfaction Score]]&gt;=83,"High",H561&lt;=75,"Low",TRUE,"Moderate")</f>
        <v>High</v>
      </c>
      <c r="O561" t="str">
        <f t="shared" si="8"/>
        <v>Adult</v>
      </c>
    </row>
    <row r="562" spans="1:15">
      <c r="A562" t="s">
        <v>683</v>
      </c>
      <c r="B562" t="s">
        <v>95</v>
      </c>
      <c r="C562" t="s">
        <v>52</v>
      </c>
      <c r="D562" t="s">
        <v>16</v>
      </c>
      <c r="E562" s="2">
        <v>43</v>
      </c>
      <c r="F562" t="s">
        <v>17</v>
      </c>
      <c r="G562" t="s">
        <v>23</v>
      </c>
      <c r="H562" s="2">
        <v>73</v>
      </c>
      <c r="I562" s="3">
        <v>6444</v>
      </c>
      <c r="J562" s="4">
        <v>17.93</v>
      </c>
      <c r="K562" s="2">
        <v>99</v>
      </c>
      <c r="L562" s="2">
        <v>3</v>
      </c>
      <c r="M562" s="3">
        <v>29775</v>
      </c>
      <c r="N562" t="str" cm="1">
        <f t="array" ref="N562">_xlfn.IFS(Table1_3[[#This Row],[Patient Satisfaction Score]]&gt;=83,"High",H562&lt;=75,"Low",TRUE,"Moderate")</f>
        <v>Low</v>
      </c>
      <c r="O562" t="str">
        <f t="shared" si="8"/>
        <v>Adult</v>
      </c>
    </row>
    <row r="563" spans="1:15">
      <c r="A563" t="s">
        <v>279</v>
      </c>
      <c r="B563" t="s">
        <v>143</v>
      </c>
      <c r="C563" t="s">
        <v>21</v>
      </c>
      <c r="D563" t="s">
        <v>27</v>
      </c>
      <c r="E563" s="2">
        <v>43</v>
      </c>
      <c r="F563" t="s">
        <v>22</v>
      </c>
      <c r="G563" t="s">
        <v>70</v>
      </c>
      <c r="H563" s="2">
        <v>75</v>
      </c>
      <c r="I563" s="3">
        <v>7556</v>
      </c>
      <c r="J563" s="4">
        <v>17.309999999999999</v>
      </c>
      <c r="K563" s="2">
        <v>88</v>
      </c>
      <c r="L563" s="2">
        <v>3</v>
      </c>
      <c r="M563" s="3">
        <v>41123</v>
      </c>
      <c r="N563" t="str" cm="1">
        <f t="array" ref="N563">_xlfn.IFS(Table1_3[[#This Row],[Patient Satisfaction Score]]&gt;=83,"High",H563&lt;=75,"Low",TRUE,"Moderate")</f>
        <v>Low</v>
      </c>
      <c r="O563" t="str">
        <f t="shared" si="8"/>
        <v>Adult</v>
      </c>
    </row>
    <row r="564" spans="1:15">
      <c r="A564" t="s">
        <v>1017</v>
      </c>
      <c r="B564" t="s">
        <v>36</v>
      </c>
      <c r="C564" t="s">
        <v>21</v>
      </c>
      <c r="D564" t="s">
        <v>27</v>
      </c>
      <c r="E564" s="2">
        <v>43</v>
      </c>
      <c r="F564" t="s">
        <v>17</v>
      </c>
      <c r="G564" t="s">
        <v>18</v>
      </c>
      <c r="H564" s="2">
        <v>71</v>
      </c>
      <c r="I564" s="3">
        <v>7743</v>
      </c>
      <c r="J564" s="4">
        <v>9.42</v>
      </c>
      <c r="K564" s="2">
        <v>118</v>
      </c>
      <c r="L564" s="2">
        <v>3</v>
      </c>
      <c r="M564" s="3">
        <v>39154</v>
      </c>
      <c r="N564" t="str" cm="1">
        <f t="array" ref="N564">_xlfn.IFS(Table1_3[[#This Row],[Patient Satisfaction Score]]&gt;=83,"High",H564&lt;=75,"Low",TRUE,"Moderate")</f>
        <v>Low</v>
      </c>
      <c r="O564" t="str">
        <f t="shared" si="8"/>
        <v>Adult</v>
      </c>
    </row>
    <row r="565" spans="1:15">
      <c r="A565" t="s">
        <v>902</v>
      </c>
      <c r="B565" t="s">
        <v>68</v>
      </c>
      <c r="C565" t="s">
        <v>45</v>
      </c>
      <c r="D565" t="s">
        <v>16</v>
      </c>
      <c r="E565" s="2">
        <v>43</v>
      </c>
      <c r="F565" t="s">
        <v>34</v>
      </c>
      <c r="G565" t="s">
        <v>49</v>
      </c>
      <c r="H565" s="2">
        <v>78</v>
      </c>
      <c r="I565" s="3">
        <v>9013</v>
      </c>
      <c r="J565" s="4">
        <v>11.09</v>
      </c>
      <c r="K565" s="2">
        <v>76</v>
      </c>
      <c r="L565" s="2">
        <v>3</v>
      </c>
      <c r="M565" s="3">
        <v>47140</v>
      </c>
      <c r="N565" t="str" cm="1">
        <f t="array" ref="N565">_xlfn.IFS(Table1_3[[#This Row],[Patient Satisfaction Score]]&gt;=83,"High",H565&lt;=75,"Low",TRUE,"Moderate")</f>
        <v>Moderate</v>
      </c>
      <c r="O565" t="str">
        <f t="shared" si="8"/>
        <v>Adult</v>
      </c>
    </row>
    <row r="566" spans="1:15">
      <c r="A566" t="s">
        <v>984</v>
      </c>
      <c r="B566" t="s">
        <v>44</v>
      </c>
      <c r="C566" t="s">
        <v>45</v>
      </c>
      <c r="D566" t="s">
        <v>27</v>
      </c>
      <c r="E566" s="2">
        <v>43</v>
      </c>
      <c r="F566" t="s">
        <v>22</v>
      </c>
      <c r="G566" t="s">
        <v>23</v>
      </c>
      <c r="H566" s="2">
        <v>74</v>
      </c>
      <c r="I566" s="3">
        <v>10770</v>
      </c>
      <c r="J566" s="4">
        <v>17.5</v>
      </c>
      <c r="K566" s="2">
        <v>81</v>
      </c>
      <c r="L566" s="2">
        <v>3</v>
      </c>
      <c r="M566" s="3">
        <v>38859</v>
      </c>
      <c r="N566" t="str" cm="1">
        <f t="array" ref="N566">_xlfn.IFS(Table1_3[[#This Row],[Patient Satisfaction Score]]&gt;=83,"High",H566&lt;=75,"Low",TRUE,"Moderate")</f>
        <v>Low</v>
      </c>
      <c r="O566" t="str">
        <f t="shared" si="8"/>
        <v>Adult</v>
      </c>
    </row>
    <row r="567" spans="1:15">
      <c r="A567" t="s">
        <v>144</v>
      </c>
      <c r="B567" t="s">
        <v>97</v>
      </c>
      <c r="C567" t="s">
        <v>30</v>
      </c>
      <c r="D567" t="s">
        <v>16</v>
      </c>
      <c r="E567" s="2">
        <v>43</v>
      </c>
      <c r="F567" t="s">
        <v>34</v>
      </c>
      <c r="G567" t="s">
        <v>70</v>
      </c>
      <c r="H567" s="2">
        <v>71</v>
      </c>
      <c r="I567" s="3">
        <v>3043</v>
      </c>
      <c r="J567" s="4">
        <v>18.190000000000001</v>
      </c>
      <c r="K567" s="2">
        <v>85</v>
      </c>
      <c r="L567" s="2">
        <v>3</v>
      </c>
      <c r="M567" s="3">
        <v>8282</v>
      </c>
      <c r="N567" t="str" cm="1">
        <f t="array" ref="N567">_xlfn.IFS(Table1_3[[#This Row],[Patient Satisfaction Score]]&gt;=83,"High",H567&lt;=75,"Low",TRUE,"Moderate")</f>
        <v>Low</v>
      </c>
      <c r="O567" t="str">
        <f t="shared" si="8"/>
        <v>Adult</v>
      </c>
    </row>
    <row r="568" spans="1:15">
      <c r="A568" t="s">
        <v>698</v>
      </c>
      <c r="B568" t="s">
        <v>78</v>
      </c>
      <c r="C568" t="s">
        <v>15</v>
      </c>
      <c r="D568" t="s">
        <v>16</v>
      </c>
      <c r="E568" s="2">
        <v>43</v>
      </c>
      <c r="F568" t="s">
        <v>17</v>
      </c>
      <c r="G568" t="s">
        <v>40</v>
      </c>
      <c r="H568" s="2">
        <v>84</v>
      </c>
      <c r="I568" s="3">
        <v>9930</v>
      </c>
      <c r="J568" s="4">
        <v>9.9499999999999993</v>
      </c>
      <c r="K568" s="2">
        <v>92</v>
      </c>
      <c r="L568" s="2">
        <v>5</v>
      </c>
      <c r="M568" s="3">
        <v>45932</v>
      </c>
      <c r="N568" t="str" cm="1">
        <f t="array" ref="N568">_xlfn.IFS(Table1_3[[#This Row],[Patient Satisfaction Score]]&gt;=83,"High",H568&lt;=75,"Low",TRUE,"Moderate")</f>
        <v>High</v>
      </c>
      <c r="O568" t="str">
        <f t="shared" si="8"/>
        <v>Adult</v>
      </c>
    </row>
    <row r="569" spans="1:15">
      <c r="A569" t="s">
        <v>210</v>
      </c>
      <c r="B569" t="s">
        <v>25</v>
      </c>
      <c r="C569" t="s">
        <v>26</v>
      </c>
      <c r="D569" t="s">
        <v>27</v>
      </c>
      <c r="E569" s="2">
        <v>44</v>
      </c>
      <c r="F569" t="s">
        <v>34</v>
      </c>
      <c r="G569" t="s">
        <v>18</v>
      </c>
      <c r="H569" s="2">
        <v>96</v>
      </c>
      <c r="I569" s="3">
        <v>2564</v>
      </c>
      <c r="J569" s="4">
        <v>2.2799999999999998</v>
      </c>
      <c r="K569" s="2">
        <v>16</v>
      </c>
      <c r="L569" s="2">
        <v>5</v>
      </c>
      <c r="M569" s="3">
        <v>9195</v>
      </c>
      <c r="N569" t="str" cm="1">
        <f t="array" ref="N569">_xlfn.IFS(Table1_3[[#This Row],[Patient Satisfaction Score]]&gt;=83,"High",H569&lt;=75,"Low",TRUE,"Moderate")</f>
        <v>High</v>
      </c>
      <c r="O569" t="str">
        <f t="shared" si="8"/>
        <v>Adult</v>
      </c>
    </row>
    <row r="570" spans="1:15">
      <c r="A570" t="s">
        <v>704</v>
      </c>
      <c r="B570" t="s">
        <v>25</v>
      </c>
      <c r="C570" t="s">
        <v>26</v>
      </c>
      <c r="D570" t="s">
        <v>16</v>
      </c>
      <c r="E570" s="2">
        <v>44</v>
      </c>
      <c r="F570" t="s">
        <v>22</v>
      </c>
      <c r="G570" t="s">
        <v>49</v>
      </c>
      <c r="H570" s="2">
        <v>86</v>
      </c>
      <c r="I570" s="3">
        <v>3110</v>
      </c>
      <c r="J570" s="4">
        <v>0.69</v>
      </c>
      <c r="K570" s="2">
        <v>42</v>
      </c>
      <c r="L570" s="2">
        <v>5</v>
      </c>
      <c r="M570" s="3">
        <v>16609</v>
      </c>
      <c r="N570" t="str" cm="1">
        <f t="array" ref="N570">_xlfn.IFS(Table1_3[[#This Row],[Patient Satisfaction Score]]&gt;=83,"High",H570&lt;=75,"Low",TRUE,"Moderate")</f>
        <v>High</v>
      </c>
      <c r="O570" t="str">
        <f t="shared" si="8"/>
        <v>Adult</v>
      </c>
    </row>
    <row r="571" spans="1:15">
      <c r="A571" t="s">
        <v>356</v>
      </c>
      <c r="B571" t="s">
        <v>58</v>
      </c>
      <c r="C571" t="s">
        <v>48</v>
      </c>
      <c r="D571" t="s">
        <v>27</v>
      </c>
      <c r="E571" s="2">
        <v>44</v>
      </c>
      <c r="F571" t="s">
        <v>34</v>
      </c>
      <c r="G571" t="s">
        <v>18</v>
      </c>
      <c r="H571" s="2">
        <v>75</v>
      </c>
      <c r="I571" s="3">
        <v>7348</v>
      </c>
      <c r="J571" s="4">
        <v>15.79</v>
      </c>
      <c r="K571" s="2">
        <v>67</v>
      </c>
      <c r="L571" s="2">
        <v>4</v>
      </c>
      <c r="M571" s="3">
        <v>26069</v>
      </c>
      <c r="N571" t="str" cm="1">
        <f t="array" ref="N571">_xlfn.IFS(Table1_3[[#This Row],[Patient Satisfaction Score]]&gt;=83,"High",H571&lt;=75,"Low",TRUE,"Moderate")</f>
        <v>Low</v>
      </c>
      <c r="O571" t="str">
        <f t="shared" si="8"/>
        <v>Adult</v>
      </c>
    </row>
    <row r="572" spans="1:15">
      <c r="A572" t="s">
        <v>366</v>
      </c>
      <c r="B572" t="s">
        <v>150</v>
      </c>
      <c r="C572" t="s">
        <v>48</v>
      </c>
      <c r="D572" t="s">
        <v>16</v>
      </c>
      <c r="E572" s="2">
        <v>44</v>
      </c>
      <c r="F572" t="s">
        <v>34</v>
      </c>
      <c r="G572" t="s">
        <v>49</v>
      </c>
      <c r="H572" s="2">
        <v>82</v>
      </c>
      <c r="I572" s="3">
        <v>5166</v>
      </c>
      <c r="J572" s="4">
        <v>10.36</v>
      </c>
      <c r="K572" s="2">
        <v>39</v>
      </c>
      <c r="L572" s="2">
        <v>4</v>
      </c>
      <c r="M572" s="3">
        <v>26451</v>
      </c>
      <c r="N572" t="str" cm="1">
        <f t="array" ref="N572">_xlfn.IFS(Table1_3[[#This Row],[Patient Satisfaction Score]]&gt;=83,"High",H572&lt;=75,"Low",TRUE,"Moderate")</f>
        <v>Moderate</v>
      </c>
      <c r="O572" t="str">
        <f t="shared" si="8"/>
        <v>Adult</v>
      </c>
    </row>
    <row r="573" spans="1:15">
      <c r="A573" t="s">
        <v>296</v>
      </c>
      <c r="B573" t="s">
        <v>185</v>
      </c>
      <c r="C573" t="s">
        <v>52</v>
      </c>
      <c r="D573" t="s">
        <v>72</v>
      </c>
      <c r="E573" s="2">
        <v>44</v>
      </c>
      <c r="F573" t="s">
        <v>22</v>
      </c>
      <c r="G573" t="s">
        <v>40</v>
      </c>
      <c r="H573" s="2">
        <v>82</v>
      </c>
      <c r="I573" s="3">
        <v>4121</v>
      </c>
      <c r="J573" s="4">
        <v>17.54</v>
      </c>
      <c r="K573" s="2">
        <v>65</v>
      </c>
      <c r="L573" s="2">
        <v>4</v>
      </c>
      <c r="M573" s="3">
        <v>10617</v>
      </c>
      <c r="N573" t="str" cm="1">
        <f t="array" ref="N573">_xlfn.IFS(Table1_3[[#This Row],[Patient Satisfaction Score]]&gt;=83,"High",H573&lt;=75,"Low",TRUE,"Moderate")</f>
        <v>Moderate</v>
      </c>
      <c r="O573" t="str">
        <f t="shared" si="8"/>
        <v>Adult</v>
      </c>
    </row>
    <row r="574" spans="1:15">
      <c r="A574" t="s">
        <v>822</v>
      </c>
      <c r="B574" t="s">
        <v>51</v>
      </c>
      <c r="C574" t="s">
        <v>52</v>
      </c>
      <c r="D574" t="s">
        <v>16</v>
      </c>
      <c r="E574" s="2">
        <v>44</v>
      </c>
      <c r="F574" t="s">
        <v>34</v>
      </c>
      <c r="G574" t="s">
        <v>40</v>
      </c>
      <c r="H574" s="2">
        <v>89</v>
      </c>
      <c r="I574" s="3">
        <v>7785</v>
      </c>
      <c r="J574" s="4">
        <v>16.079999999999998</v>
      </c>
      <c r="K574" s="2">
        <v>51</v>
      </c>
      <c r="L574" s="2">
        <v>4</v>
      </c>
      <c r="M574" s="3">
        <v>35914</v>
      </c>
      <c r="N574" t="str" cm="1">
        <f t="array" ref="N574">_xlfn.IFS(Table1_3[[#This Row],[Patient Satisfaction Score]]&gt;=83,"High",H574&lt;=75,"Low",TRUE,"Moderate")</f>
        <v>High</v>
      </c>
      <c r="O574" t="str">
        <f t="shared" si="8"/>
        <v>Adult</v>
      </c>
    </row>
    <row r="575" spans="1:15">
      <c r="A575" t="s">
        <v>553</v>
      </c>
      <c r="B575" t="s">
        <v>36</v>
      </c>
      <c r="C575" t="s">
        <v>21</v>
      </c>
      <c r="D575" t="s">
        <v>27</v>
      </c>
      <c r="E575" s="2">
        <v>44</v>
      </c>
      <c r="F575" t="s">
        <v>17</v>
      </c>
      <c r="G575" t="s">
        <v>40</v>
      </c>
      <c r="H575" s="2">
        <v>68</v>
      </c>
      <c r="I575" s="3">
        <v>7468</v>
      </c>
      <c r="J575" s="4">
        <v>20.76</v>
      </c>
      <c r="K575" s="2">
        <v>111</v>
      </c>
      <c r="L575" s="2">
        <v>3</v>
      </c>
      <c r="M575" s="3">
        <v>34799</v>
      </c>
      <c r="N575" t="str" cm="1">
        <f t="array" ref="N575">_xlfn.IFS(Table1_3[[#This Row],[Patient Satisfaction Score]]&gt;=83,"High",H575&lt;=75,"Low",TRUE,"Moderate")</f>
        <v>Low</v>
      </c>
      <c r="O575" t="str">
        <f t="shared" si="8"/>
        <v>Adult</v>
      </c>
    </row>
    <row r="576" spans="1:15">
      <c r="A576" t="s">
        <v>690</v>
      </c>
      <c r="B576" t="s">
        <v>36</v>
      </c>
      <c r="C576" t="s">
        <v>21</v>
      </c>
      <c r="D576" t="s">
        <v>16</v>
      </c>
      <c r="E576" s="2">
        <v>44</v>
      </c>
      <c r="F576" t="s">
        <v>34</v>
      </c>
      <c r="G576" t="s">
        <v>18</v>
      </c>
      <c r="H576" s="2">
        <v>82</v>
      </c>
      <c r="I576" s="3">
        <v>4714</v>
      </c>
      <c r="J576" s="4">
        <v>17.079999999999998</v>
      </c>
      <c r="K576" s="2">
        <v>113</v>
      </c>
      <c r="L576" s="2">
        <v>4</v>
      </c>
      <c r="M576" s="3">
        <v>20284</v>
      </c>
      <c r="N576" t="str" cm="1">
        <f t="array" ref="N576">_xlfn.IFS(Table1_3[[#This Row],[Patient Satisfaction Score]]&gt;=83,"High",H576&lt;=75,"Low",TRUE,"Moderate")</f>
        <v>Moderate</v>
      </c>
      <c r="O576" t="str">
        <f t="shared" si="8"/>
        <v>Adult</v>
      </c>
    </row>
    <row r="577" spans="1:15">
      <c r="A577" t="s">
        <v>923</v>
      </c>
      <c r="B577" t="s">
        <v>36</v>
      </c>
      <c r="C577" t="s">
        <v>21</v>
      </c>
      <c r="D577" t="s">
        <v>27</v>
      </c>
      <c r="E577" s="2">
        <v>44</v>
      </c>
      <c r="F577" t="s">
        <v>22</v>
      </c>
      <c r="G577" t="s">
        <v>18</v>
      </c>
      <c r="H577" s="2">
        <v>79</v>
      </c>
      <c r="I577" s="3">
        <v>4866</v>
      </c>
      <c r="J577" s="4">
        <v>15.67</v>
      </c>
      <c r="K577" s="2">
        <v>78</v>
      </c>
      <c r="L577" s="2">
        <v>4</v>
      </c>
      <c r="M577" s="3">
        <v>19894</v>
      </c>
      <c r="N577" t="str" cm="1">
        <f t="array" ref="N577">_xlfn.IFS(Table1_3[[#This Row],[Patient Satisfaction Score]]&gt;=83,"High",H577&lt;=75,"Low",TRUE,"Moderate")</f>
        <v>Moderate</v>
      </c>
      <c r="O577" t="str">
        <f t="shared" si="8"/>
        <v>Adult</v>
      </c>
    </row>
    <row r="578" spans="1:15">
      <c r="A578" t="s">
        <v>322</v>
      </c>
      <c r="B578" t="s">
        <v>168</v>
      </c>
      <c r="C578" t="s">
        <v>45</v>
      </c>
      <c r="D578" t="s">
        <v>27</v>
      </c>
      <c r="E578" s="2">
        <v>44</v>
      </c>
      <c r="F578" t="s">
        <v>17</v>
      </c>
      <c r="G578" t="s">
        <v>70</v>
      </c>
      <c r="H578" s="2">
        <v>73</v>
      </c>
      <c r="I578" s="3">
        <v>10439</v>
      </c>
      <c r="J578" s="4">
        <v>10.53</v>
      </c>
      <c r="K578" s="2">
        <v>88</v>
      </c>
      <c r="L578" s="2">
        <v>3</v>
      </c>
      <c r="M578" s="3">
        <v>53251</v>
      </c>
      <c r="N578" t="str" cm="1">
        <f t="array" ref="N578">_xlfn.IFS(Table1_3[[#This Row],[Patient Satisfaction Score]]&gt;=83,"High",H578&lt;=75,"Low",TRUE,"Moderate")</f>
        <v>Low</v>
      </c>
      <c r="O578" t="str">
        <f t="shared" ref="O578:O641" si="9">IF(E578&lt;19,"Pediatric","Adult")</f>
        <v>Adult</v>
      </c>
    </row>
    <row r="579" spans="1:15">
      <c r="A579" t="s">
        <v>182</v>
      </c>
      <c r="B579" t="s">
        <v>29</v>
      </c>
      <c r="C579" t="s">
        <v>30</v>
      </c>
      <c r="D579" t="s">
        <v>27</v>
      </c>
      <c r="E579" s="2">
        <v>44</v>
      </c>
      <c r="F579" t="s">
        <v>17</v>
      </c>
      <c r="G579" t="s">
        <v>40</v>
      </c>
      <c r="H579" s="2">
        <v>75</v>
      </c>
      <c r="I579" s="3">
        <v>3519</v>
      </c>
      <c r="J579" s="4">
        <v>18.12</v>
      </c>
      <c r="K579" s="2">
        <v>123</v>
      </c>
      <c r="L579" s="2">
        <v>4</v>
      </c>
      <c r="M579" s="3">
        <v>9253</v>
      </c>
      <c r="N579" t="str" cm="1">
        <f t="array" ref="N579">_xlfn.IFS(Table1_3[[#This Row],[Patient Satisfaction Score]]&gt;=83,"High",H579&lt;=75,"Low",TRUE,"Moderate")</f>
        <v>Low</v>
      </c>
      <c r="O579" t="str">
        <f t="shared" si="9"/>
        <v>Adult</v>
      </c>
    </row>
    <row r="580" spans="1:15">
      <c r="A580" t="s">
        <v>617</v>
      </c>
      <c r="B580" t="s">
        <v>187</v>
      </c>
      <c r="C580" t="s">
        <v>30</v>
      </c>
      <c r="D580" t="s">
        <v>16</v>
      </c>
      <c r="E580" s="2">
        <v>44</v>
      </c>
      <c r="F580" t="s">
        <v>17</v>
      </c>
      <c r="G580" t="s">
        <v>70</v>
      </c>
      <c r="H580" s="2">
        <v>64</v>
      </c>
      <c r="I580" s="3">
        <v>3340</v>
      </c>
      <c r="J580" s="4">
        <v>20.48</v>
      </c>
      <c r="K580" s="2">
        <v>110</v>
      </c>
      <c r="L580" s="2">
        <v>3</v>
      </c>
      <c r="M580" s="3">
        <v>8352</v>
      </c>
      <c r="N580" t="str" cm="1">
        <f t="array" ref="N580">_xlfn.IFS(Table1_3[[#This Row],[Patient Satisfaction Score]]&gt;=83,"High",H580&lt;=75,"Low",TRUE,"Moderate")</f>
        <v>Low</v>
      </c>
      <c r="O580" t="str">
        <f t="shared" si="9"/>
        <v>Adult</v>
      </c>
    </row>
    <row r="581" spans="1:15">
      <c r="A581" t="s">
        <v>657</v>
      </c>
      <c r="B581" t="s">
        <v>187</v>
      </c>
      <c r="C581" t="s">
        <v>30</v>
      </c>
      <c r="D581" t="s">
        <v>16</v>
      </c>
      <c r="E581" s="2">
        <v>44</v>
      </c>
      <c r="F581" t="s">
        <v>34</v>
      </c>
      <c r="G581" t="s">
        <v>23</v>
      </c>
      <c r="H581" s="2">
        <v>74</v>
      </c>
      <c r="I581" s="3">
        <v>3917</v>
      </c>
      <c r="J581" s="4">
        <v>17.07</v>
      </c>
      <c r="K581" s="2">
        <v>99</v>
      </c>
      <c r="L581" s="2">
        <v>4</v>
      </c>
      <c r="M581" s="3">
        <v>19946</v>
      </c>
      <c r="N581" t="str" cm="1">
        <f t="array" ref="N581">_xlfn.IFS(Table1_3[[#This Row],[Patient Satisfaction Score]]&gt;=83,"High",H581&lt;=75,"Low",TRUE,"Moderate")</f>
        <v>Low</v>
      </c>
      <c r="O581" t="str">
        <f t="shared" si="9"/>
        <v>Adult</v>
      </c>
    </row>
    <row r="582" spans="1:15">
      <c r="A582" t="s">
        <v>1005</v>
      </c>
      <c r="B582" t="s">
        <v>97</v>
      </c>
      <c r="C582" t="s">
        <v>30</v>
      </c>
      <c r="D582" t="s">
        <v>16</v>
      </c>
      <c r="E582" s="2">
        <v>44</v>
      </c>
      <c r="F582" t="s">
        <v>34</v>
      </c>
      <c r="G582" t="s">
        <v>70</v>
      </c>
      <c r="H582" s="2">
        <v>68</v>
      </c>
      <c r="I582" s="3">
        <v>3080</v>
      </c>
      <c r="J582" s="4">
        <v>10.14</v>
      </c>
      <c r="K582" s="2">
        <v>103</v>
      </c>
      <c r="L582" s="2">
        <v>4</v>
      </c>
      <c r="M582" s="3">
        <v>12172</v>
      </c>
      <c r="N582" t="str" cm="1">
        <f t="array" ref="N582">_xlfn.IFS(Table1_3[[#This Row],[Patient Satisfaction Score]]&gt;=83,"High",H582&lt;=75,"Low",TRUE,"Moderate")</f>
        <v>Low</v>
      </c>
      <c r="O582" t="str">
        <f t="shared" si="9"/>
        <v>Adult</v>
      </c>
    </row>
    <row r="583" spans="1:15">
      <c r="A583" t="s">
        <v>603</v>
      </c>
      <c r="B583" t="s">
        <v>78</v>
      </c>
      <c r="C583" t="s">
        <v>15</v>
      </c>
      <c r="D583" t="s">
        <v>16</v>
      </c>
      <c r="E583" s="2">
        <v>44</v>
      </c>
      <c r="F583" t="s">
        <v>34</v>
      </c>
      <c r="G583" t="s">
        <v>70</v>
      </c>
      <c r="H583" s="2">
        <v>84</v>
      </c>
      <c r="I583" s="3">
        <v>6591</v>
      </c>
      <c r="J583" s="4">
        <v>14.18</v>
      </c>
      <c r="K583" s="2">
        <v>70</v>
      </c>
      <c r="L583" s="2">
        <v>4</v>
      </c>
      <c r="M583" s="3">
        <v>36673</v>
      </c>
      <c r="N583" t="str" cm="1">
        <f t="array" ref="N583">_xlfn.IFS(Table1_3[[#This Row],[Patient Satisfaction Score]]&gt;=83,"High",H583&lt;=75,"Low",TRUE,"Moderate")</f>
        <v>High</v>
      </c>
      <c r="O583" t="str">
        <f t="shared" si="9"/>
        <v>Adult</v>
      </c>
    </row>
    <row r="584" spans="1:15">
      <c r="A584" t="s">
        <v>421</v>
      </c>
      <c r="B584" t="s">
        <v>103</v>
      </c>
      <c r="C584" t="s">
        <v>26</v>
      </c>
      <c r="D584" t="s">
        <v>16</v>
      </c>
      <c r="E584" s="2">
        <v>45</v>
      </c>
      <c r="F584" t="s">
        <v>34</v>
      </c>
      <c r="G584" t="s">
        <v>40</v>
      </c>
      <c r="H584" s="2">
        <v>90</v>
      </c>
      <c r="I584" s="3">
        <v>2336</v>
      </c>
      <c r="J584" s="4">
        <v>0</v>
      </c>
      <c r="K584" s="2">
        <v>39</v>
      </c>
      <c r="L584" s="2">
        <v>5</v>
      </c>
      <c r="M584" s="3">
        <v>12706</v>
      </c>
      <c r="N584" t="str" cm="1">
        <f t="array" ref="N584">_xlfn.IFS(Table1_3[[#This Row],[Patient Satisfaction Score]]&gt;=83,"High",H584&lt;=75,"Low",TRUE,"Moderate")</f>
        <v>High</v>
      </c>
      <c r="O584" t="str">
        <f t="shared" si="9"/>
        <v>Adult</v>
      </c>
    </row>
    <row r="585" spans="1:15">
      <c r="A585" t="s">
        <v>821</v>
      </c>
      <c r="B585" t="s">
        <v>25</v>
      </c>
      <c r="C585" t="s">
        <v>26</v>
      </c>
      <c r="D585" t="s">
        <v>27</v>
      </c>
      <c r="E585" s="2">
        <v>45</v>
      </c>
      <c r="F585" t="s">
        <v>34</v>
      </c>
      <c r="G585" t="s">
        <v>31</v>
      </c>
      <c r="H585" s="2">
        <v>88</v>
      </c>
      <c r="I585" s="3">
        <v>2537</v>
      </c>
      <c r="J585" s="4">
        <v>0.9</v>
      </c>
      <c r="K585" s="2">
        <v>61</v>
      </c>
      <c r="L585" s="2">
        <v>4</v>
      </c>
      <c r="M585" s="3">
        <v>10626</v>
      </c>
      <c r="N585" t="str" cm="1">
        <f t="array" ref="N585">_xlfn.IFS(Table1_3[[#This Row],[Patient Satisfaction Score]]&gt;=83,"High",H585&lt;=75,"Low",TRUE,"Moderate")</f>
        <v>High</v>
      </c>
      <c r="O585" t="str">
        <f t="shared" si="9"/>
        <v>Adult</v>
      </c>
    </row>
    <row r="586" spans="1:15">
      <c r="A586" t="s">
        <v>888</v>
      </c>
      <c r="B586" t="s">
        <v>25</v>
      </c>
      <c r="C586" t="s">
        <v>26</v>
      </c>
      <c r="D586" t="s">
        <v>27</v>
      </c>
      <c r="E586" s="2">
        <v>45</v>
      </c>
      <c r="F586" t="s">
        <v>22</v>
      </c>
      <c r="G586" t="s">
        <v>70</v>
      </c>
      <c r="H586" s="2">
        <v>85</v>
      </c>
      <c r="I586" s="3">
        <v>3043</v>
      </c>
      <c r="J586" s="4">
        <v>7.77</v>
      </c>
      <c r="K586" s="2">
        <v>58</v>
      </c>
      <c r="L586" s="2">
        <v>4</v>
      </c>
      <c r="M586" s="3">
        <v>7972</v>
      </c>
      <c r="N586" t="str" cm="1">
        <f t="array" ref="N586">_xlfn.IFS(Table1_3[[#This Row],[Patient Satisfaction Score]]&gt;=83,"High",H586&lt;=75,"Low",TRUE,"Moderate")</f>
        <v>High</v>
      </c>
      <c r="O586" t="str">
        <f t="shared" si="9"/>
        <v>Adult</v>
      </c>
    </row>
    <row r="587" spans="1:15">
      <c r="A587" t="s">
        <v>81</v>
      </c>
      <c r="B587" t="s">
        <v>47</v>
      </c>
      <c r="C587" t="s">
        <v>48</v>
      </c>
      <c r="D587" t="s">
        <v>16</v>
      </c>
      <c r="E587" s="2">
        <v>45</v>
      </c>
      <c r="F587" t="s">
        <v>22</v>
      </c>
      <c r="G587" t="s">
        <v>23</v>
      </c>
      <c r="H587" s="2">
        <v>74</v>
      </c>
      <c r="I587" s="3">
        <v>5682</v>
      </c>
      <c r="J587" s="4">
        <v>22.88</v>
      </c>
      <c r="K587" s="2">
        <v>104</v>
      </c>
      <c r="L587" s="2">
        <v>3</v>
      </c>
      <c r="M587" s="3">
        <v>19788</v>
      </c>
      <c r="N587" t="str" cm="1">
        <f t="array" ref="N587">_xlfn.IFS(Table1_3[[#This Row],[Patient Satisfaction Score]]&gt;=83,"High",H587&lt;=75,"Low",TRUE,"Moderate")</f>
        <v>Low</v>
      </c>
      <c r="O587" t="str">
        <f t="shared" si="9"/>
        <v>Adult</v>
      </c>
    </row>
    <row r="588" spans="1:15">
      <c r="A588" t="s">
        <v>82</v>
      </c>
      <c r="B588" t="s">
        <v>47</v>
      </c>
      <c r="C588" t="s">
        <v>48</v>
      </c>
      <c r="D588" t="s">
        <v>16</v>
      </c>
      <c r="E588" s="2">
        <v>45</v>
      </c>
      <c r="F588" t="s">
        <v>17</v>
      </c>
      <c r="G588" t="s">
        <v>40</v>
      </c>
      <c r="H588" s="2">
        <v>76</v>
      </c>
      <c r="I588" s="3">
        <v>5851</v>
      </c>
      <c r="J588" s="4">
        <v>14.96</v>
      </c>
      <c r="K588" s="2">
        <v>72</v>
      </c>
      <c r="L588" s="2">
        <v>4</v>
      </c>
      <c r="M588" s="3">
        <v>22513</v>
      </c>
      <c r="N588" t="str" cm="1">
        <f t="array" ref="N588">_xlfn.IFS(Table1_3[[#This Row],[Patient Satisfaction Score]]&gt;=83,"High",H588&lt;=75,"Low",TRUE,"Moderate")</f>
        <v>Moderate</v>
      </c>
      <c r="O588" t="str">
        <f t="shared" si="9"/>
        <v>Adult</v>
      </c>
    </row>
    <row r="589" spans="1:15">
      <c r="A589" t="s">
        <v>597</v>
      </c>
      <c r="B589" t="s">
        <v>135</v>
      </c>
      <c r="C589" t="s">
        <v>48</v>
      </c>
      <c r="D589" t="s">
        <v>16</v>
      </c>
      <c r="E589" s="2">
        <v>45</v>
      </c>
      <c r="F589" t="s">
        <v>17</v>
      </c>
      <c r="G589" t="s">
        <v>40</v>
      </c>
      <c r="H589" s="2">
        <v>79</v>
      </c>
      <c r="I589" s="3">
        <v>4640</v>
      </c>
      <c r="J589" s="4">
        <v>15.04</v>
      </c>
      <c r="K589" s="2">
        <v>98</v>
      </c>
      <c r="L589" s="2">
        <v>4</v>
      </c>
      <c r="M589" s="3">
        <v>16676</v>
      </c>
      <c r="N589" t="str" cm="1">
        <f t="array" ref="N589">_xlfn.IFS(Table1_3[[#This Row],[Patient Satisfaction Score]]&gt;=83,"High",H589&lt;=75,"Low",TRUE,"Moderate")</f>
        <v>Moderate</v>
      </c>
      <c r="O589" t="str">
        <f t="shared" si="9"/>
        <v>Adult</v>
      </c>
    </row>
    <row r="590" spans="1:15">
      <c r="A590" t="s">
        <v>771</v>
      </c>
      <c r="B590" t="s">
        <v>135</v>
      </c>
      <c r="C590" t="s">
        <v>48</v>
      </c>
      <c r="D590" t="s">
        <v>16</v>
      </c>
      <c r="E590" s="2">
        <v>45</v>
      </c>
      <c r="F590" t="s">
        <v>17</v>
      </c>
      <c r="G590" t="s">
        <v>23</v>
      </c>
      <c r="H590" s="2">
        <v>82</v>
      </c>
      <c r="I590" s="3">
        <v>6060</v>
      </c>
      <c r="J590" s="4">
        <v>14.54</v>
      </c>
      <c r="K590" s="2">
        <v>89</v>
      </c>
      <c r="L590" s="2">
        <v>4</v>
      </c>
      <c r="M590" s="3">
        <v>25606</v>
      </c>
      <c r="N590" t="str" cm="1">
        <f t="array" ref="N590">_xlfn.IFS(Table1_3[[#This Row],[Patient Satisfaction Score]]&gt;=83,"High",H590&lt;=75,"Low",TRUE,"Moderate")</f>
        <v>Moderate</v>
      </c>
      <c r="O590" t="str">
        <f t="shared" si="9"/>
        <v>Adult</v>
      </c>
    </row>
    <row r="591" spans="1:15">
      <c r="A591" t="s">
        <v>91</v>
      </c>
      <c r="B591" t="s">
        <v>62</v>
      </c>
      <c r="C591" t="s">
        <v>52</v>
      </c>
      <c r="D591" t="s">
        <v>27</v>
      </c>
      <c r="E591" s="2">
        <v>45</v>
      </c>
      <c r="F591" t="s">
        <v>22</v>
      </c>
      <c r="G591" t="s">
        <v>31</v>
      </c>
      <c r="H591" s="2">
        <v>68</v>
      </c>
      <c r="I591" s="3">
        <v>11430</v>
      </c>
      <c r="J591" s="4">
        <v>16.54</v>
      </c>
      <c r="K591" s="2">
        <v>66</v>
      </c>
      <c r="L591" s="2">
        <v>3</v>
      </c>
      <c r="M591" s="3">
        <v>60386</v>
      </c>
      <c r="N591" t="str" cm="1">
        <f t="array" ref="N591">_xlfn.IFS(Table1_3[[#This Row],[Patient Satisfaction Score]]&gt;=83,"High",H591&lt;=75,"Low",TRUE,"Moderate")</f>
        <v>Low</v>
      </c>
      <c r="O591" t="str">
        <f t="shared" si="9"/>
        <v>Adult</v>
      </c>
    </row>
    <row r="592" spans="1:15">
      <c r="A592" t="s">
        <v>105</v>
      </c>
      <c r="B592" t="s">
        <v>60</v>
      </c>
      <c r="C592" t="s">
        <v>52</v>
      </c>
      <c r="D592" t="s">
        <v>27</v>
      </c>
      <c r="E592" s="2">
        <v>45</v>
      </c>
      <c r="F592" t="s">
        <v>34</v>
      </c>
      <c r="G592" t="s">
        <v>18</v>
      </c>
      <c r="H592" s="2">
        <v>73</v>
      </c>
      <c r="I592" s="3">
        <v>7162</v>
      </c>
      <c r="J592" s="4">
        <v>17.8</v>
      </c>
      <c r="K592" s="2">
        <v>98</v>
      </c>
      <c r="L592" s="2">
        <v>4</v>
      </c>
      <c r="M592" s="3">
        <v>18176</v>
      </c>
      <c r="N592" t="str" cm="1">
        <f t="array" ref="N592">_xlfn.IFS(Table1_3[[#This Row],[Patient Satisfaction Score]]&gt;=83,"High",H592&lt;=75,"Low",TRUE,"Moderate")</f>
        <v>Low</v>
      </c>
      <c r="O592" t="str">
        <f t="shared" si="9"/>
        <v>Adult</v>
      </c>
    </row>
    <row r="593" spans="1:15">
      <c r="A593" t="s">
        <v>1052</v>
      </c>
      <c r="B593" t="s">
        <v>95</v>
      </c>
      <c r="C593" t="s">
        <v>52</v>
      </c>
      <c r="D593" t="s">
        <v>27</v>
      </c>
      <c r="E593" s="2">
        <v>45</v>
      </c>
      <c r="F593" t="s">
        <v>17</v>
      </c>
      <c r="G593" t="s">
        <v>40</v>
      </c>
      <c r="H593" s="2">
        <v>80</v>
      </c>
      <c r="I593" s="3">
        <v>6955</v>
      </c>
      <c r="J593" s="4">
        <v>11.8</v>
      </c>
      <c r="K593" s="2">
        <v>62</v>
      </c>
      <c r="L593" s="2">
        <v>4</v>
      </c>
      <c r="M593" s="3">
        <v>28795</v>
      </c>
      <c r="N593" t="str" cm="1">
        <f t="array" ref="N593">_xlfn.IFS(Table1_3[[#This Row],[Patient Satisfaction Score]]&gt;=83,"High",H593&lt;=75,"Low",TRUE,"Moderate")</f>
        <v>Moderate</v>
      </c>
      <c r="O593" t="str">
        <f t="shared" si="9"/>
        <v>Adult</v>
      </c>
    </row>
    <row r="594" spans="1:15">
      <c r="A594" t="s">
        <v>470</v>
      </c>
      <c r="B594" t="s">
        <v>129</v>
      </c>
      <c r="C594" t="s">
        <v>21</v>
      </c>
      <c r="D594" t="s">
        <v>16</v>
      </c>
      <c r="E594" s="2">
        <v>45</v>
      </c>
      <c r="F594" t="s">
        <v>34</v>
      </c>
      <c r="G594" t="s">
        <v>40</v>
      </c>
      <c r="H594" s="2">
        <v>77</v>
      </c>
      <c r="I594" s="3">
        <v>3211</v>
      </c>
      <c r="J594" s="4">
        <v>13.81</v>
      </c>
      <c r="K594" s="2">
        <v>101</v>
      </c>
      <c r="L594" s="2">
        <v>3</v>
      </c>
      <c r="M594" s="3">
        <v>11140</v>
      </c>
      <c r="N594" t="str" cm="1">
        <f t="array" ref="N594">_xlfn.IFS(Table1_3[[#This Row],[Patient Satisfaction Score]]&gt;=83,"High",H594&lt;=75,"Low",TRUE,"Moderate")</f>
        <v>Moderate</v>
      </c>
      <c r="O594" t="str">
        <f t="shared" si="9"/>
        <v>Adult</v>
      </c>
    </row>
    <row r="595" spans="1:15">
      <c r="A595" t="s">
        <v>948</v>
      </c>
      <c r="B595" t="s">
        <v>143</v>
      </c>
      <c r="C595" t="s">
        <v>21</v>
      </c>
      <c r="D595" t="s">
        <v>16</v>
      </c>
      <c r="E595" s="2">
        <v>45</v>
      </c>
      <c r="F595" t="s">
        <v>17</v>
      </c>
      <c r="G595" t="s">
        <v>70</v>
      </c>
      <c r="H595" s="2">
        <v>84</v>
      </c>
      <c r="I595" s="3">
        <v>8278</v>
      </c>
      <c r="J595" s="4">
        <v>15.5</v>
      </c>
      <c r="K595" s="2">
        <v>62</v>
      </c>
      <c r="L595" s="2">
        <v>5</v>
      </c>
      <c r="M595" s="3">
        <v>23980</v>
      </c>
      <c r="N595" t="str" cm="1">
        <f t="array" ref="N595">_xlfn.IFS(Table1_3[[#This Row],[Patient Satisfaction Score]]&gt;=83,"High",H595&lt;=75,"Low",TRUE,"Moderate")</f>
        <v>High</v>
      </c>
      <c r="O595" t="str">
        <f t="shared" si="9"/>
        <v>Adult</v>
      </c>
    </row>
    <row r="596" spans="1:15">
      <c r="A596" t="s">
        <v>328</v>
      </c>
      <c r="B596" t="s">
        <v>68</v>
      </c>
      <c r="C596" t="s">
        <v>45</v>
      </c>
      <c r="D596" t="s">
        <v>27</v>
      </c>
      <c r="E596" s="2">
        <v>45</v>
      </c>
      <c r="F596" t="s">
        <v>34</v>
      </c>
      <c r="G596" t="s">
        <v>70</v>
      </c>
      <c r="H596" s="2">
        <v>66</v>
      </c>
      <c r="I596" s="3">
        <v>7879</v>
      </c>
      <c r="J596" s="4">
        <v>17.78</v>
      </c>
      <c r="K596" s="2">
        <v>128</v>
      </c>
      <c r="L596" s="2">
        <v>3</v>
      </c>
      <c r="M596" s="3">
        <v>32727</v>
      </c>
      <c r="N596" t="str" cm="1">
        <f t="array" ref="N596">_xlfn.IFS(Table1_3[[#This Row],[Patient Satisfaction Score]]&gt;=83,"High",H596&lt;=75,"Low",TRUE,"Moderate")</f>
        <v>Low</v>
      </c>
      <c r="O596" t="str">
        <f t="shared" si="9"/>
        <v>Adult</v>
      </c>
    </row>
    <row r="597" spans="1:15">
      <c r="A597" t="s">
        <v>613</v>
      </c>
      <c r="B597" t="s">
        <v>56</v>
      </c>
      <c r="C597" t="s">
        <v>45</v>
      </c>
      <c r="D597" t="s">
        <v>27</v>
      </c>
      <c r="E597" s="2">
        <v>45</v>
      </c>
      <c r="F597" t="s">
        <v>34</v>
      </c>
      <c r="G597" t="s">
        <v>40</v>
      </c>
      <c r="H597" s="2">
        <v>68</v>
      </c>
      <c r="I597" s="3">
        <v>8890</v>
      </c>
      <c r="J597" s="4">
        <v>17.89</v>
      </c>
      <c r="K597" s="2">
        <v>89</v>
      </c>
      <c r="L597" s="2">
        <v>3</v>
      </c>
      <c r="M597" s="3">
        <v>38421</v>
      </c>
      <c r="N597" t="str" cm="1">
        <f t="array" ref="N597">_xlfn.IFS(Table1_3[[#This Row],[Patient Satisfaction Score]]&gt;=83,"High",H597&lt;=75,"Low",TRUE,"Moderate")</f>
        <v>Low</v>
      </c>
      <c r="O597" t="str">
        <f t="shared" si="9"/>
        <v>Adult</v>
      </c>
    </row>
    <row r="598" spans="1:15">
      <c r="A598" t="s">
        <v>652</v>
      </c>
      <c r="B598" t="s">
        <v>168</v>
      </c>
      <c r="C598" t="s">
        <v>45</v>
      </c>
      <c r="D598" t="s">
        <v>27</v>
      </c>
      <c r="E598" s="2">
        <v>45</v>
      </c>
      <c r="F598" t="s">
        <v>22</v>
      </c>
      <c r="G598" t="s">
        <v>23</v>
      </c>
      <c r="H598" s="2">
        <v>74</v>
      </c>
      <c r="I598" s="3">
        <v>7905</v>
      </c>
      <c r="J598" s="4">
        <v>18.45</v>
      </c>
      <c r="K598" s="2">
        <v>110</v>
      </c>
      <c r="L598" s="2">
        <v>3</v>
      </c>
      <c r="M598" s="3">
        <v>35378</v>
      </c>
      <c r="N598" t="str" cm="1">
        <f t="array" ref="N598">_xlfn.IFS(Table1_3[[#This Row],[Patient Satisfaction Score]]&gt;=83,"High",H598&lt;=75,"Low",TRUE,"Moderate")</f>
        <v>Low</v>
      </c>
      <c r="O598" t="str">
        <f t="shared" si="9"/>
        <v>Adult</v>
      </c>
    </row>
    <row r="599" spans="1:15">
      <c r="A599" t="s">
        <v>918</v>
      </c>
      <c r="B599" t="s">
        <v>56</v>
      </c>
      <c r="C599" t="s">
        <v>45</v>
      </c>
      <c r="D599" t="s">
        <v>27</v>
      </c>
      <c r="E599" s="2">
        <v>45</v>
      </c>
      <c r="F599" t="s">
        <v>17</v>
      </c>
      <c r="G599" t="s">
        <v>18</v>
      </c>
      <c r="H599" s="2">
        <v>77</v>
      </c>
      <c r="I599" s="3">
        <v>7233</v>
      </c>
      <c r="J599" s="4">
        <v>11.38</v>
      </c>
      <c r="K599" s="2">
        <v>105</v>
      </c>
      <c r="L599" s="2">
        <v>4</v>
      </c>
      <c r="M599" s="3">
        <v>29290</v>
      </c>
      <c r="N599" t="str" cm="1">
        <f t="array" ref="N599">_xlfn.IFS(Table1_3[[#This Row],[Patient Satisfaction Score]]&gt;=83,"High",H599&lt;=75,"Low",TRUE,"Moderate")</f>
        <v>Moderate</v>
      </c>
      <c r="O599" t="str">
        <f t="shared" si="9"/>
        <v>Adult</v>
      </c>
    </row>
    <row r="600" spans="1:15">
      <c r="A600" t="s">
        <v>949</v>
      </c>
      <c r="B600" t="s">
        <v>187</v>
      </c>
      <c r="C600" t="s">
        <v>30</v>
      </c>
      <c r="D600" t="s">
        <v>27</v>
      </c>
      <c r="E600" s="2">
        <v>45</v>
      </c>
      <c r="F600" t="s">
        <v>34</v>
      </c>
      <c r="G600" t="s">
        <v>18</v>
      </c>
      <c r="H600" s="2">
        <v>63</v>
      </c>
      <c r="I600" s="3">
        <v>3423</v>
      </c>
      <c r="J600" s="4">
        <v>16.489999999999998</v>
      </c>
      <c r="K600" s="2">
        <v>146</v>
      </c>
      <c r="L600" s="2">
        <v>3</v>
      </c>
      <c r="M600" s="3">
        <v>17498</v>
      </c>
      <c r="N600" t="str" cm="1">
        <f t="array" ref="N600">_xlfn.IFS(Table1_3[[#This Row],[Patient Satisfaction Score]]&gt;=83,"High",H600&lt;=75,"Low",TRUE,"Moderate")</f>
        <v>Low</v>
      </c>
      <c r="O600" t="str">
        <f t="shared" si="9"/>
        <v>Adult</v>
      </c>
    </row>
    <row r="601" spans="1:15">
      <c r="A601" t="s">
        <v>382</v>
      </c>
      <c r="B601" t="s">
        <v>88</v>
      </c>
      <c r="C601" t="s">
        <v>15</v>
      </c>
      <c r="D601" t="s">
        <v>16</v>
      </c>
      <c r="E601" s="2">
        <v>45</v>
      </c>
      <c r="F601" t="s">
        <v>17</v>
      </c>
      <c r="G601" t="s">
        <v>40</v>
      </c>
      <c r="H601" s="2">
        <v>75</v>
      </c>
      <c r="I601" s="3">
        <v>5235</v>
      </c>
      <c r="J601" s="4">
        <v>13.53</v>
      </c>
      <c r="K601" s="2">
        <v>89</v>
      </c>
      <c r="L601" s="2">
        <v>4</v>
      </c>
      <c r="M601" s="3">
        <v>24491</v>
      </c>
      <c r="N601" t="str" cm="1">
        <f t="array" ref="N601">_xlfn.IFS(Table1_3[[#This Row],[Patient Satisfaction Score]]&gt;=83,"High",H601&lt;=75,"Low",TRUE,"Moderate")</f>
        <v>Low</v>
      </c>
      <c r="O601" t="str">
        <f t="shared" si="9"/>
        <v>Adult</v>
      </c>
    </row>
    <row r="602" spans="1:15">
      <c r="A602" t="s">
        <v>938</v>
      </c>
      <c r="B602" t="s">
        <v>14</v>
      </c>
      <c r="C602" t="s">
        <v>15</v>
      </c>
      <c r="D602" t="s">
        <v>27</v>
      </c>
      <c r="E602" s="2">
        <v>45</v>
      </c>
      <c r="F602" t="s">
        <v>17</v>
      </c>
      <c r="G602" t="s">
        <v>31</v>
      </c>
      <c r="H602" s="2">
        <v>78</v>
      </c>
      <c r="I602" s="3">
        <v>6901</v>
      </c>
      <c r="J602" s="4">
        <v>5.91</v>
      </c>
      <c r="K602" s="2">
        <v>106</v>
      </c>
      <c r="L602" s="2">
        <v>4</v>
      </c>
      <c r="M602" s="3">
        <v>25536</v>
      </c>
      <c r="N602" t="str" cm="1">
        <f t="array" ref="N602">_xlfn.IFS(Table1_3[[#This Row],[Patient Satisfaction Score]]&gt;=83,"High",H602&lt;=75,"Low",TRUE,"Moderate")</f>
        <v>Moderate</v>
      </c>
      <c r="O602" t="str">
        <f t="shared" si="9"/>
        <v>Adult</v>
      </c>
    </row>
    <row r="603" spans="1:15">
      <c r="A603" t="s">
        <v>594</v>
      </c>
      <c r="B603" t="s">
        <v>25</v>
      </c>
      <c r="C603" t="s">
        <v>26</v>
      </c>
      <c r="D603" t="s">
        <v>27</v>
      </c>
      <c r="E603" s="2">
        <v>46</v>
      </c>
      <c r="F603" t="s">
        <v>34</v>
      </c>
      <c r="G603" t="s">
        <v>70</v>
      </c>
      <c r="H603" s="2">
        <v>98</v>
      </c>
      <c r="I603" s="3">
        <v>2152</v>
      </c>
      <c r="J603" s="4">
        <v>1.33</v>
      </c>
      <c r="K603" s="2">
        <v>19</v>
      </c>
      <c r="L603" s="2">
        <v>5</v>
      </c>
      <c r="M603" s="3">
        <v>5484</v>
      </c>
      <c r="N603" t="str" cm="1">
        <f t="array" ref="N603">_xlfn.IFS(Table1_3[[#This Row],[Patient Satisfaction Score]]&gt;=83,"High",H603&lt;=75,"Low",TRUE,"Moderate")</f>
        <v>High</v>
      </c>
      <c r="O603" t="str">
        <f t="shared" si="9"/>
        <v>Adult</v>
      </c>
    </row>
    <row r="604" spans="1:15">
      <c r="A604" t="s">
        <v>748</v>
      </c>
      <c r="B604" t="s">
        <v>103</v>
      </c>
      <c r="C604" t="s">
        <v>26</v>
      </c>
      <c r="D604" t="s">
        <v>16</v>
      </c>
      <c r="E604" s="2">
        <v>46</v>
      </c>
      <c r="F604" t="s">
        <v>22</v>
      </c>
      <c r="G604" t="s">
        <v>18</v>
      </c>
      <c r="H604" s="2">
        <v>90</v>
      </c>
      <c r="I604" s="3">
        <v>3073</v>
      </c>
      <c r="J604" s="4">
        <v>0</v>
      </c>
      <c r="K604" s="2">
        <v>38</v>
      </c>
      <c r="L604" s="2">
        <v>4</v>
      </c>
      <c r="M604" s="3">
        <v>15405</v>
      </c>
      <c r="N604" t="str" cm="1">
        <f t="array" ref="N604">_xlfn.IFS(Table1_3[[#This Row],[Patient Satisfaction Score]]&gt;=83,"High",H604&lt;=75,"Low",TRUE,"Moderate")</f>
        <v>High</v>
      </c>
      <c r="O604" t="str">
        <f t="shared" si="9"/>
        <v>Adult</v>
      </c>
    </row>
    <row r="605" spans="1:15">
      <c r="A605" t="s">
        <v>237</v>
      </c>
      <c r="B605" t="s">
        <v>122</v>
      </c>
      <c r="C605" t="s">
        <v>48</v>
      </c>
      <c r="D605" t="s">
        <v>27</v>
      </c>
      <c r="E605" s="2">
        <v>46</v>
      </c>
      <c r="F605" t="s">
        <v>17</v>
      </c>
      <c r="G605" t="s">
        <v>40</v>
      </c>
      <c r="H605" s="2">
        <v>71</v>
      </c>
      <c r="I605" s="3">
        <v>5454</v>
      </c>
      <c r="J605" s="4">
        <v>11.92</v>
      </c>
      <c r="K605" s="2">
        <v>97</v>
      </c>
      <c r="L605" s="2">
        <v>3</v>
      </c>
      <c r="M605" s="3">
        <v>21248</v>
      </c>
      <c r="N605" t="str" cm="1">
        <f t="array" ref="N605">_xlfn.IFS(Table1_3[[#This Row],[Patient Satisfaction Score]]&gt;=83,"High",H605&lt;=75,"Low",TRUE,"Moderate")</f>
        <v>Low</v>
      </c>
      <c r="O605" t="str">
        <f t="shared" si="9"/>
        <v>Adult</v>
      </c>
    </row>
    <row r="606" spans="1:15">
      <c r="A606" t="s">
        <v>727</v>
      </c>
      <c r="B606" t="s">
        <v>47</v>
      </c>
      <c r="C606" t="s">
        <v>48</v>
      </c>
      <c r="D606" t="s">
        <v>16</v>
      </c>
      <c r="E606" s="2">
        <v>46</v>
      </c>
      <c r="F606" t="s">
        <v>22</v>
      </c>
      <c r="G606" t="s">
        <v>49</v>
      </c>
      <c r="H606" s="2">
        <v>80</v>
      </c>
      <c r="I606" s="3">
        <v>6624</v>
      </c>
      <c r="J606" s="4">
        <v>8.73</v>
      </c>
      <c r="K606" s="2">
        <v>65</v>
      </c>
      <c r="L606" s="2">
        <v>4</v>
      </c>
      <c r="M606" s="3">
        <v>28021</v>
      </c>
      <c r="N606" t="str" cm="1">
        <f t="array" ref="N606">_xlfn.IFS(Table1_3[[#This Row],[Patient Satisfaction Score]]&gt;=83,"High",H606&lt;=75,"Low",TRUE,"Moderate")</f>
        <v>Moderate</v>
      </c>
      <c r="O606" t="str">
        <f t="shared" si="9"/>
        <v>Adult</v>
      </c>
    </row>
    <row r="607" spans="1:15">
      <c r="A607" t="s">
        <v>337</v>
      </c>
      <c r="B607" t="s">
        <v>185</v>
      </c>
      <c r="C607" t="s">
        <v>52</v>
      </c>
      <c r="D607" t="s">
        <v>16</v>
      </c>
      <c r="E607" s="2">
        <v>46</v>
      </c>
      <c r="F607" t="s">
        <v>22</v>
      </c>
      <c r="G607" t="s">
        <v>49</v>
      </c>
      <c r="H607" s="2">
        <v>95</v>
      </c>
      <c r="I607" s="3">
        <v>5284</v>
      </c>
      <c r="J607" s="4">
        <v>11.42</v>
      </c>
      <c r="K607" s="2">
        <v>65</v>
      </c>
      <c r="L607" s="2">
        <v>5</v>
      </c>
      <c r="M607" s="3">
        <v>14018</v>
      </c>
      <c r="N607" t="str" cm="1">
        <f t="array" ref="N607">_xlfn.IFS(Table1_3[[#This Row],[Patient Satisfaction Score]]&gt;=83,"High",H607&lt;=75,"Low",TRUE,"Moderate")</f>
        <v>High</v>
      </c>
      <c r="O607" t="str">
        <f t="shared" si="9"/>
        <v>Adult</v>
      </c>
    </row>
    <row r="608" spans="1:15">
      <c r="A608" t="s">
        <v>983</v>
      </c>
      <c r="B608" t="s">
        <v>51</v>
      </c>
      <c r="C608" t="s">
        <v>52</v>
      </c>
      <c r="D608" t="s">
        <v>27</v>
      </c>
      <c r="E608" s="2">
        <v>46</v>
      </c>
      <c r="F608" t="s">
        <v>22</v>
      </c>
      <c r="G608" t="s">
        <v>23</v>
      </c>
      <c r="H608" s="2">
        <v>82</v>
      </c>
      <c r="I608" s="3">
        <v>11287</v>
      </c>
      <c r="J608" s="4">
        <v>16.329999999999998</v>
      </c>
      <c r="K608" s="2">
        <v>99</v>
      </c>
      <c r="L608" s="2">
        <v>4</v>
      </c>
      <c r="M608" s="3">
        <v>29986</v>
      </c>
      <c r="N608" t="str" cm="1">
        <f t="array" ref="N608">_xlfn.IFS(Table1_3[[#This Row],[Patient Satisfaction Score]]&gt;=83,"High",H608&lt;=75,"Low",TRUE,"Moderate")</f>
        <v>Moderate</v>
      </c>
      <c r="O608" t="str">
        <f t="shared" si="9"/>
        <v>Adult</v>
      </c>
    </row>
    <row r="609" spans="1:15">
      <c r="A609" t="s">
        <v>271</v>
      </c>
      <c r="B609" t="s">
        <v>20</v>
      </c>
      <c r="C609" t="s">
        <v>21</v>
      </c>
      <c r="D609" t="s">
        <v>27</v>
      </c>
      <c r="E609" s="2">
        <v>46</v>
      </c>
      <c r="F609" t="s">
        <v>34</v>
      </c>
      <c r="G609" t="s">
        <v>40</v>
      </c>
      <c r="H609" s="2">
        <v>73</v>
      </c>
      <c r="I609" s="3">
        <v>6202</v>
      </c>
      <c r="J609" s="4">
        <v>15.36</v>
      </c>
      <c r="K609" s="2">
        <v>124</v>
      </c>
      <c r="L609" s="2">
        <v>3</v>
      </c>
      <c r="M609" s="3">
        <v>17069</v>
      </c>
      <c r="N609" t="str" cm="1">
        <f t="array" ref="N609">_xlfn.IFS(Table1_3[[#This Row],[Patient Satisfaction Score]]&gt;=83,"High",H609&lt;=75,"Low",TRUE,"Moderate")</f>
        <v>Low</v>
      </c>
      <c r="O609" t="str">
        <f t="shared" si="9"/>
        <v>Adult</v>
      </c>
    </row>
    <row r="610" spans="1:15">
      <c r="A610" t="s">
        <v>324</v>
      </c>
      <c r="B610" t="s">
        <v>20</v>
      </c>
      <c r="C610" t="s">
        <v>21</v>
      </c>
      <c r="D610" t="s">
        <v>27</v>
      </c>
      <c r="E610" s="2">
        <v>46</v>
      </c>
      <c r="F610" t="s">
        <v>22</v>
      </c>
      <c r="G610" t="s">
        <v>31</v>
      </c>
      <c r="H610" s="2">
        <v>78</v>
      </c>
      <c r="I610" s="3">
        <v>5294</v>
      </c>
      <c r="J610" s="4">
        <v>15.95</v>
      </c>
      <c r="K610" s="2">
        <v>113</v>
      </c>
      <c r="L610" s="2">
        <v>4</v>
      </c>
      <c r="M610" s="3">
        <v>29521</v>
      </c>
      <c r="N610" t="str" cm="1">
        <f t="array" ref="N610">_xlfn.IFS(Table1_3[[#This Row],[Patient Satisfaction Score]]&gt;=83,"High",H610&lt;=75,"Low",TRUE,"Moderate")</f>
        <v>Moderate</v>
      </c>
      <c r="O610" t="str">
        <f t="shared" si="9"/>
        <v>Adult</v>
      </c>
    </row>
    <row r="611" spans="1:15">
      <c r="A611" t="s">
        <v>363</v>
      </c>
      <c r="B611" t="s">
        <v>36</v>
      </c>
      <c r="C611" t="s">
        <v>21</v>
      </c>
      <c r="D611" t="s">
        <v>27</v>
      </c>
      <c r="E611" s="2">
        <v>46</v>
      </c>
      <c r="F611" t="s">
        <v>22</v>
      </c>
      <c r="G611" t="s">
        <v>49</v>
      </c>
      <c r="H611" s="2">
        <v>70</v>
      </c>
      <c r="I611" s="3">
        <v>4351</v>
      </c>
      <c r="J611" s="4">
        <v>19.809999999999999</v>
      </c>
      <c r="K611" s="2">
        <v>90</v>
      </c>
      <c r="L611" s="2">
        <v>4</v>
      </c>
      <c r="M611" s="3">
        <v>24410</v>
      </c>
      <c r="N611" t="str" cm="1">
        <f t="array" ref="N611">_xlfn.IFS(Table1_3[[#This Row],[Patient Satisfaction Score]]&gt;=83,"High",H611&lt;=75,"Low",TRUE,"Moderate")</f>
        <v>Low</v>
      </c>
      <c r="O611" t="str">
        <f t="shared" si="9"/>
        <v>Adult</v>
      </c>
    </row>
    <row r="612" spans="1:15">
      <c r="A612" t="s">
        <v>207</v>
      </c>
      <c r="B612" t="s">
        <v>168</v>
      </c>
      <c r="C612" t="s">
        <v>45</v>
      </c>
      <c r="D612" t="s">
        <v>16</v>
      </c>
      <c r="E612" s="2">
        <v>46</v>
      </c>
      <c r="F612" t="s">
        <v>22</v>
      </c>
      <c r="G612" t="s">
        <v>40</v>
      </c>
      <c r="H612" s="2">
        <v>78</v>
      </c>
      <c r="I612" s="3">
        <v>10710</v>
      </c>
      <c r="J612" s="4">
        <v>15.63</v>
      </c>
      <c r="K612" s="2">
        <v>90</v>
      </c>
      <c r="L612" s="2">
        <v>4</v>
      </c>
      <c r="M612" s="3">
        <v>33729</v>
      </c>
      <c r="N612" t="str" cm="1">
        <f t="array" ref="N612">_xlfn.IFS(Table1_3[[#This Row],[Patient Satisfaction Score]]&gt;=83,"High",H612&lt;=75,"Low",TRUE,"Moderate")</f>
        <v>Moderate</v>
      </c>
      <c r="O612" t="str">
        <f t="shared" si="9"/>
        <v>Adult</v>
      </c>
    </row>
    <row r="613" spans="1:15">
      <c r="A613" t="s">
        <v>563</v>
      </c>
      <c r="B613" t="s">
        <v>56</v>
      </c>
      <c r="C613" t="s">
        <v>45</v>
      </c>
      <c r="D613" t="s">
        <v>16</v>
      </c>
      <c r="E613" s="2">
        <v>46</v>
      </c>
      <c r="F613" t="s">
        <v>34</v>
      </c>
      <c r="G613" t="s">
        <v>40</v>
      </c>
      <c r="H613" s="2">
        <v>67</v>
      </c>
      <c r="I613" s="3">
        <v>10792</v>
      </c>
      <c r="J613" s="4">
        <v>18.02</v>
      </c>
      <c r="K613" s="2">
        <v>81</v>
      </c>
      <c r="L613" s="2">
        <v>4</v>
      </c>
      <c r="M613" s="3">
        <v>57311</v>
      </c>
      <c r="N613" t="str" cm="1">
        <f t="array" ref="N613">_xlfn.IFS(Table1_3[[#This Row],[Patient Satisfaction Score]]&gt;=83,"High",H613&lt;=75,"Low",TRUE,"Moderate")</f>
        <v>Low</v>
      </c>
      <c r="O613" t="str">
        <f t="shared" si="9"/>
        <v>Adult</v>
      </c>
    </row>
    <row r="614" spans="1:15">
      <c r="A614" t="s">
        <v>910</v>
      </c>
      <c r="B614" t="s">
        <v>168</v>
      </c>
      <c r="C614" t="s">
        <v>45</v>
      </c>
      <c r="D614" t="s">
        <v>16</v>
      </c>
      <c r="E614" s="2">
        <v>46</v>
      </c>
      <c r="F614" t="s">
        <v>17</v>
      </c>
      <c r="G614" t="s">
        <v>70</v>
      </c>
      <c r="H614" s="2">
        <v>78</v>
      </c>
      <c r="I614" s="3">
        <v>10542</v>
      </c>
      <c r="J614" s="4">
        <v>18.59</v>
      </c>
      <c r="K614" s="2">
        <v>74</v>
      </c>
      <c r="L614" s="2">
        <v>4</v>
      </c>
      <c r="M614" s="3">
        <v>57842</v>
      </c>
      <c r="N614" t="str" cm="1">
        <f t="array" ref="N614">_xlfn.IFS(Table1_3[[#This Row],[Patient Satisfaction Score]]&gt;=83,"High",H614&lt;=75,"Low",TRUE,"Moderate")</f>
        <v>Moderate</v>
      </c>
      <c r="O614" t="str">
        <f t="shared" si="9"/>
        <v>Adult</v>
      </c>
    </row>
    <row r="615" spans="1:15">
      <c r="A615" t="s">
        <v>951</v>
      </c>
      <c r="B615" t="s">
        <v>68</v>
      </c>
      <c r="C615" t="s">
        <v>45</v>
      </c>
      <c r="D615" t="s">
        <v>27</v>
      </c>
      <c r="E615" s="2">
        <v>46</v>
      </c>
      <c r="F615" t="s">
        <v>34</v>
      </c>
      <c r="G615" t="s">
        <v>49</v>
      </c>
      <c r="H615" s="2">
        <v>75</v>
      </c>
      <c r="I615" s="3">
        <v>7504</v>
      </c>
      <c r="J615" s="4">
        <v>24.05</v>
      </c>
      <c r="K615" s="2">
        <v>74</v>
      </c>
      <c r="L615" s="2">
        <v>4</v>
      </c>
      <c r="M615" s="3">
        <v>20708</v>
      </c>
      <c r="N615" t="str" cm="1">
        <f t="array" ref="N615">_xlfn.IFS(Table1_3[[#This Row],[Patient Satisfaction Score]]&gt;=83,"High",H615&lt;=75,"Low",TRUE,"Moderate")</f>
        <v>Low</v>
      </c>
      <c r="O615" t="str">
        <f t="shared" si="9"/>
        <v>Adult</v>
      </c>
    </row>
    <row r="616" spans="1:15">
      <c r="A616" t="s">
        <v>288</v>
      </c>
      <c r="B616" t="s">
        <v>29</v>
      </c>
      <c r="C616" t="s">
        <v>30</v>
      </c>
      <c r="D616" t="s">
        <v>16</v>
      </c>
      <c r="E616" s="2">
        <v>46</v>
      </c>
      <c r="F616" t="s">
        <v>34</v>
      </c>
      <c r="G616" t="s">
        <v>18</v>
      </c>
      <c r="H616" s="2">
        <v>65</v>
      </c>
      <c r="I616" s="3">
        <v>2700</v>
      </c>
      <c r="J616" s="4">
        <v>17.23</v>
      </c>
      <c r="K616" s="2">
        <v>139</v>
      </c>
      <c r="L616" s="2">
        <v>3</v>
      </c>
      <c r="M616" s="3">
        <v>7587</v>
      </c>
      <c r="N616" t="str" cm="1">
        <f t="array" ref="N616">_xlfn.IFS(Table1_3[[#This Row],[Patient Satisfaction Score]]&gt;=83,"High",H616&lt;=75,"Low",TRUE,"Moderate")</f>
        <v>Low</v>
      </c>
      <c r="O616" t="str">
        <f t="shared" si="9"/>
        <v>Adult</v>
      </c>
    </row>
    <row r="617" spans="1:15">
      <c r="A617" t="s">
        <v>496</v>
      </c>
      <c r="B617" t="s">
        <v>64</v>
      </c>
      <c r="C617" t="s">
        <v>30</v>
      </c>
      <c r="D617" t="s">
        <v>16</v>
      </c>
      <c r="E617" s="2">
        <v>46</v>
      </c>
      <c r="F617" t="s">
        <v>17</v>
      </c>
      <c r="G617" t="s">
        <v>40</v>
      </c>
      <c r="H617" s="2">
        <v>79</v>
      </c>
      <c r="I617" s="3">
        <v>3418</v>
      </c>
      <c r="J617" s="4">
        <v>18.86</v>
      </c>
      <c r="K617" s="2">
        <v>115</v>
      </c>
      <c r="L617" s="2">
        <v>4</v>
      </c>
      <c r="M617" s="3">
        <v>12343</v>
      </c>
      <c r="N617" t="str" cm="1">
        <f t="array" ref="N617">_xlfn.IFS(Table1_3[[#This Row],[Patient Satisfaction Score]]&gt;=83,"High",H617&lt;=75,"Low",TRUE,"Moderate")</f>
        <v>Moderate</v>
      </c>
      <c r="O617" t="str">
        <f t="shared" si="9"/>
        <v>Adult</v>
      </c>
    </row>
    <row r="618" spans="1:15">
      <c r="A618" t="s">
        <v>962</v>
      </c>
      <c r="B618" t="s">
        <v>29</v>
      </c>
      <c r="C618" t="s">
        <v>30</v>
      </c>
      <c r="D618" t="s">
        <v>16</v>
      </c>
      <c r="E618" s="2">
        <v>46</v>
      </c>
      <c r="F618" t="s">
        <v>34</v>
      </c>
      <c r="G618" t="s">
        <v>49</v>
      </c>
      <c r="H618" s="2">
        <v>69</v>
      </c>
      <c r="I618" s="3">
        <v>5349</v>
      </c>
      <c r="J618" s="4">
        <v>20.39</v>
      </c>
      <c r="K618" s="2">
        <v>130</v>
      </c>
      <c r="L618" s="2">
        <v>4</v>
      </c>
      <c r="M618" s="3">
        <v>24884</v>
      </c>
      <c r="N618" t="str" cm="1">
        <f t="array" ref="N618">_xlfn.IFS(Table1_3[[#This Row],[Patient Satisfaction Score]]&gt;=83,"High",H618&lt;=75,"Low",TRUE,"Moderate")</f>
        <v>Low</v>
      </c>
      <c r="O618" t="str">
        <f t="shared" si="9"/>
        <v>Adult</v>
      </c>
    </row>
    <row r="619" spans="1:15">
      <c r="A619" t="s">
        <v>98</v>
      </c>
      <c r="B619" t="s">
        <v>78</v>
      </c>
      <c r="C619" t="s">
        <v>15</v>
      </c>
      <c r="D619" t="s">
        <v>27</v>
      </c>
      <c r="E619" s="2">
        <v>46</v>
      </c>
      <c r="F619" t="s">
        <v>22</v>
      </c>
      <c r="G619" t="s">
        <v>70</v>
      </c>
      <c r="H619" s="2">
        <v>68</v>
      </c>
      <c r="I619" s="3">
        <v>7566</v>
      </c>
      <c r="J619" s="4">
        <v>19.64</v>
      </c>
      <c r="K619" s="2">
        <v>131</v>
      </c>
      <c r="L619" s="2">
        <v>3</v>
      </c>
      <c r="M619" s="3">
        <v>34426</v>
      </c>
      <c r="N619" t="str" cm="1">
        <f t="array" ref="N619">_xlfn.IFS(Table1_3[[#This Row],[Patient Satisfaction Score]]&gt;=83,"High",H619&lt;=75,"Low",TRUE,"Moderate")</f>
        <v>Low</v>
      </c>
      <c r="O619" t="str">
        <f t="shared" si="9"/>
        <v>Adult</v>
      </c>
    </row>
    <row r="620" spans="1:15">
      <c r="A620" t="s">
        <v>141</v>
      </c>
      <c r="B620" t="s">
        <v>80</v>
      </c>
      <c r="C620" t="s">
        <v>15</v>
      </c>
      <c r="D620" t="s">
        <v>16</v>
      </c>
      <c r="E620" s="2">
        <v>46</v>
      </c>
      <c r="F620" t="s">
        <v>34</v>
      </c>
      <c r="G620" t="s">
        <v>49</v>
      </c>
      <c r="H620" s="2">
        <v>70</v>
      </c>
      <c r="I620" s="3">
        <v>4662</v>
      </c>
      <c r="J620" s="4">
        <v>18.170000000000002</v>
      </c>
      <c r="K620" s="2">
        <v>100</v>
      </c>
      <c r="L620" s="2">
        <v>4</v>
      </c>
      <c r="M620" s="3">
        <v>16936</v>
      </c>
      <c r="N620" t="str" cm="1">
        <f t="array" ref="N620">_xlfn.IFS(Table1_3[[#This Row],[Patient Satisfaction Score]]&gt;=83,"High",H620&lt;=75,"Low",TRUE,"Moderate")</f>
        <v>Low</v>
      </c>
      <c r="O620" t="str">
        <f t="shared" si="9"/>
        <v>Adult</v>
      </c>
    </row>
    <row r="621" spans="1:15">
      <c r="A621" t="s">
        <v>523</v>
      </c>
      <c r="B621" t="s">
        <v>78</v>
      </c>
      <c r="C621" t="s">
        <v>15</v>
      </c>
      <c r="D621" t="s">
        <v>27</v>
      </c>
      <c r="E621" s="2">
        <v>46</v>
      </c>
      <c r="F621" t="s">
        <v>22</v>
      </c>
      <c r="G621" t="s">
        <v>40</v>
      </c>
      <c r="H621" s="2">
        <v>77</v>
      </c>
      <c r="I621" s="3">
        <v>8795</v>
      </c>
      <c r="J621" s="4">
        <v>20.350000000000001</v>
      </c>
      <c r="K621" s="2">
        <v>78</v>
      </c>
      <c r="L621" s="2">
        <v>3</v>
      </c>
      <c r="M621" s="3">
        <v>28842</v>
      </c>
      <c r="N621" t="str" cm="1">
        <f t="array" ref="N621">_xlfn.IFS(Table1_3[[#This Row],[Patient Satisfaction Score]]&gt;=83,"High",H621&lt;=75,"Low",TRUE,"Moderate")</f>
        <v>Moderate</v>
      </c>
      <c r="O621" t="str">
        <f t="shared" si="9"/>
        <v>Adult</v>
      </c>
    </row>
    <row r="622" spans="1:15">
      <c r="A622" t="s">
        <v>723</v>
      </c>
      <c r="B622" t="s">
        <v>78</v>
      </c>
      <c r="C622" t="s">
        <v>15</v>
      </c>
      <c r="D622" t="s">
        <v>16</v>
      </c>
      <c r="E622" s="2">
        <v>46</v>
      </c>
      <c r="F622" t="s">
        <v>17</v>
      </c>
      <c r="G622" t="s">
        <v>18</v>
      </c>
      <c r="H622" s="2">
        <v>81</v>
      </c>
      <c r="I622" s="3">
        <v>6246</v>
      </c>
      <c r="J622" s="4">
        <v>19.97</v>
      </c>
      <c r="K622" s="2">
        <v>73</v>
      </c>
      <c r="L622" s="2">
        <v>3</v>
      </c>
      <c r="M622" s="3">
        <v>21609</v>
      </c>
      <c r="N622" t="str" cm="1">
        <f t="array" ref="N622">_xlfn.IFS(Table1_3[[#This Row],[Patient Satisfaction Score]]&gt;=83,"High",H622&lt;=75,"Low",TRUE,"Moderate")</f>
        <v>Moderate</v>
      </c>
      <c r="O622" t="str">
        <f t="shared" si="9"/>
        <v>Adult</v>
      </c>
    </row>
    <row r="623" spans="1:15">
      <c r="A623" t="s">
        <v>818</v>
      </c>
      <c r="B623" t="s">
        <v>14</v>
      </c>
      <c r="C623" t="s">
        <v>15</v>
      </c>
      <c r="D623" t="s">
        <v>16</v>
      </c>
      <c r="E623" s="2">
        <v>46</v>
      </c>
      <c r="F623" t="s">
        <v>17</v>
      </c>
      <c r="G623" t="s">
        <v>40</v>
      </c>
      <c r="H623" s="2">
        <v>73</v>
      </c>
      <c r="I623" s="3">
        <v>4450</v>
      </c>
      <c r="J623" s="4">
        <v>13.18</v>
      </c>
      <c r="K623" s="2">
        <v>70</v>
      </c>
      <c r="L623" s="2">
        <v>4</v>
      </c>
      <c r="M623" s="3">
        <v>11764</v>
      </c>
      <c r="N623" t="str" cm="1">
        <f t="array" ref="N623">_xlfn.IFS(Table1_3[[#This Row],[Patient Satisfaction Score]]&gt;=83,"High",H623&lt;=75,"Low",TRUE,"Moderate")</f>
        <v>Low</v>
      </c>
      <c r="O623" t="str">
        <f t="shared" si="9"/>
        <v>Adult</v>
      </c>
    </row>
    <row r="624" spans="1:15">
      <c r="A624" t="s">
        <v>895</v>
      </c>
      <c r="B624" t="s">
        <v>14</v>
      </c>
      <c r="C624" t="s">
        <v>15</v>
      </c>
      <c r="D624" t="s">
        <v>16</v>
      </c>
      <c r="E624" s="2">
        <v>46</v>
      </c>
      <c r="F624" t="s">
        <v>17</v>
      </c>
      <c r="G624" t="s">
        <v>23</v>
      </c>
      <c r="H624" s="2">
        <v>73</v>
      </c>
      <c r="I624" s="3">
        <v>6677</v>
      </c>
      <c r="J624" s="4">
        <v>19.88</v>
      </c>
      <c r="K624" s="2">
        <v>64</v>
      </c>
      <c r="L624" s="2">
        <v>4</v>
      </c>
      <c r="M624" s="3">
        <v>23192</v>
      </c>
      <c r="N624" t="str" cm="1">
        <f t="array" ref="N624">_xlfn.IFS(Table1_3[[#This Row],[Patient Satisfaction Score]]&gt;=83,"High",H624&lt;=75,"Low",TRUE,"Moderate")</f>
        <v>Low</v>
      </c>
      <c r="O624" t="str">
        <f t="shared" si="9"/>
        <v>Adult</v>
      </c>
    </row>
    <row r="625" spans="1:15">
      <c r="A625" t="s">
        <v>638</v>
      </c>
      <c r="B625" t="s">
        <v>103</v>
      </c>
      <c r="C625" t="s">
        <v>26</v>
      </c>
      <c r="D625" t="s">
        <v>27</v>
      </c>
      <c r="E625" s="2">
        <v>47</v>
      </c>
      <c r="F625" t="s">
        <v>17</v>
      </c>
      <c r="G625" t="s">
        <v>18</v>
      </c>
      <c r="H625" s="2">
        <v>79</v>
      </c>
      <c r="I625" s="3">
        <v>1804</v>
      </c>
      <c r="J625" s="4">
        <v>5.63</v>
      </c>
      <c r="K625" s="2">
        <v>64</v>
      </c>
      <c r="L625" s="2">
        <v>3</v>
      </c>
      <c r="M625" s="3">
        <v>9307</v>
      </c>
      <c r="N625" t="str" cm="1">
        <f t="array" ref="N625">_xlfn.IFS(Table1_3[[#This Row],[Patient Satisfaction Score]]&gt;=83,"High",H625&lt;=75,"Low",TRUE,"Moderate")</f>
        <v>Moderate</v>
      </c>
      <c r="O625" t="str">
        <f t="shared" si="9"/>
        <v>Adult</v>
      </c>
    </row>
    <row r="626" spans="1:15">
      <c r="A626" t="s">
        <v>703</v>
      </c>
      <c r="B626" t="s">
        <v>47</v>
      </c>
      <c r="C626" t="s">
        <v>48</v>
      </c>
      <c r="D626" t="s">
        <v>16</v>
      </c>
      <c r="E626" s="2">
        <v>47</v>
      </c>
      <c r="F626" t="s">
        <v>34</v>
      </c>
      <c r="G626" t="s">
        <v>31</v>
      </c>
      <c r="H626" s="2">
        <v>79</v>
      </c>
      <c r="I626" s="3">
        <v>7673</v>
      </c>
      <c r="J626" s="4">
        <v>7.82</v>
      </c>
      <c r="K626" s="2">
        <v>77</v>
      </c>
      <c r="L626" s="2">
        <v>4</v>
      </c>
      <c r="M626" s="3">
        <v>38023</v>
      </c>
      <c r="N626" t="str" cm="1">
        <f t="array" ref="N626">_xlfn.IFS(Table1_3[[#This Row],[Patient Satisfaction Score]]&gt;=83,"High",H626&lt;=75,"Low",TRUE,"Moderate")</f>
        <v>Moderate</v>
      </c>
      <c r="O626" t="str">
        <f t="shared" si="9"/>
        <v>Adult</v>
      </c>
    </row>
    <row r="627" spans="1:15">
      <c r="A627" t="s">
        <v>99</v>
      </c>
      <c r="B627" t="s">
        <v>95</v>
      </c>
      <c r="C627" t="s">
        <v>52</v>
      </c>
      <c r="D627" t="s">
        <v>27</v>
      </c>
      <c r="E627" s="2">
        <v>47</v>
      </c>
      <c r="F627" t="s">
        <v>22</v>
      </c>
      <c r="G627" t="s">
        <v>49</v>
      </c>
      <c r="H627" s="2">
        <v>90</v>
      </c>
      <c r="I627" s="3">
        <v>10537</v>
      </c>
      <c r="J627" s="4">
        <v>9.0500000000000007</v>
      </c>
      <c r="K627" s="2">
        <v>93</v>
      </c>
      <c r="L627" s="2">
        <v>4</v>
      </c>
      <c r="M627" s="3">
        <v>61063</v>
      </c>
      <c r="N627" t="str" cm="1">
        <f t="array" ref="N627">_xlfn.IFS(Table1_3[[#This Row],[Patient Satisfaction Score]]&gt;=83,"High",H627&lt;=75,"Low",TRUE,"Moderate")</f>
        <v>High</v>
      </c>
      <c r="O627" t="str">
        <f t="shared" si="9"/>
        <v>Adult</v>
      </c>
    </row>
    <row r="628" spans="1:15">
      <c r="A628" t="s">
        <v>235</v>
      </c>
      <c r="B628" t="s">
        <v>20</v>
      </c>
      <c r="C628" t="s">
        <v>21</v>
      </c>
      <c r="D628" t="s">
        <v>27</v>
      </c>
      <c r="E628" s="2">
        <v>47</v>
      </c>
      <c r="F628" t="s">
        <v>22</v>
      </c>
      <c r="G628" t="s">
        <v>49</v>
      </c>
      <c r="H628" s="2">
        <v>78</v>
      </c>
      <c r="I628" s="3">
        <v>4838</v>
      </c>
      <c r="J628" s="4">
        <v>8.43</v>
      </c>
      <c r="K628" s="2">
        <v>69</v>
      </c>
      <c r="L628" s="2">
        <v>5</v>
      </c>
      <c r="M628" s="3">
        <v>19692</v>
      </c>
      <c r="N628" t="str" cm="1">
        <f t="array" ref="N628">_xlfn.IFS(Table1_3[[#This Row],[Patient Satisfaction Score]]&gt;=83,"High",H628&lt;=75,"Low",TRUE,"Moderate")</f>
        <v>Moderate</v>
      </c>
      <c r="O628" t="str">
        <f t="shared" si="9"/>
        <v>Adult</v>
      </c>
    </row>
    <row r="629" spans="1:15">
      <c r="A629" t="s">
        <v>579</v>
      </c>
      <c r="B629" t="s">
        <v>143</v>
      </c>
      <c r="C629" t="s">
        <v>21</v>
      </c>
      <c r="D629" t="s">
        <v>27</v>
      </c>
      <c r="E629" s="2">
        <v>47</v>
      </c>
      <c r="F629" t="s">
        <v>22</v>
      </c>
      <c r="G629" t="s">
        <v>40</v>
      </c>
      <c r="H629" s="2">
        <v>66</v>
      </c>
      <c r="I629" s="3">
        <v>5309</v>
      </c>
      <c r="J629" s="4">
        <v>19.54</v>
      </c>
      <c r="K629" s="2">
        <v>100</v>
      </c>
      <c r="L629" s="2">
        <v>3</v>
      </c>
      <c r="M629" s="3">
        <v>15074</v>
      </c>
      <c r="N629" t="str" cm="1">
        <f t="array" ref="N629">_xlfn.IFS(Table1_3[[#This Row],[Patient Satisfaction Score]]&gt;=83,"High",H629&lt;=75,"Low",TRUE,"Moderate")</f>
        <v>Low</v>
      </c>
      <c r="O629" t="str">
        <f t="shared" si="9"/>
        <v>Adult</v>
      </c>
    </row>
    <row r="630" spans="1:15">
      <c r="A630" t="s">
        <v>569</v>
      </c>
      <c r="B630" t="s">
        <v>168</v>
      </c>
      <c r="C630" t="s">
        <v>45</v>
      </c>
      <c r="D630" t="s">
        <v>27</v>
      </c>
      <c r="E630" s="2">
        <v>47</v>
      </c>
      <c r="F630" t="s">
        <v>34</v>
      </c>
      <c r="G630" t="s">
        <v>18</v>
      </c>
      <c r="H630" s="2">
        <v>73</v>
      </c>
      <c r="I630" s="3">
        <v>8578</v>
      </c>
      <c r="J630" s="4">
        <v>20.23</v>
      </c>
      <c r="K630" s="2">
        <v>83</v>
      </c>
      <c r="L630" s="2">
        <v>3</v>
      </c>
      <c r="M630" s="3">
        <v>22896</v>
      </c>
      <c r="N630" t="str" cm="1">
        <f t="array" ref="N630">_xlfn.IFS(Table1_3[[#This Row],[Patient Satisfaction Score]]&gt;=83,"High",H630&lt;=75,"Low",TRUE,"Moderate")</f>
        <v>Low</v>
      </c>
      <c r="O630" t="str">
        <f t="shared" si="9"/>
        <v>Adult</v>
      </c>
    </row>
    <row r="631" spans="1:15">
      <c r="A631" t="s">
        <v>765</v>
      </c>
      <c r="B631" t="s">
        <v>44</v>
      </c>
      <c r="C631" t="s">
        <v>45</v>
      </c>
      <c r="D631" t="s">
        <v>27</v>
      </c>
      <c r="E631" s="2">
        <v>47</v>
      </c>
      <c r="F631" t="s">
        <v>22</v>
      </c>
      <c r="G631" t="s">
        <v>18</v>
      </c>
      <c r="H631" s="2">
        <v>74</v>
      </c>
      <c r="I631" s="3">
        <v>7048</v>
      </c>
      <c r="J631" s="4">
        <v>18.43</v>
      </c>
      <c r="K631" s="2">
        <v>92</v>
      </c>
      <c r="L631" s="2">
        <v>4</v>
      </c>
      <c r="M631" s="3">
        <v>19418</v>
      </c>
      <c r="N631" t="str" cm="1">
        <f t="array" ref="N631">_xlfn.IFS(Table1_3[[#This Row],[Patient Satisfaction Score]]&gt;=83,"High",H631&lt;=75,"Low",TRUE,"Moderate")</f>
        <v>Low</v>
      </c>
      <c r="O631" t="str">
        <f t="shared" si="9"/>
        <v>Adult</v>
      </c>
    </row>
    <row r="632" spans="1:15">
      <c r="A632" t="s">
        <v>835</v>
      </c>
      <c r="B632" t="s">
        <v>68</v>
      </c>
      <c r="C632" t="s">
        <v>45</v>
      </c>
      <c r="D632" t="s">
        <v>72</v>
      </c>
      <c r="E632" s="2">
        <v>47</v>
      </c>
      <c r="F632" t="s">
        <v>34</v>
      </c>
      <c r="G632" t="s">
        <v>49</v>
      </c>
      <c r="H632" s="2">
        <v>75</v>
      </c>
      <c r="I632" s="3">
        <v>10303</v>
      </c>
      <c r="J632" s="4">
        <v>17.239999999999998</v>
      </c>
      <c r="K632" s="2">
        <v>122</v>
      </c>
      <c r="L632" s="2">
        <v>4</v>
      </c>
      <c r="M632" s="3">
        <v>53311</v>
      </c>
      <c r="N632" t="str" cm="1">
        <f t="array" ref="N632">_xlfn.IFS(Table1_3[[#This Row],[Patient Satisfaction Score]]&gt;=83,"High",H632&lt;=75,"Low",TRUE,"Moderate")</f>
        <v>Low</v>
      </c>
      <c r="O632" t="str">
        <f t="shared" si="9"/>
        <v>Adult</v>
      </c>
    </row>
    <row r="633" spans="1:15">
      <c r="A633" t="s">
        <v>229</v>
      </c>
      <c r="B633" t="s">
        <v>97</v>
      </c>
      <c r="C633" t="s">
        <v>30</v>
      </c>
      <c r="D633" t="s">
        <v>27</v>
      </c>
      <c r="E633" s="2">
        <v>47</v>
      </c>
      <c r="F633" t="s">
        <v>22</v>
      </c>
      <c r="G633" t="s">
        <v>40</v>
      </c>
      <c r="H633" s="2">
        <v>58</v>
      </c>
      <c r="I633" s="3">
        <v>3406</v>
      </c>
      <c r="J633" s="4">
        <v>22.34</v>
      </c>
      <c r="K633" s="2">
        <v>119</v>
      </c>
      <c r="L633" s="2">
        <v>4</v>
      </c>
      <c r="M633" s="3">
        <v>16464</v>
      </c>
      <c r="N633" t="str" cm="1">
        <f t="array" ref="N633">_xlfn.IFS(Table1_3[[#This Row],[Patient Satisfaction Score]]&gt;=83,"High",H633&lt;=75,"Low",TRUE,"Moderate")</f>
        <v>Low</v>
      </c>
      <c r="O633" t="str">
        <f t="shared" si="9"/>
        <v>Adult</v>
      </c>
    </row>
    <row r="634" spans="1:15">
      <c r="A634" t="s">
        <v>737</v>
      </c>
      <c r="B634" t="s">
        <v>187</v>
      </c>
      <c r="C634" t="s">
        <v>30</v>
      </c>
      <c r="D634" t="s">
        <v>16</v>
      </c>
      <c r="E634" s="2">
        <v>47</v>
      </c>
      <c r="F634" t="s">
        <v>17</v>
      </c>
      <c r="G634" t="s">
        <v>18</v>
      </c>
      <c r="H634" s="2">
        <v>70</v>
      </c>
      <c r="I634" s="3">
        <v>2879</v>
      </c>
      <c r="J634" s="4">
        <v>21.41</v>
      </c>
      <c r="K634" s="2">
        <v>107</v>
      </c>
      <c r="L634" s="2">
        <v>3</v>
      </c>
      <c r="M634" s="3">
        <v>16389</v>
      </c>
      <c r="N634" t="str" cm="1">
        <f t="array" ref="N634">_xlfn.IFS(Table1_3[[#This Row],[Patient Satisfaction Score]]&gt;=83,"High",H634&lt;=75,"Low",TRUE,"Moderate")</f>
        <v>Low</v>
      </c>
      <c r="O634" t="str">
        <f t="shared" si="9"/>
        <v>Adult</v>
      </c>
    </row>
    <row r="635" spans="1:15">
      <c r="A635" t="s">
        <v>760</v>
      </c>
      <c r="B635" t="s">
        <v>109</v>
      </c>
      <c r="C635" t="s">
        <v>30</v>
      </c>
      <c r="D635" t="s">
        <v>27</v>
      </c>
      <c r="E635" s="2">
        <v>47</v>
      </c>
      <c r="F635" t="s">
        <v>17</v>
      </c>
      <c r="G635" t="s">
        <v>70</v>
      </c>
      <c r="H635" s="2">
        <v>80</v>
      </c>
      <c r="I635" s="3">
        <v>2804</v>
      </c>
      <c r="J635" s="4">
        <v>12.22</v>
      </c>
      <c r="K635" s="2">
        <v>100</v>
      </c>
      <c r="L635" s="2">
        <v>4</v>
      </c>
      <c r="M635" s="3">
        <v>10939</v>
      </c>
      <c r="N635" t="str" cm="1">
        <f t="array" ref="N635">_xlfn.IFS(Table1_3[[#This Row],[Patient Satisfaction Score]]&gt;=83,"High",H635&lt;=75,"Low",TRUE,"Moderate")</f>
        <v>Moderate</v>
      </c>
      <c r="O635" t="str">
        <f t="shared" si="9"/>
        <v>Adult</v>
      </c>
    </row>
    <row r="636" spans="1:15">
      <c r="A636" t="s">
        <v>876</v>
      </c>
      <c r="B636" t="s">
        <v>97</v>
      </c>
      <c r="C636" t="s">
        <v>30</v>
      </c>
      <c r="D636" t="s">
        <v>27</v>
      </c>
      <c r="E636" s="2">
        <v>47</v>
      </c>
      <c r="F636" t="s">
        <v>17</v>
      </c>
      <c r="G636" t="s">
        <v>18</v>
      </c>
      <c r="H636" s="2">
        <v>70</v>
      </c>
      <c r="I636" s="3">
        <v>3001</v>
      </c>
      <c r="J636" s="4">
        <v>16.46</v>
      </c>
      <c r="K636" s="2">
        <v>118</v>
      </c>
      <c r="L636" s="2">
        <v>4</v>
      </c>
      <c r="M636" s="3">
        <v>14439</v>
      </c>
      <c r="N636" t="str" cm="1">
        <f t="array" ref="N636">_xlfn.IFS(Table1_3[[#This Row],[Patient Satisfaction Score]]&gt;=83,"High",H636&lt;=75,"Low",TRUE,"Moderate")</f>
        <v>Low</v>
      </c>
      <c r="O636" t="str">
        <f t="shared" si="9"/>
        <v>Adult</v>
      </c>
    </row>
    <row r="637" spans="1:15">
      <c r="A637" t="s">
        <v>1028</v>
      </c>
      <c r="B637" t="s">
        <v>29</v>
      </c>
      <c r="C637" t="s">
        <v>30</v>
      </c>
      <c r="D637" t="s">
        <v>16</v>
      </c>
      <c r="E637" s="2">
        <v>47</v>
      </c>
      <c r="F637" t="s">
        <v>17</v>
      </c>
      <c r="G637" t="s">
        <v>23</v>
      </c>
      <c r="H637" s="2">
        <v>60</v>
      </c>
      <c r="I637" s="3">
        <v>4684</v>
      </c>
      <c r="J637" s="4">
        <v>18.579999999999998</v>
      </c>
      <c r="K637" s="2">
        <v>95</v>
      </c>
      <c r="L637" s="2">
        <v>3</v>
      </c>
      <c r="M637" s="3">
        <v>18236</v>
      </c>
      <c r="N637" t="str" cm="1">
        <f t="array" ref="N637">_xlfn.IFS(Table1_3[[#This Row],[Patient Satisfaction Score]]&gt;=83,"High",H637&lt;=75,"Low",TRUE,"Moderate")</f>
        <v>Low</v>
      </c>
      <c r="O637" t="str">
        <f t="shared" si="9"/>
        <v>Adult</v>
      </c>
    </row>
    <row r="638" spans="1:15">
      <c r="A638" t="s">
        <v>306</v>
      </c>
      <c r="B638" t="s">
        <v>88</v>
      </c>
      <c r="C638" t="s">
        <v>15</v>
      </c>
      <c r="D638" t="s">
        <v>16</v>
      </c>
      <c r="E638" s="2">
        <v>47</v>
      </c>
      <c r="F638" t="s">
        <v>34</v>
      </c>
      <c r="G638" t="s">
        <v>23</v>
      </c>
      <c r="H638" s="2">
        <v>91</v>
      </c>
      <c r="I638" s="3">
        <v>8286</v>
      </c>
      <c r="J638" s="4">
        <v>13.33</v>
      </c>
      <c r="K638" s="2">
        <v>56</v>
      </c>
      <c r="L638" s="2">
        <v>5</v>
      </c>
      <c r="M638" s="3">
        <v>43855</v>
      </c>
      <c r="N638" t="str" cm="1">
        <f t="array" ref="N638">_xlfn.IFS(Table1_3[[#This Row],[Patient Satisfaction Score]]&gt;=83,"High",H638&lt;=75,"Low",TRUE,"Moderate")</f>
        <v>High</v>
      </c>
      <c r="O638" t="str">
        <f t="shared" si="9"/>
        <v>Adult</v>
      </c>
    </row>
    <row r="639" spans="1:15">
      <c r="A639" t="s">
        <v>380</v>
      </c>
      <c r="B639" t="s">
        <v>33</v>
      </c>
      <c r="C639" t="s">
        <v>26</v>
      </c>
      <c r="D639" t="s">
        <v>16</v>
      </c>
      <c r="E639" s="2">
        <v>48</v>
      </c>
      <c r="F639" t="s">
        <v>17</v>
      </c>
      <c r="G639" t="s">
        <v>40</v>
      </c>
      <c r="H639" s="2">
        <v>85</v>
      </c>
      <c r="I639" s="3">
        <v>2586</v>
      </c>
      <c r="J639" s="4">
        <v>5.98</v>
      </c>
      <c r="K639" s="2">
        <v>46</v>
      </c>
      <c r="L639" s="2">
        <v>5</v>
      </c>
      <c r="M639" s="3">
        <v>10067</v>
      </c>
      <c r="N639" t="str" cm="1">
        <f t="array" ref="N639">_xlfn.IFS(Table1_3[[#This Row],[Patient Satisfaction Score]]&gt;=83,"High",H639&lt;=75,"Low",TRUE,"Moderate")</f>
        <v>High</v>
      </c>
      <c r="O639" t="str">
        <f t="shared" si="9"/>
        <v>Adult</v>
      </c>
    </row>
    <row r="640" spans="1:15">
      <c r="A640" t="s">
        <v>576</v>
      </c>
      <c r="B640" t="s">
        <v>25</v>
      </c>
      <c r="C640" t="s">
        <v>26</v>
      </c>
      <c r="D640" t="s">
        <v>27</v>
      </c>
      <c r="E640" s="2">
        <v>48</v>
      </c>
      <c r="F640" t="s">
        <v>22</v>
      </c>
      <c r="G640" t="s">
        <v>40</v>
      </c>
      <c r="H640" s="2">
        <v>85</v>
      </c>
      <c r="I640" s="3">
        <v>2587</v>
      </c>
      <c r="J640" s="4">
        <v>0</v>
      </c>
      <c r="K640" s="2">
        <v>65</v>
      </c>
      <c r="L640" s="2">
        <v>4</v>
      </c>
      <c r="M640" s="3">
        <v>15032</v>
      </c>
      <c r="N640" t="str" cm="1">
        <f t="array" ref="N640">_xlfn.IFS(Table1_3[[#This Row],[Patient Satisfaction Score]]&gt;=83,"High",H640&lt;=75,"Low",TRUE,"Moderate")</f>
        <v>High</v>
      </c>
      <c r="O640" t="str">
        <f t="shared" si="9"/>
        <v>Adult</v>
      </c>
    </row>
    <row r="641" spans="1:15">
      <c r="A641" t="s">
        <v>808</v>
      </c>
      <c r="B641" t="s">
        <v>137</v>
      </c>
      <c r="C641" t="s">
        <v>26</v>
      </c>
      <c r="D641" t="s">
        <v>16</v>
      </c>
      <c r="E641" s="2">
        <v>48</v>
      </c>
      <c r="F641" t="s">
        <v>34</v>
      </c>
      <c r="G641" t="s">
        <v>49</v>
      </c>
      <c r="H641" s="2">
        <v>87</v>
      </c>
      <c r="I641" s="3">
        <v>2471</v>
      </c>
      <c r="J641" s="4">
        <v>2.06</v>
      </c>
      <c r="K641" s="2">
        <v>52</v>
      </c>
      <c r="L641" s="2">
        <v>4</v>
      </c>
      <c r="M641" s="3">
        <v>10116</v>
      </c>
      <c r="N641" t="str" cm="1">
        <f t="array" ref="N641">_xlfn.IFS(Table1_3[[#This Row],[Patient Satisfaction Score]]&gt;=83,"High",H641&lt;=75,"Low",TRUE,"Moderate")</f>
        <v>High</v>
      </c>
      <c r="O641" t="str">
        <f t="shared" si="9"/>
        <v>Adult</v>
      </c>
    </row>
    <row r="642" spans="1:15">
      <c r="A642" t="s">
        <v>928</v>
      </c>
      <c r="B642" t="s">
        <v>137</v>
      </c>
      <c r="C642" t="s">
        <v>26</v>
      </c>
      <c r="D642" t="s">
        <v>16</v>
      </c>
      <c r="E642" s="2">
        <v>48</v>
      </c>
      <c r="F642" t="s">
        <v>22</v>
      </c>
      <c r="G642" t="s">
        <v>18</v>
      </c>
      <c r="H642" s="2">
        <v>78</v>
      </c>
      <c r="I642" s="3">
        <v>2381</v>
      </c>
      <c r="J642" s="4">
        <v>4.5199999999999996</v>
      </c>
      <c r="K642" s="2">
        <v>72</v>
      </c>
      <c r="L642" s="2">
        <v>4</v>
      </c>
      <c r="M642" s="3">
        <v>6499</v>
      </c>
      <c r="N642" t="str" cm="1">
        <f t="array" ref="N642">_xlfn.IFS(Table1_3[[#This Row],[Patient Satisfaction Score]]&gt;=83,"High",H642&lt;=75,"Low",TRUE,"Moderate")</f>
        <v>Moderate</v>
      </c>
      <c r="O642" t="str">
        <f t="shared" ref="O642:O705" si="10">IF(E642&lt;19,"Pediatric","Adult")</f>
        <v>Adult</v>
      </c>
    </row>
    <row r="643" spans="1:15">
      <c r="A643" t="s">
        <v>629</v>
      </c>
      <c r="B643" t="s">
        <v>122</v>
      </c>
      <c r="C643" t="s">
        <v>48</v>
      </c>
      <c r="D643" t="s">
        <v>16</v>
      </c>
      <c r="E643" s="2">
        <v>48</v>
      </c>
      <c r="F643" t="s">
        <v>17</v>
      </c>
      <c r="G643" t="s">
        <v>23</v>
      </c>
      <c r="H643" s="2">
        <v>82</v>
      </c>
      <c r="I643" s="3">
        <v>5735</v>
      </c>
      <c r="J643" s="4">
        <v>9.0299999999999994</v>
      </c>
      <c r="K643" s="2">
        <v>51</v>
      </c>
      <c r="L643" s="2">
        <v>4</v>
      </c>
      <c r="M643" s="3">
        <v>19837</v>
      </c>
      <c r="N643" t="str" cm="1">
        <f t="array" ref="N643">_xlfn.IFS(Table1_3[[#This Row],[Patient Satisfaction Score]]&gt;=83,"High",H643&lt;=75,"Low",TRUE,"Moderate")</f>
        <v>Moderate</v>
      </c>
      <c r="O643" t="str">
        <f t="shared" si="10"/>
        <v>Adult</v>
      </c>
    </row>
    <row r="644" spans="1:15">
      <c r="A644" t="s">
        <v>156</v>
      </c>
      <c r="B644" t="s">
        <v>62</v>
      </c>
      <c r="C644" t="s">
        <v>52</v>
      </c>
      <c r="D644" t="s">
        <v>27</v>
      </c>
      <c r="E644" s="2">
        <v>48</v>
      </c>
      <c r="F644" t="s">
        <v>22</v>
      </c>
      <c r="G644" t="s">
        <v>40</v>
      </c>
      <c r="H644" s="2">
        <v>80</v>
      </c>
      <c r="I644" s="3">
        <v>7675</v>
      </c>
      <c r="J644" s="4">
        <v>14.19</v>
      </c>
      <c r="K644" s="2">
        <v>132</v>
      </c>
      <c r="L644" s="2">
        <v>4</v>
      </c>
      <c r="M644" s="3">
        <v>43968</v>
      </c>
      <c r="N644" t="str" cm="1">
        <f t="array" ref="N644">_xlfn.IFS(Table1_3[[#This Row],[Patient Satisfaction Score]]&gt;=83,"High",H644&lt;=75,"Low",TRUE,"Moderate")</f>
        <v>Moderate</v>
      </c>
      <c r="O644" t="str">
        <f t="shared" si="10"/>
        <v>Adult</v>
      </c>
    </row>
    <row r="645" spans="1:15">
      <c r="A645" t="s">
        <v>200</v>
      </c>
      <c r="B645" t="s">
        <v>51</v>
      </c>
      <c r="C645" t="s">
        <v>52</v>
      </c>
      <c r="D645" t="s">
        <v>16</v>
      </c>
      <c r="E645" s="2">
        <v>48</v>
      </c>
      <c r="F645" t="s">
        <v>22</v>
      </c>
      <c r="G645" t="s">
        <v>18</v>
      </c>
      <c r="H645" s="2">
        <v>80</v>
      </c>
      <c r="I645" s="3">
        <v>5824</v>
      </c>
      <c r="J645" s="4">
        <v>16.989999999999998</v>
      </c>
      <c r="K645" s="2">
        <v>80</v>
      </c>
      <c r="L645" s="2">
        <v>5</v>
      </c>
      <c r="M645" s="3">
        <v>30456</v>
      </c>
      <c r="N645" t="str" cm="1">
        <f t="array" ref="N645">_xlfn.IFS(Table1_3[[#This Row],[Patient Satisfaction Score]]&gt;=83,"High",H645&lt;=75,"Low",TRUE,"Moderate")</f>
        <v>Moderate</v>
      </c>
      <c r="O645" t="str">
        <f t="shared" si="10"/>
        <v>Adult</v>
      </c>
    </row>
    <row r="646" spans="1:15">
      <c r="A646" t="s">
        <v>172</v>
      </c>
      <c r="B646" t="s">
        <v>36</v>
      </c>
      <c r="C646" t="s">
        <v>21</v>
      </c>
      <c r="D646" t="s">
        <v>16</v>
      </c>
      <c r="E646" s="2">
        <v>48</v>
      </c>
      <c r="F646" t="s">
        <v>22</v>
      </c>
      <c r="G646" t="s">
        <v>49</v>
      </c>
      <c r="H646" s="2">
        <v>73</v>
      </c>
      <c r="I646" s="3">
        <v>6523</v>
      </c>
      <c r="J646" s="4">
        <v>16.39</v>
      </c>
      <c r="K646" s="2">
        <v>86</v>
      </c>
      <c r="L646" s="2">
        <v>3</v>
      </c>
      <c r="M646" s="3">
        <v>16727</v>
      </c>
      <c r="N646" t="str" cm="1">
        <f t="array" ref="N646">_xlfn.IFS(Table1_3[[#This Row],[Patient Satisfaction Score]]&gt;=83,"High",H646&lt;=75,"Low",TRUE,"Moderate")</f>
        <v>Low</v>
      </c>
      <c r="O646" t="str">
        <f t="shared" si="10"/>
        <v>Adult</v>
      </c>
    </row>
    <row r="647" spans="1:15">
      <c r="A647" t="s">
        <v>478</v>
      </c>
      <c r="B647" t="s">
        <v>129</v>
      </c>
      <c r="C647" t="s">
        <v>21</v>
      </c>
      <c r="D647" t="s">
        <v>16</v>
      </c>
      <c r="E647" s="2">
        <v>48</v>
      </c>
      <c r="F647" t="s">
        <v>34</v>
      </c>
      <c r="G647" t="s">
        <v>18</v>
      </c>
      <c r="H647" s="2">
        <v>71</v>
      </c>
      <c r="I647" s="3">
        <v>6954</v>
      </c>
      <c r="J647" s="4">
        <v>10.98</v>
      </c>
      <c r="K647" s="2">
        <v>143</v>
      </c>
      <c r="L647" s="2">
        <v>3</v>
      </c>
      <c r="M647" s="3">
        <v>19387</v>
      </c>
      <c r="N647" t="str" cm="1">
        <f t="array" ref="N647">_xlfn.IFS(Table1_3[[#This Row],[Patient Satisfaction Score]]&gt;=83,"High",H647&lt;=75,"Low",TRUE,"Moderate")</f>
        <v>Low</v>
      </c>
      <c r="O647" t="str">
        <f t="shared" si="10"/>
        <v>Adult</v>
      </c>
    </row>
    <row r="648" spans="1:15">
      <c r="A648" t="s">
        <v>447</v>
      </c>
      <c r="B648" t="s">
        <v>168</v>
      </c>
      <c r="C648" t="s">
        <v>45</v>
      </c>
      <c r="D648" t="s">
        <v>16</v>
      </c>
      <c r="E648" s="2">
        <v>48</v>
      </c>
      <c r="F648" t="s">
        <v>34</v>
      </c>
      <c r="G648" t="s">
        <v>18</v>
      </c>
      <c r="H648" s="2">
        <v>76</v>
      </c>
      <c r="I648" s="3">
        <v>8650</v>
      </c>
      <c r="J648" s="4">
        <v>14.35</v>
      </c>
      <c r="K648" s="2">
        <v>83</v>
      </c>
      <c r="L648" s="2">
        <v>4</v>
      </c>
      <c r="M648" s="3">
        <v>51814</v>
      </c>
      <c r="N648" t="str" cm="1">
        <f t="array" ref="N648">_xlfn.IFS(Table1_3[[#This Row],[Patient Satisfaction Score]]&gt;=83,"High",H648&lt;=75,"Low",TRUE,"Moderate")</f>
        <v>Moderate</v>
      </c>
      <c r="O648" t="str">
        <f t="shared" si="10"/>
        <v>Adult</v>
      </c>
    </row>
    <row r="649" spans="1:15">
      <c r="A649" t="s">
        <v>671</v>
      </c>
      <c r="B649" t="s">
        <v>168</v>
      </c>
      <c r="C649" t="s">
        <v>45</v>
      </c>
      <c r="D649" t="s">
        <v>27</v>
      </c>
      <c r="E649" s="2">
        <v>48</v>
      </c>
      <c r="F649" t="s">
        <v>17</v>
      </c>
      <c r="G649" t="s">
        <v>31</v>
      </c>
      <c r="H649" s="2">
        <v>69</v>
      </c>
      <c r="I649" s="3">
        <v>10005</v>
      </c>
      <c r="J649" s="4">
        <v>16.3</v>
      </c>
      <c r="K649" s="2">
        <v>103</v>
      </c>
      <c r="L649" s="2">
        <v>3</v>
      </c>
      <c r="M649" s="3">
        <v>49553</v>
      </c>
      <c r="N649" t="str" cm="1">
        <f t="array" ref="N649">_xlfn.IFS(Table1_3[[#This Row],[Patient Satisfaction Score]]&gt;=83,"High",H649&lt;=75,"Low",TRUE,"Moderate")</f>
        <v>Low</v>
      </c>
      <c r="O649" t="str">
        <f t="shared" si="10"/>
        <v>Adult</v>
      </c>
    </row>
    <row r="650" spans="1:15">
      <c r="A650" t="s">
        <v>309</v>
      </c>
      <c r="B650" t="s">
        <v>187</v>
      </c>
      <c r="C650" t="s">
        <v>30</v>
      </c>
      <c r="D650" t="s">
        <v>27</v>
      </c>
      <c r="E650" s="2">
        <v>48</v>
      </c>
      <c r="F650" t="s">
        <v>17</v>
      </c>
      <c r="G650" t="s">
        <v>70</v>
      </c>
      <c r="H650" s="2">
        <v>73</v>
      </c>
      <c r="I650" s="3">
        <v>3864</v>
      </c>
      <c r="J650" s="4">
        <v>18.02</v>
      </c>
      <c r="K650" s="2">
        <v>114</v>
      </c>
      <c r="L650" s="2">
        <v>4</v>
      </c>
      <c r="M650" s="3">
        <v>18692</v>
      </c>
      <c r="N650" t="str" cm="1">
        <f t="array" ref="N650">_xlfn.IFS(Table1_3[[#This Row],[Patient Satisfaction Score]]&gt;=83,"High",H650&lt;=75,"Low",TRUE,"Moderate")</f>
        <v>Low</v>
      </c>
      <c r="O650" t="str">
        <f t="shared" si="10"/>
        <v>Adult</v>
      </c>
    </row>
    <row r="651" spans="1:15">
      <c r="A651" t="s">
        <v>338</v>
      </c>
      <c r="B651" t="s">
        <v>29</v>
      </c>
      <c r="C651" t="s">
        <v>30</v>
      </c>
      <c r="D651" t="s">
        <v>16</v>
      </c>
      <c r="E651" s="2">
        <v>48</v>
      </c>
      <c r="F651" t="s">
        <v>22</v>
      </c>
      <c r="G651" t="s">
        <v>40</v>
      </c>
      <c r="H651" s="2">
        <v>81</v>
      </c>
      <c r="I651" s="3">
        <v>4385</v>
      </c>
      <c r="J651" s="4">
        <v>14.54</v>
      </c>
      <c r="K651" s="2">
        <v>89</v>
      </c>
      <c r="L651" s="2">
        <v>4</v>
      </c>
      <c r="M651" s="3">
        <v>21590</v>
      </c>
      <c r="N651" t="str" cm="1">
        <f t="array" ref="N651">_xlfn.IFS(Table1_3[[#This Row],[Patient Satisfaction Score]]&gt;=83,"High",H651&lt;=75,"Low",TRUE,"Moderate")</f>
        <v>Moderate</v>
      </c>
      <c r="O651" t="str">
        <f t="shared" si="10"/>
        <v>Adult</v>
      </c>
    </row>
    <row r="652" spans="1:15">
      <c r="A652" t="s">
        <v>414</v>
      </c>
      <c r="B652" t="s">
        <v>64</v>
      </c>
      <c r="C652" t="s">
        <v>30</v>
      </c>
      <c r="D652" t="s">
        <v>16</v>
      </c>
      <c r="E652" s="2">
        <v>48</v>
      </c>
      <c r="F652" t="s">
        <v>22</v>
      </c>
      <c r="G652" t="s">
        <v>18</v>
      </c>
      <c r="H652" s="2">
        <v>66</v>
      </c>
      <c r="I652" s="3">
        <v>4282</v>
      </c>
      <c r="J652" s="4">
        <v>23.79</v>
      </c>
      <c r="K652" s="2">
        <v>120</v>
      </c>
      <c r="L652" s="2">
        <v>3</v>
      </c>
      <c r="M652" s="3">
        <v>21959</v>
      </c>
      <c r="N652" t="str" cm="1">
        <f t="array" ref="N652">_xlfn.IFS(Table1_3[[#This Row],[Patient Satisfaction Score]]&gt;=83,"High",H652&lt;=75,"Low",TRUE,"Moderate")</f>
        <v>Low</v>
      </c>
      <c r="O652" t="str">
        <f t="shared" si="10"/>
        <v>Adult</v>
      </c>
    </row>
    <row r="653" spans="1:15">
      <c r="A653" t="s">
        <v>427</v>
      </c>
      <c r="B653" t="s">
        <v>64</v>
      </c>
      <c r="C653" t="s">
        <v>30</v>
      </c>
      <c r="D653" t="s">
        <v>16</v>
      </c>
      <c r="E653" s="2">
        <v>48</v>
      </c>
      <c r="F653" t="s">
        <v>34</v>
      </c>
      <c r="G653" t="s">
        <v>40</v>
      </c>
      <c r="H653" s="2">
        <v>70</v>
      </c>
      <c r="I653" s="3">
        <v>3370</v>
      </c>
      <c r="J653" s="4">
        <v>15.52</v>
      </c>
      <c r="K653" s="2">
        <v>144</v>
      </c>
      <c r="L653" s="2">
        <v>4</v>
      </c>
      <c r="M653" s="3">
        <v>14774</v>
      </c>
      <c r="N653" t="str" cm="1">
        <f t="array" ref="N653">_xlfn.IFS(Table1_3[[#This Row],[Patient Satisfaction Score]]&gt;=83,"High",H653&lt;=75,"Low",TRUE,"Moderate")</f>
        <v>Low</v>
      </c>
      <c r="O653" t="str">
        <f t="shared" si="10"/>
        <v>Adult</v>
      </c>
    </row>
    <row r="654" spans="1:15">
      <c r="A654" t="s">
        <v>471</v>
      </c>
      <c r="B654" t="s">
        <v>187</v>
      </c>
      <c r="C654" t="s">
        <v>30</v>
      </c>
      <c r="D654" t="s">
        <v>27</v>
      </c>
      <c r="E654" s="2">
        <v>48</v>
      </c>
      <c r="F654" t="s">
        <v>22</v>
      </c>
      <c r="G654" t="s">
        <v>18</v>
      </c>
      <c r="H654" s="2">
        <v>64</v>
      </c>
      <c r="I654" s="3">
        <v>2282</v>
      </c>
      <c r="J654" s="4">
        <v>22.45</v>
      </c>
      <c r="K654" s="2">
        <v>125</v>
      </c>
      <c r="L654" s="2">
        <v>3</v>
      </c>
      <c r="M654" s="3">
        <v>10551</v>
      </c>
      <c r="N654" t="str" cm="1">
        <f t="array" ref="N654">_xlfn.IFS(Table1_3[[#This Row],[Patient Satisfaction Score]]&gt;=83,"High",H654&lt;=75,"Low",TRUE,"Moderate")</f>
        <v>Low</v>
      </c>
      <c r="O654" t="str">
        <f t="shared" si="10"/>
        <v>Adult</v>
      </c>
    </row>
    <row r="655" spans="1:15">
      <c r="A655" t="s">
        <v>517</v>
      </c>
      <c r="B655" t="s">
        <v>64</v>
      </c>
      <c r="C655" t="s">
        <v>30</v>
      </c>
      <c r="D655" t="s">
        <v>16</v>
      </c>
      <c r="E655" s="2">
        <v>48</v>
      </c>
      <c r="F655" t="s">
        <v>22</v>
      </c>
      <c r="G655" t="s">
        <v>18</v>
      </c>
      <c r="H655" s="2">
        <v>75</v>
      </c>
      <c r="I655" s="3">
        <v>3509</v>
      </c>
      <c r="J655" s="4">
        <v>11.69</v>
      </c>
      <c r="K655" s="2">
        <v>130</v>
      </c>
      <c r="L655" s="2">
        <v>4</v>
      </c>
      <c r="M655" s="3">
        <v>20247</v>
      </c>
      <c r="N655" t="str" cm="1">
        <f t="array" ref="N655">_xlfn.IFS(Table1_3[[#This Row],[Patient Satisfaction Score]]&gt;=83,"High",H655&lt;=75,"Low",TRUE,"Moderate")</f>
        <v>Low</v>
      </c>
      <c r="O655" t="str">
        <f t="shared" si="10"/>
        <v>Adult</v>
      </c>
    </row>
    <row r="656" spans="1:15">
      <c r="A656" t="s">
        <v>677</v>
      </c>
      <c r="B656" t="s">
        <v>54</v>
      </c>
      <c r="C656" t="s">
        <v>15</v>
      </c>
      <c r="D656" t="s">
        <v>27</v>
      </c>
      <c r="E656" s="2">
        <v>48</v>
      </c>
      <c r="F656" t="s">
        <v>17</v>
      </c>
      <c r="G656" t="s">
        <v>70</v>
      </c>
      <c r="H656" s="2">
        <v>83</v>
      </c>
      <c r="I656" s="3">
        <v>7093</v>
      </c>
      <c r="J656" s="4">
        <v>5.15</v>
      </c>
      <c r="K656" s="2">
        <v>84</v>
      </c>
      <c r="L656" s="2">
        <v>4</v>
      </c>
      <c r="M656" s="3">
        <v>32182</v>
      </c>
      <c r="N656" t="str" cm="1">
        <f t="array" ref="N656">_xlfn.IFS(Table1_3[[#This Row],[Patient Satisfaction Score]]&gt;=83,"High",H656&lt;=75,"Low",TRUE,"Moderate")</f>
        <v>High</v>
      </c>
      <c r="O656" t="str">
        <f t="shared" si="10"/>
        <v>Adult</v>
      </c>
    </row>
    <row r="657" spans="1:15">
      <c r="A657" t="s">
        <v>707</v>
      </c>
      <c r="B657" t="s">
        <v>80</v>
      </c>
      <c r="C657" t="s">
        <v>15</v>
      </c>
      <c r="D657" t="s">
        <v>16</v>
      </c>
      <c r="E657" s="2">
        <v>48</v>
      </c>
      <c r="F657" t="s">
        <v>22</v>
      </c>
      <c r="G657" t="s">
        <v>18</v>
      </c>
      <c r="H657" s="2">
        <v>60</v>
      </c>
      <c r="I657" s="3">
        <v>7453</v>
      </c>
      <c r="J657" s="4">
        <v>25.11</v>
      </c>
      <c r="K657" s="2">
        <v>104</v>
      </c>
      <c r="L657" s="2">
        <v>3</v>
      </c>
      <c r="M657" s="3">
        <v>23373</v>
      </c>
      <c r="N657" t="str" cm="1">
        <f t="array" ref="N657">_xlfn.IFS(Table1_3[[#This Row],[Patient Satisfaction Score]]&gt;=83,"High",H657&lt;=75,"Low",TRUE,"Moderate")</f>
        <v>Low</v>
      </c>
      <c r="O657" t="str">
        <f t="shared" si="10"/>
        <v>Adult</v>
      </c>
    </row>
    <row r="658" spans="1:15">
      <c r="A658" t="s">
        <v>898</v>
      </c>
      <c r="B658" t="s">
        <v>88</v>
      </c>
      <c r="C658" t="s">
        <v>15</v>
      </c>
      <c r="D658" t="s">
        <v>27</v>
      </c>
      <c r="E658" s="2">
        <v>48</v>
      </c>
      <c r="F658" t="s">
        <v>34</v>
      </c>
      <c r="G658" t="s">
        <v>40</v>
      </c>
      <c r="H658" s="2">
        <v>85</v>
      </c>
      <c r="I658" s="3">
        <v>5904</v>
      </c>
      <c r="J658" s="4">
        <v>18.829999999999998</v>
      </c>
      <c r="K658" s="2">
        <v>90</v>
      </c>
      <c r="L658" s="2">
        <v>4</v>
      </c>
      <c r="M658" s="3">
        <v>30670</v>
      </c>
      <c r="N658" t="str" cm="1">
        <f t="array" ref="N658">_xlfn.IFS(Table1_3[[#This Row],[Patient Satisfaction Score]]&gt;=83,"High",H658&lt;=75,"Low",TRUE,"Moderate")</f>
        <v>High</v>
      </c>
      <c r="O658" t="str">
        <f t="shared" si="10"/>
        <v>Adult</v>
      </c>
    </row>
    <row r="659" spans="1:15">
      <c r="A659" t="s">
        <v>293</v>
      </c>
      <c r="B659" t="s">
        <v>33</v>
      </c>
      <c r="C659" t="s">
        <v>26</v>
      </c>
      <c r="D659" t="s">
        <v>27</v>
      </c>
      <c r="E659" s="2">
        <v>49</v>
      </c>
      <c r="F659" t="s">
        <v>22</v>
      </c>
      <c r="G659" t="s">
        <v>40</v>
      </c>
      <c r="H659" s="2">
        <v>93</v>
      </c>
      <c r="I659" s="3">
        <v>1064</v>
      </c>
      <c r="J659" s="4">
        <v>4.3600000000000003</v>
      </c>
      <c r="K659" s="2">
        <v>37</v>
      </c>
      <c r="L659" s="2">
        <v>5</v>
      </c>
      <c r="M659" s="3">
        <v>3251</v>
      </c>
      <c r="N659" t="str" cm="1">
        <f t="array" ref="N659">_xlfn.IFS(Table1_3[[#This Row],[Patient Satisfaction Score]]&gt;=83,"High",H659&lt;=75,"Low",TRUE,"Moderate")</f>
        <v>High</v>
      </c>
      <c r="O659" t="str">
        <f t="shared" si="10"/>
        <v>Adult</v>
      </c>
    </row>
    <row r="660" spans="1:15">
      <c r="A660" t="s">
        <v>464</v>
      </c>
      <c r="B660" t="s">
        <v>137</v>
      </c>
      <c r="C660" t="s">
        <v>26</v>
      </c>
      <c r="D660" t="s">
        <v>27</v>
      </c>
      <c r="E660" s="2">
        <v>49</v>
      </c>
      <c r="F660" t="s">
        <v>17</v>
      </c>
      <c r="G660" t="s">
        <v>40</v>
      </c>
      <c r="H660" s="2">
        <v>83</v>
      </c>
      <c r="I660" s="3">
        <v>2572</v>
      </c>
      <c r="J660" s="4">
        <v>5.0999999999999996</v>
      </c>
      <c r="K660" s="2">
        <v>65</v>
      </c>
      <c r="L660" s="2">
        <v>5</v>
      </c>
      <c r="M660" s="3">
        <v>12797</v>
      </c>
      <c r="N660" t="str" cm="1">
        <f t="array" ref="N660">_xlfn.IFS(Table1_3[[#This Row],[Patient Satisfaction Score]]&gt;=83,"High",H660&lt;=75,"Low",TRUE,"Moderate")</f>
        <v>High</v>
      </c>
      <c r="O660" t="str">
        <f t="shared" si="10"/>
        <v>Adult</v>
      </c>
    </row>
    <row r="661" spans="1:15">
      <c r="A661" t="s">
        <v>781</v>
      </c>
      <c r="B661" t="s">
        <v>137</v>
      </c>
      <c r="C661" t="s">
        <v>26</v>
      </c>
      <c r="D661" t="s">
        <v>27</v>
      </c>
      <c r="E661" s="2">
        <v>49</v>
      </c>
      <c r="F661" t="s">
        <v>22</v>
      </c>
      <c r="G661" t="s">
        <v>40</v>
      </c>
      <c r="H661" s="2">
        <v>86</v>
      </c>
      <c r="I661" s="3">
        <v>2400</v>
      </c>
      <c r="J661" s="4">
        <v>1.47</v>
      </c>
      <c r="K661" s="2">
        <v>77</v>
      </c>
      <c r="L661" s="2">
        <v>5</v>
      </c>
      <c r="M661" s="3">
        <v>12735</v>
      </c>
      <c r="N661" t="str" cm="1">
        <f t="array" ref="N661">_xlfn.IFS(Table1_3[[#This Row],[Patient Satisfaction Score]]&gt;=83,"High",H661&lt;=75,"Low",TRUE,"Moderate")</f>
        <v>High</v>
      </c>
      <c r="O661" t="str">
        <f t="shared" si="10"/>
        <v>Adult</v>
      </c>
    </row>
    <row r="662" spans="1:15">
      <c r="A662" t="s">
        <v>134</v>
      </c>
      <c r="B662" t="s">
        <v>135</v>
      </c>
      <c r="C662" t="s">
        <v>48</v>
      </c>
      <c r="D662" t="s">
        <v>16</v>
      </c>
      <c r="E662" s="2">
        <v>49</v>
      </c>
      <c r="F662" t="s">
        <v>22</v>
      </c>
      <c r="G662" t="s">
        <v>31</v>
      </c>
      <c r="H662" s="2">
        <v>72</v>
      </c>
      <c r="I662" s="3">
        <v>7266</v>
      </c>
      <c r="J662" s="4">
        <v>14.61</v>
      </c>
      <c r="K662" s="2">
        <v>93</v>
      </c>
      <c r="L662" s="2">
        <v>4</v>
      </c>
      <c r="M662" s="3">
        <v>31824</v>
      </c>
      <c r="N662" t="str" cm="1">
        <f t="array" ref="N662">_xlfn.IFS(Table1_3[[#This Row],[Patient Satisfaction Score]]&gt;=83,"High",H662&lt;=75,"Low",TRUE,"Moderate")</f>
        <v>Low</v>
      </c>
      <c r="O662" t="str">
        <f t="shared" si="10"/>
        <v>Adult</v>
      </c>
    </row>
    <row r="663" spans="1:15">
      <c r="A663" t="s">
        <v>694</v>
      </c>
      <c r="B663" t="s">
        <v>58</v>
      </c>
      <c r="C663" t="s">
        <v>48</v>
      </c>
      <c r="D663" t="s">
        <v>16</v>
      </c>
      <c r="E663" s="2">
        <v>49</v>
      </c>
      <c r="F663" t="s">
        <v>22</v>
      </c>
      <c r="G663" t="s">
        <v>40</v>
      </c>
      <c r="H663" s="2">
        <v>76</v>
      </c>
      <c r="I663" s="3">
        <v>6280</v>
      </c>
      <c r="J663" s="4">
        <v>16.14</v>
      </c>
      <c r="K663" s="2">
        <v>53</v>
      </c>
      <c r="L663" s="2">
        <v>4</v>
      </c>
      <c r="M663" s="3">
        <v>17732</v>
      </c>
      <c r="N663" t="str" cm="1">
        <f t="array" ref="N663">_xlfn.IFS(Table1_3[[#This Row],[Patient Satisfaction Score]]&gt;=83,"High",H663&lt;=75,"Low",TRUE,"Moderate")</f>
        <v>Moderate</v>
      </c>
      <c r="O663" t="str">
        <f t="shared" si="10"/>
        <v>Adult</v>
      </c>
    </row>
    <row r="664" spans="1:15">
      <c r="A664" t="s">
        <v>816</v>
      </c>
      <c r="B664" t="s">
        <v>47</v>
      </c>
      <c r="C664" t="s">
        <v>48</v>
      </c>
      <c r="D664" t="s">
        <v>27</v>
      </c>
      <c r="E664" s="2">
        <v>49</v>
      </c>
      <c r="F664" t="s">
        <v>17</v>
      </c>
      <c r="G664" t="s">
        <v>31</v>
      </c>
      <c r="H664" s="2">
        <v>79</v>
      </c>
      <c r="I664" s="3">
        <v>6049</v>
      </c>
      <c r="J664" s="4">
        <v>16.149999999999999</v>
      </c>
      <c r="K664" s="2">
        <v>77</v>
      </c>
      <c r="L664" s="2">
        <v>5</v>
      </c>
      <c r="M664" s="3">
        <v>26824</v>
      </c>
      <c r="N664" t="str" cm="1">
        <f t="array" ref="N664">_xlfn.IFS(Table1_3[[#This Row],[Patient Satisfaction Score]]&gt;=83,"High",H664&lt;=75,"Low",TRUE,"Moderate")</f>
        <v>Moderate</v>
      </c>
      <c r="O664" t="str">
        <f t="shared" si="10"/>
        <v>Adult</v>
      </c>
    </row>
    <row r="665" spans="1:15">
      <c r="A665" t="s">
        <v>493</v>
      </c>
      <c r="B665" t="s">
        <v>185</v>
      </c>
      <c r="C665" t="s">
        <v>52</v>
      </c>
      <c r="D665" t="s">
        <v>27</v>
      </c>
      <c r="E665" s="2">
        <v>49</v>
      </c>
      <c r="F665" t="s">
        <v>34</v>
      </c>
      <c r="G665" t="s">
        <v>49</v>
      </c>
      <c r="H665" s="2">
        <v>87</v>
      </c>
      <c r="I665" s="3">
        <v>6696</v>
      </c>
      <c r="J665" s="4">
        <v>11.81</v>
      </c>
      <c r="K665" s="2">
        <v>62</v>
      </c>
      <c r="L665" s="2">
        <v>4</v>
      </c>
      <c r="M665" s="3">
        <v>25929</v>
      </c>
      <c r="N665" t="str" cm="1">
        <f t="array" ref="N665">_xlfn.IFS(Table1_3[[#This Row],[Patient Satisfaction Score]]&gt;=83,"High",H665&lt;=75,"Low",TRUE,"Moderate")</f>
        <v>High</v>
      </c>
      <c r="O665" t="str">
        <f t="shared" si="10"/>
        <v>Adult</v>
      </c>
    </row>
    <row r="666" spans="1:15">
      <c r="A666" t="s">
        <v>503</v>
      </c>
      <c r="B666" t="s">
        <v>62</v>
      </c>
      <c r="C666" t="s">
        <v>52</v>
      </c>
      <c r="D666" t="s">
        <v>27</v>
      </c>
      <c r="E666" s="2">
        <v>49</v>
      </c>
      <c r="F666" t="s">
        <v>22</v>
      </c>
      <c r="G666" t="s">
        <v>23</v>
      </c>
      <c r="H666" s="2">
        <v>81</v>
      </c>
      <c r="I666" s="3">
        <v>7899</v>
      </c>
      <c r="J666" s="4">
        <v>6.6</v>
      </c>
      <c r="K666" s="2">
        <v>114</v>
      </c>
      <c r="L666" s="2">
        <v>3</v>
      </c>
      <c r="M666" s="3">
        <v>31741</v>
      </c>
      <c r="N666" t="str" cm="1">
        <f t="array" ref="N666">_xlfn.IFS(Table1_3[[#This Row],[Patient Satisfaction Score]]&gt;=83,"High",H666&lt;=75,"Low",TRUE,"Moderate")</f>
        <v>Moderate</v>
      </c>
      <c r="O666" t="str">
        <f t="shared" si="10"/>
        <v>Adult</v>
      </c>
    </row>
    <row r="667" spans="1:15">
      <c r="A667" t="s">
        <v>764</v>
      </c>
      <c r="B667" t="s">
        <v>51</v>
      </c>
      <c r="C667" t="s">
        <v>52</v>
      </c>
      <c r="D667" t="s">
        <v>16</v>
      </c>
      <c r="E667" s="2">
        <v>49</v>
      </c>
      <c r="F667" t="s">
        <v>34</v>
      </c>
      <c r="G667" t="s">
        <v>23</v>
      </c>
      <c r="H667" s="2">
        <v>73</v>
      </c>
      <c r="I667" s="3">
        <v>10548</v>
      </c>
      <c r="J667" s="4">
        <v>14.08</v>
      </c>
      <c r="K667" s="2">
        <v>70</v>
      </c>
      <c r="L667" s="2">
        <v>4</v>
      </c>
      <c r="M667" s="3">
        <v>50302</v>
      </c>
      <c r="N667" t="str" cm="1">
        <f t="array" ref="N667">_xlfn.IFS(Table1_3[[#This Row],[Patient Satisfaction Score]]&gt;=83,"High",H667&lt;=75,"Low",TRUE,"Moderate")</f>
        <v>Low</v>
      </c>
      <c r="O667" t="str">
        <f t="shared" si="10"/>
        <v>Adult</v>
      </c>
    </row>
    <row r="668" spans="1:15">
      <c r="A668" t="s">
        <v>393</v>
      </c>
      <c r="B668" t="s">
        <v>129</v>
      </c>
      <c r="C668" t="s">
        <v>21</v>
      </c>
      <c r="D668" t="s">
        <v>27</v>
      </c>
      <c r="E668" s="2">
        <v>49</v>
      </c>
      <c r="F668" t="s">
        <v>34</v>
      </c>
      <c r="G668" t="s">
        <v>40</v>
      </c>
      <c r="H668" s="2">
        <v>81</v>
      </c>
      <c r="I668" s="3">
        <v>6630</v>
      </c>
      <c r="J668" s="4">
        <v>17.350000000000001</v>
      </c>
      <c r="K668" s="2">
        <v>93</v>
      </c>
      <c r="L668" s="2">
        <v>4</v>
      </c>
      <c r="M668" s="3">
        <v>22399</v>
      </c>
      <c r="N668" t="str" cm="1">
        <f t="array" ref="N668">_xlfn.IFS(Table1_3[[#This Row],[Patient Satisfaction Score]]&gt;=83,"High",H668&lt;=75,"Low",TRUE,"Moderate")</f>
        <v>Moderate</v>
      </c>
      <c r="O668" t="str">
        <f t="shared" si="10"/>
        <v>Adult</v>
      </c>
    </row>
    <row r="669" spans="1:15">
      <c r="A669" t="s">
        <v>395</v>
      </c>
      <c r="B669" t="s">
        <v>129</v>
      </c>
      <c r="C669" t="s">
        <v>21</v>
      </c>
      <c r="D669" t="s">
        <v>27</v>
      </c>
      <c r="E669" s="2">
        <v>49</v>
      </c>
      <c r="F669" t="s">
        <v>22</v>
      </c>
      <c r="G669" t="s">
        <v>18</v>
      </c>
      <c r="H669" s="2">
        <v>76</v>
      </c>
      <c r="I669" s="3">
        <v>4497</v>
      </c>
      <c r="J669" s="4">
        <v>22.93</v>
      </c>
      <c r="K669" s="2">
        <v>86</v>
      </c>
      <c r="L669" s="2">
        <v>5</v>
      </c>
      <c r="M669" s="3">
        <v>23185</v>
      </c>
      <c r="N669" t="str" cm="1">
        <f t="array" ref="N669">_xlfn.IFS(Table1_3[[#This Row],[Patient Satisfaction Score]]&gt;=83,"High",H669&lt;=75,"Low",TRUE,"Moderate")</f>
        <v>Moderate</v>
      </c>
      <c r="O669" t="str">
        <f t="shared" si="10"/>
        <v>Adult</v>
      </c>
    </row>
    <row r="670" spans="1:15">
      <c r="A670" t="s">
        <v>76</v>
      </c>
      <c r="B670" t="s">
        <v>44</v>
      </c>
      <c r="C670" t="s">
        <v>45</v>
      </c>
      <c r="D670" t="s">
        <v>27</v>
      </c>
      <c r="E670" s="2">
        <v>49</v>
      </c>
      <c r="F670" t="s">
        <v>22</v>
      </c>
      <c r="G670" t="s">
        <v>23</v>
      </c>
      <c r="H670" s="2">
        <v>80</v>
      </c>
      <c r="I670" s="3">
        <v>9314</v>
      </c>
      <c r="J670" s="4">
        <v>12.13</v>
      </c>
      <c r="K670" s="2">
        <v>111</v>
      </c>
      <c r="L670" s="2">
        <v>5</v>
      </c>
      <c r="M670" s="3">
        <v>30595</v>
      </c>
      <c r="N670" t="str" cm="1">
        <f t="array" ref="N670">_xlfn.IFS(Table1_3[[#This Row],[Patient Satisfaction Score]]&gt;=83,"High",H670&lt;=75,"Low",TRUE,"Moderate")</f>
        <v>Moderate</v>
      </c>
      <c r="O670" t="str">
        <f t="shared" si="10"/>
        <v>Adult</v>
      </c>
    </row>
    <row r="671" spans="1:15">
      <c r="A671" t="s">
        <v>559</v>
      </c>
      <c r="B671" t="s">
        <v>68</v>
      </c>
      <c r="C671" t="s">
        <v>45</v>
      </c>
      <c r="D671" t="s">
        <v>16</v>
      </c>
      <c r="E671" s="2">
        <v>49</v>
      </c>
      <c r="F671" t="s">
        <v>22</v>
      </c>
      <c r="G671" t="s">
        <v>18</v>
      </c>
      <c r="H671" s="2">
        <v>76</v>
      </c>
      <c r="I671" s="3">
        <v>8841</v>
      </c>
      <c r="J671" s="4">
        <v>18.350000000000001</v>
      </c>
      <c r="K671" s="2">
        <v>75</v>
      </c>
      <c r="L671" s="2">
        <v>4</v>
      </c>
      <c r="M671" s="3">
        <v>37757</v>
      </c>
      <c r="N671" t="str" cm="1">
        <f t="array" ref="N671">_xlfn.IFS(Table1_3[[#This Row],[Patient Satisfaction Score]]&gt;=83,"High",H671&lt;=75,"Low",TRUE,"Moderate")</f>
        <v>Moderate</v>
      </c>
      <c r="O671" t="str">
        <f t="shared" si="10"/>
        <v>Adult</v>
      </c>
    </row>
    <row r="672" spans="1:15">
      <c r="A672" t="s">
        <v>621</v>
      </c>
      <c r="B672" t="s">
        <v>44</v>
      </c>
      <c r="C672" t="s">
        <v>45</v>
      </c>
      <c r="D672" t="s">
        <v>27</v>
      </c>
      <c r="E672" s="2">
        <v>49</v>
      </c>
      <c r="F672" t="s">
        <v>22</v>
      </c>
      <c r="G672" t="s">
        <v>31</v>
      </c>
      <c r="H672" s="2">
        <v>73</v>
      </c>
      <c r="I672" s="3">
        <v>9519</v>
      </c>
      <c r="J672" s="4">
        <v>14.75</v>
      </c>
      <c r="K672" s="2">
        <v>62</v>
      </c>
      <c r="L672" s="2">
        <v>3</v>
      </c>
      <c r="M672" s="3">
        <v>51079</v>
      </c>
      <c r="N672" t="str" cm="1">
        <f t="array" ref="N672">_xlfn.IFS(Table1_3[[#This Row],[Patient Satisfaction Score]]&gt;=83,"High",H672&lt;=75,"Low",TRUE,"Moderate")</f>
        <v>Low</v>
      </c>
      <c r="O672" t="str">
        <f t="shared" si="10"/>
        <v>Adult</v>
      </c>
    </row>
    <row r="673" spans="1:15">
      <c r="A673" t="s">
        <v>1063</v>
      </c>
      <c r="B673" t="s">
        <v>168</v>
      </c>
      <c r="C673" t="s">
        <v>45</v>
      </c>
      <c r="D673" t="s">
        <v>16</v>
      </c>
      <c r="E673" s="2">
        <v>49</v>
      </c>
      <c r="F673" t="s">
        <v>17</v>
      </c>
      <c r="G673" t="s">
        <v>70</v>
      </c>
      <c r="H673" s="2">
        <v>77</v>
      </c>
      <c r="I673" s="3">
        <v>8122</v>
      </c>
      <c r="J673" s="4">
        <v>12.9</v>
      </c>
      <c r="K673" s="2">
        <v>85</v>
      </c>
      <c r="L673" s="2">
        <v>4</v>
      </c>
      <c r="M673" s="3">
        <v>42148</v>
      </c>
      <c r="N673" t="str" cm="1">
        <f t="array" ref="N673">_xlfn.IFS(Table1_3[[#This Row],[Patient Satisfaction Score]]&gt;=83,"High",H673&lt;=75,"Low",TRUE,"Moderate")</f>
        <v>Moderate</v>
      </c>
      <c r="O673" t="str">
        <f t="shared" si="10"/>
        <v>Adult</v>
      </c>
    </row>
    <row r="674" spans="1:15">
      <c r="A674" t="s">
        <v>250</v>
      </c>
      <c r="B674" t="s">
        <v>187</v>
      </c>
      <c r="C674" t="s">
        <v>30</v>
      </c>
      <c r="D674" t="s">
        <v>27</v>
      </c>
      <c r="E674" s="2">
        <v>49</v>
      </c>
      <c r="F674" t="s">
        <v>34</v>
      </c>
      <c r="G674" t="s">
        <v>40</v>
      </c>
      <c r="H674" s="2">
        <v>65</v>
      </c>
      <c r="I674" s="3">
        <v>3731</v>
      </c>
      <c r="J674" s="4">
        <v>21.33</v>
      </c>
      <c r="K674" s="2">
        <v>78</v>
      </c>
      <c r="L674" s="2">
        <v>3</v>
      </c>
      <c r="M674" s="3">
        <v>13676</v>
      </c>
      <c r="N674" t="str" cm="1">
        <f t="array" ref="N674">_xlfn.IFS(Table1_3[[#This Row],[Patient Satisfaction Score]]&gt;=83,"High",H674&lt;=75,"Low",TRUE,"Moderate")</f>
        <v>Low</v>
      </c>
      <c r="O674" t="str">
        <f t="shared" si="10"/>
        <v>Adult</v>
      </c>
    </row>
    <row r="675" spans="1:15">
      <c r="A675" t="s">
        <v>518</v>
      </c>
      <c r="B675" t="s">
        <v>109</v>
      </c>
      <c r="C675" t="s">
        <v>30</v>
      </c>
      <c r="D675" t="s">
        <v>27</v>
      </c>
      <c r="E675" s="2">
        <v>49</v>
      </c>
      <c r="F675" t="s">
        <v>17</v>
      </c>
      <c r="G675" t="s">
        <v>70</v>
      </c>
      <c r="H675" s="2">
        <v>68</v>
      </c>
      <c r="I675" s="3">
        <v>2611</v>
      </c>
      <c r="J675" s="4">
        <v>24.81</v>
      </c>
      <c r="K675" s="2">
        <v>123</v>
      </c>
      <c r="L675" s="2">
        <v>4</v>
      </c>
      <c r="M675" s="3">
        <v>12718</v>
      </c>
      <c r="N675" t="str" cm="1">
        <f t="array" ref="N675">_xlfn.IFS(Table1_3[[#This Row],[Patient Satisfaction Score]]&gt;=83,"High",H675&lt;=75,"Low",TRUE,"Moderate")</f>
        <v>Low</v>
      </c>
      <c r="O675" t="str">
        <f t="shared" si="10"/>
        <v>Adult</v>
      </c>
    </row>
    <row r="676" spans="1:15">
      <c r="A676" t="s">
        <v>798</v>
      </c>
      <c r="B676" t="s">
        <v>64</v>
      </c>
      <c r="C676" t="s">
        <v>30</v>
      </c>
      <c r="D676" t="s">
        <v>27</v>
      </c>
      <c r="E676" s="2">
        <v>49</v>
      </c>
      <c r="F676" t="s">
        <v>17</v>
      </c>
      <c r="G676" t="s">
        <v>40</v>
      </c>
      <c r="H676" s="2">
        <v>69</v>
      </c>
      <c r="I676" s="3">
        <v>4052</v>
      </c>
      <c r="J676" s="4">
        <v>21.88</v>
      </c>
      <c r="K676" s="2">
        <v>135</v>
      </c>
      <c r="L676" s="2">
        <v>3</v>
      </c>
      <c r="M676" s="3">
        <v>22436</v>
      </c>
      <c r="N676" t="str" cm="1">
        <f t="array" ref="N676">_xlfn.IFS(Table1_3[[#This Row],[Patient Satisfaction Score]]&gt;=83,"High",H676&lt;=75,"Low",TRUE,"Moderate")</f>
        <v>Low</v>
      </c>
      <c r="O676" t="str">
        <f t="shared" si="10"/>
        <v>Adult</v>
      </c>
    </row>
    <row r="677" spans="1:15">
      <c r="A677" t="s">
        <v>865</v>
      </c>
      <c r="B677" t="s">
        <v>109</v>
      </c>
      <c r="C677" t="s">
        <v>30</v>
      </c>
      <c r="D677" t="s">
        <v>27</v>
      </c>
      <c r="E677" s="2">
        <v>49</v>
      </c>
      <c r="F677" t="s">
        <v>17</v>
      </c>
      <c r="G677" t="s">
        <v>18</v>
      </c>
      <c r="H677" s="2">
        <v>68</v>
      </c>
      <c r="I677" s="3">
        <v>4136</v>
      </c>
      <c r="J677" s="4">
        <v>16.37</v>
      </c>
      <c r="K677" s="2">
        <v>95</v>
      </c>
      <c r="L677" s="2">
        <v>3</v>
      </c>
      <c r="M677" s="3">
        <v>13106</v>
      </c>
      <c r="N677" t="str" cm="1">
        <f t="array" ref="N677">_xlfn.IFS(Table1_3[[#This Row],[Patient Satisfaction Score]]&gt;=83,"High",H677&lt;=75,"Low",TRUE,"Moderate")</f>
        <v>Low</v>
      </c>
      <c r="O677" t="str">
        <f t="shared" si="10"/>
        <v>Adult</v>
      </c>
    </row>
    <row r="678" spans="1:15">
      <c r="A678" t="s">
        <v>220</v>
      </c>
      <c r="B678" t="s">
        <v>78</v>
      </c>
      <c r="C678" t="s">
        <v>15</v>
      </c>
      <c r="D678" t="s">
        <v>16</v>
      </c>
      <c r="E678" s="2">
        <v>49</v>
      </c>
      <c r="F678" t="s">
        <v>22</v>
      </c>
      <c r="G678" t="s">
        <v>18</v>
      </c>
      <c r="H678" s="2">
        <v>80</v>
      </c>
      <c r="I678" s="3">
        <v>9357</v>
      </c>
      <c r="J678" s="4">
        <v>14.16</v>
      </c>
      <c r="K678" s="2">
        <v>105</v>
      </c>
      <c r="L678" s="2">
        <v>4</v>
      </c>
      <c r="M678" s="3">
        <v>52890</v>
      </c>
      <c r="N678" t="str" cm="1">
        <f t="array" ref="N678">_xlfn.IFS(Table1_3[[#This Row],[Patient Satisfaction Score]]&gt;=83,"High",H678&lt;=75,"Low",TRUE,"Moderate")</f>
        <v>Moderate</v>
      </c>
      <c r="O678" t="str">
        <f t="shared" si="10"/>
        <v>Adult</v>
      </c>
    </row>
    <row r="679" spans="1:15">
      <c r="A679" t="s">
        <v>297</v>
      </c>
      <c r="B679" t="s">
        <v>88</v>
      </c>
      <c r="C679" t="s">
        <v>15</v>
      </c>
      <c r="D679" t="s">
        <v>27</v>
      </c>
      <c r="E679" s="2">
        <v>49</v>
      </c>
      <c r="F679" t="s">
        <v>22</v>
      </c>
      <c r="G679" t="s">
        <v>23</v>
      </c>
      <c r="H679" s="2">
        <v>76</v>
      </c>
      <c r="I679" s="3">
        <v>7983</v>
      </c>
      <c r="J679" s="4">
        <v>16.39</v>
      </c>
      <c r="K679" s="2">
        <v>86</v>
      </c>
      <c r="L679" s="2">
        <v>4</v>
      </c>
      <c r="M679" s="3">
        <v>27226</v>
      </c>
      <c r="N679" t="str" cm="1">
        <f t="array" ref="N679">_xlfn.IFS(Table1_3[[#This Row],[Patient Satisfaction Score]]&gt;=83,"High",H679&lt;=75,"Low",TRUE,"Moderate")</f>
        <v>Moderate</v>
      </c>
      <c r="O679" t="str">
        <f t="shared" si="10"/>
        <v>Adult</v>
      </c>
    </row>
    <row r="680" spans="1:15">
      <c r="A680" t="s">
        <v>174</v>
      </c>
      <c r="B680" t="s">
        <v>137</v>
      </c>
      <c r="C680" t="s">
        <v>26</v>
      </c>
      <c r="D680" t="s">
        <v>27</v>
      </c>
      <c r="E680" s="2">
        <v>50</v>
      </c>
      <c r="F680" t="s">
        <v>17</v>
      </c>
      <c r="G680" t="s">
        <v>31</v>
      </c>
      <c r="H680" s="2">
        <v>73</v>
      </c>
      <c r="I680" s="3">
        <v>3332</v>
      </c>
      <c r="J680" s="4">
        <v>9.06</v>
      </c>
      <c r="K680" s="2">
        <v>64</v>
      </c>
      <c r="L680" s="2">
        <v>3</v>
      </c>
      <c r="M680" s="3">
        <v>14381</v>
      </c>
      <c r="N680" t="str" cm="1">
        <f t="array" ref="N680">_xlfn.IFS(Table1_3[[#This Row],[Patient Satisfaction Score]]&gt;=83,"High",H680&lt;=75,"Low",TRUE,"Moderate")</f>
        <v>Low</v>
      </c>
      <c r="O680" t="str">
        <f t="shared" si="10"/>
        <v>Adult</v>
      </c>
    </row>
    <row r="681" spans="1:15">
      <c r="A681" t="s">
        <v>273</v>
      </c>
      <c r="B681" t="s">
        <v>25</v>
      </c>
      <c r="C681" t="s">
        <v>26</v>
      </c>
      <c r="D681" t="s">
        <v>16</v>
      </c>
      <c r="E681" s="2">
        <v>50</v>
      </c>
      <c r="F681" t="s">
        <v>34</v>
      </c>
      <c r="G681" t="s">
        <v>49</v>
      </c>
      <c r="H681" s="2">
        <v>90</v>
      </c>
      <c r="I681" s="3">
        <v>2109</v>
      </c>
      <c r="J681" s="4">
        <v>8.52</v>
      </c>
      <c r="K681" s="2">
        <v>30</v>
      </c>
      <c r="L681" s="2">
        <v>5</v>
      </c>
      <c r="M681" s="3">
        <v>8091</v>
      </c>
      <c r="N681" t="str" cm="1">
        <f t="array" ref="N681">_xlfn.IFS(Table1_3[[#This Row],[Patient Satisfaction Score]]&gt;=83,"High",H681&lt;=75,"Low",TRUE,"Moderate")</f>
        <v>High</v>
      </c>
      <c r="O681" t="str">
        <f t="shared" si="10"/>
        <v>Adult</v>
      </c>
    </row>
    <row r="682" spans="1:15">
      <c r="A682" t="s">
        <v>855</v>
      </c>
      <c r="B682" t="s">
        <v>47</v>
      </c>
      <c r="C682" t="s">
        <v>48</v>
      </c>
      <c r="D682" t="s">
        <v>16</v>
      </c>
      <c r="E682" s="2">
        <v>50</v>
      </c>
      <c r="F682" t="s">
        <v>17</v>
      </c>
      <c r="G682" t="s">
        <v>31</v>
      </c>
      <c r="H682" s="2">
        <v>84</v>
      </c>
      <c r="I682" s="3">
        <v>5809</v>
      </c>
      <c r="J682" s="4">
        <v>10.050000000000001</v>
      </c>
      <c r="K682" s="2">
        <v>74</v>
      </c>
      <c r="L682" s="2">
        <v>3</v>
      </c>
      <c r="M682" s="3">
        <v>20945</v>
      </c>
      <c r="N682" t="str" cm="1">
        <f t="array" ref="N682">_xlfn.IFS(Table1_3[[#This Row],[Patient Satisfaction Score]]&gt;=83,"High",H682&lt;=75,"Low",TRUE,"Moderate")</f>
        <v>High</v>
      </c>
      <c r="O682" t="str">
        <f t="shared" si="10"/>
        <v>Adult</v>
      </c>
    </row>
    <row r="683" spans="1:15">
      <c r="A683" t="s">
        <v>1061</v>
      </c>
      <c r="B683" t="s">
        <v>47</v>
      </c>
      <c r="C683" t="s">
        <v>48</v>
      </c>
      <c r="D683" t="s">
        <v>16</v>
      </c>
      <c r="E683" s="2">
        <v>50</v>
      </c>
      <c r="F683" t="s">
        <v>22</v>
      </c>
      <c r="G683" t="s">
        <v>40</v>
      </c>
      <c r="H683" s="2">
        <v>80</v>
      </c>
      <c r="I683" s="3">
        <v>5952</v>
      </c>
      <c r="J683" s="4">
        <v>16.14</v>
      </c>
      <c r="K683" s="2">
        <v>89</v>
      </c>
      <c r="L683" s="2">
        <v>4</v>
      </c>
      <c r="M683" s="3">
        <v>33626</v>
      </c>
      <c r="N683" t="str" cm="1">
        <f t="array" ref="N683">_xlfn.IFS(Table1_3[[#This Row],[Patient Satisfaction Score]]&gt;=83,"High",H683&lt;=75,"Low",TRUE,"Moderate")</f>
        <v>Moderate</v>
      </c>
      <c r="O683" t="str">
        <f t="shared" si="10"/>
        <v>Adult</v>
      </c>
    </row>
    <row r="684" spans="1:15">
      <c r="A684" t="s">
        <v>59</v>
      </c>
      <c r="B684" t="s">
        <v>60</v>
      </c>
      <c r="C684" t="s">
        <v>52</v>
      </c>
      <c r="D684" t="s">
        <v>27</v>
      </c>
      <c r="E684" s="2">
        <v>50</v>
      </c>
      <c r="F684" t="s">
        <v>34</v>
      </c>
      <c r="G684" t="s">
        <v>31</v>
      </c>
      <c r="H684" s="2">
        <v>71</v>
      </c>
      <c r="I684" s="3">
        <v>8008</v>
      </c>
      <c r="J684" s="4">
        <v>13.06</v>
      </c>
      <c r="K684" s="2">
        <v>85</v>
      </c>
      <c r="L684" s="2">
        <v>3</v>
      </c>
      <c r="M684" s="3">
        <v>23379</v>
      </c>
      <c r="N684" t="str" cm="1">
        <f t="array" ref="N684">_xlfn.IFS(Table1_3[[#This Row],[Patient Satisfaction Score]]&gt;=83,"High",H684&lt;=75,"Low",TRUE,"Moderate")</f>
        <v>Low</v>
      </c>
      <c r="O684" t="str">
        <f t="shared" si="10"/>
        <v>Adult</v>
      </c>
    </row>
    <row r="685" spans="1:15">
      <c r="A685" t="s">
        <v>947</v>
      </c>
      <c r="B685" t="s">
        <v>62</v>
      </c>
      <c r="C685" t="s">
        <v>52</v>
      </c>
      <c r="D685" t="s">
        <v>27</v>
      </c>
      <c r="E685" s="2">
        <v>50</v>
      </c>
      <c r="F685" t="s">
        <v>22</v>
      </c>
      <c r="G685" t="s">
        <v>23</v>
      </c>
      <c r="H685" s="2">
        <v>91</v>
      </c>
      <c r="I685" s="3">
        <v>10775</v>
      </c>
      <c r="J685" s="4">
        <v>10.1</v>
      </c>
      <c r="K685" s="2">
        <v>82</v>
      </c>
      <c r="L685" s="2">
        <v>4</v>
      </c>
      <c r="M685" s="3">
        <v>43892</v>
      </c>
      <c r="N685" t="str" cm="1">
        <f t="array" ref="N685">_xlfn.IFS(Table1_3[[#This Row],[Patient Satisfaction Score]]&gt;=83,"High",H685&lt;=75,"Low",TRUE,"Moderate")</f>
        <v>High</v>
      </c>
      <c r="O685" t="str">
        <f t="shared" si="10"/>
        <v>Adult</v>
      </c>
    </row>
    <row r="686" spans="1:15">
      <c r="A686" t="s">
        <v>19</v>
      </c>
      <c r="B686" t="s">
        <v>20</v>
      </c>
      <c r="C686" t="s">
        <v>21</v>
      </c>
      <c r="D686" t="s">
        <v>16</v>
      </c>
      <c r="E686" s="2">
        <v>50</v>
      </c>
      <c r="F686" t="s">
        <v>22</v>
      </c>
      <c r="G686" t="s">
        <v>23</v>
      </c>
      <c r="H686" s="2">
        <v>72</v>
      </c>
      <c r="I686" s="3">
        <v>5744</v>
      </c>
      <c r="J686" s="4">
        <v>12.9</v>
      </c>
      <c r="K686" s="2">
        <v>110</v>
      </c>
      <c r="L686" s="2">
        <v>3</v>
      </c>
      <c r="M686" s="3">
        <v>24909</v>
      </c>
      <c r="N686" t="str" cm="1">
        <f t="array" ref="N686">_xlfn.IFS(Table1_3[[#This Row],[Patient Satisfaction Score]]&gt;=83,"High",H686&lt;=75,"Low",TRUE,"Moderate")</f>
        <v>Low</v>
      </c>
      <c r="O686" t="str">
        <f t="shared" si="10"/>
        <v>Adult</v>
      </c>
    </row>
    <row r="687" spans="1:15">
      <c r="A687" t="s">
        <v>142</v>
      </c>
      <c r="B687" t="s">
        <v>143</v>
      </c>
      <c r="C687" t="s">
        <v>21</v>
      </c>
      <c r="D687" t="s">
        <v>16</v>
      </c>
      <c r="E687" s="2">
        <v>50</v>
      </c>
      <c r="F687" t="s">
        <v>17</v>
      </c>
      <c r="G687" t="s">
        <v>70</v>
      </c>
      <c r="H687" s="2">
        <v>76</v>
      </c>
      <c r="I687" s="3">
        <v>5903</v>
      </c>
      <c r="J687" s="4">
        <v>13.77</v>
      </c>
      <c r="K687" s="2">
        <v>35</v>
      </c>
      <c r="L687" s="2">
        <v>4</v>
      </c>
      <c r="M687" s="3">
        <v>26766</v>
      </c>
      <c r="N687" t="str" cm="1">
        <f t="array" ref="N687">_xlfn.IFS(Table1_3[[#This Row],[Patient Satisfaction Score]]&gt;=83,"High",H687&lt;=75,"Low",TRUE,"Moderate")</f>
        <v>Moderate</v>
      </c>
      <c r="O687" t="str">
        <f t="shared" si="10"/>
        <v>Adult</v>
      </c>
    </row>
    <row r="688" spans="1:15">
      <c r="A688" t="s">
        <v>215</v>
      </c>
      <c r="B688" t="s">
        <v>168</v>
      </c>
      <c r="C688" t="s">
        <v>45</v>
      </c>
      <c r="D688" t="s">
        <v>27</v>
      </c>
      <c r="E688" s="2">
        <v>50</v>
      </c>
      <c r="F688" t="s">
        <v>17</v>
      </c>
      <c r="G688" t="s">
        <v>23</v>
      </c>
      <c r="H688" s="2">
        <v>78</v>
      </c>
      <c r="I688" s="3">
        <v>12261</v>
      </c>
      <c r="J688" s="4">
        <v>18.43</v>
      </c>
      <c r="K688" s="2">
        <v>79</v>
      </c>
      <c r="L688" s="2">
        <v>4</v>
      </c>
      <c r="M688" s="3">
        <v>65057</v>
      </c>
      <c r="N688" t="str" cm="1">
        <f t="array" ref="N688">_xlfn.IFS(Table1_3[[#This Row],[Patient Satisfaction Score]]&gt;=83,"High",H688&lt;=75,"Low",TRUE,"Moderate")</f>
        <v>Moderate</v>
      </c>
      <c r="O688" t="str">
        <f t="shared" si="10"/>
        <v>Adult</v>
      </c>
    </row>
    <row r="689" spans="1:15">
      <c r="A689" t="s">
        <v>319</v>
      </c>
      <c r="B689" t="s">
        <v>56</v>
      </c>
      <c r="C689" t="s">
        <v>45</v>
      </c>
      <c r="D689" t="s">
        <v>16</v>
      </c>
      <c r="E689" s="2">
        <v>50</v>
      </c>
      <c r="F689" t="s">
        <v>17</v>
      </c>
      <c r="G689" t="s">
        <v>70</v>
      </c>
      <c r="H689" s="2">
        <v>76</v>
      </c>
      <c r="I689" s="3">
        <v>8662</v>
      </c>
      <c r="J689" s="4">
        <v>13.23</v>
      </c>
      <c r="K689" s="2">
        <v>93</v>
      </c>
      <c r="L689" s="2">
        <v>4</v>
      </c>
      <c r="M689" s="3">
        <v>47677</v>
      </c>
      <c r="N689" t="str" cm="1">
        <f t="array" ref="N689">_xlfn.IFS(Table1_3[[#This Row],[Patient Satisfaction Score]]&gt;=83,"High",H689&lt;=75,"Low",TRUE,"Moderate")</f>
        <v>Moderate</v>
      </c>
      <c r="O689" t="str">
        <f t="shared" si="10"/>
        <v>Adult</v>
      </c>
    </row>
    <row r="690" spans="1:15">
      <c r="A690" t="s">
        <v>473</v>
      </c>
      <c r="B690" t="s">
        <v>44</v>
      </c>
      <c r="C690" t="s">
        <v>45</v>
      </c>
      <c r="D690" t="s">
        <v>27</v>
      </c>
      <c r="E690" s="2">
        <v>50</v>
      </c>
      <c r="F690" t="s">
        <v>22</v>
      </c>
      <c r="G690" t="s">
        <v>31</v>
      </c>
      <c r="H690" s="2">
        <v>74</v>
      </c>
      <c r="I690" s="3">
        <v>11146</v>
      </c>
      <c r="J690" s="4">
        <v>16.52</v>
      </c>
      <c r="K690" s="2">
        <v>96</v>
      </c>
      <c r="L690" s="2">
        <v>4</v>
      </c>
      <c r="M690" s="3">
        <v>30479</v>
      </c>
      <c r="N690" t="str" cm="1">
        <f t="array" ref="N690">_xlfn.IFS(Table1_3[[#This Row],[Patient Satisfaction Score]]&gt;=83,"High",H690&lt;=75,"Low",TRUE,"Moderate")</f>
        <v>Low</v>
      </c>
      <c r="O690" t="str">
        <f t="shared" si="10"/>
        <v>Adult</v>
      </c>
    </row>
    <row r="691" spans="1:15">
      <c r="A691" t="s">
        <v>925</v>
      </c>
      <c r="B691" t="s">
        <v>68</v>
      </c>
      <c r="C691" t="s">
        <v>45</v>
      </c>
      <c r="D691" t="s">
        <v>16</v>
      </c>
      <c r="E691" s="2">
        <v>50</v>
      </c>
      <c r="F691" t="s">
        <v>17</v>
      </c>
      <c r="G691" t="s">
        <v>70</v>
      </c>
      <c r="H691" s="2">
        <v>68</v>
      </c>
      <c r="I691" s="3">
        <v>7594</v>
      </c>
      <c r="J691" s="4">
        <v>18.04</v>
      </c>
      <c r="K691" s="2">
        <v>108</v>
      </c>
      <c r="L691" s="2">
        <v>4</v>
      </c>
      <c r="M691" s="3">
        <v>21076</v>
      </c>
      <c r="N691" t="str" cm="1">
        <f t="array" ref="N691">_xlfn.IFS(Table1_3[[#This Row],[Patient Satisfaction Score]]&gt;=83,"High",H691&lt;=75,"Low",TRUE,"Moderate")</f>
        <v>Low</v>
      </c>
      <c r="O691" t="str">
        <f t="shared" si="10"/>
        <v>Adult</v>
      </c>
    </row>
    <row r="692" spans="1:15">
      <c r="A692" t="s">
        <v>148</v>
      </c>
      <c r="B692" t="s">
        <v>97</v>
      </c>
      <c r="C692" t="s">
        <v>30</v>
      </c>
      <c r="D692" t="s">
        <v>27</v>
      </c>
      <c r="E692" s="2">
        <v>50</v>
      </c>
      <c r="F692" t="s">
        <v>34</v>
      </c>
      <c r="G692" t="s">
        <v>23</v>
      </c>
      <c r="H692" s="2">
        <v>74</v>
      </c>
      <c r="I692" s="3">
        <v>4109</v>
      </c>
      <c r="J692" s="4">
        <v>16.7</v>
      </c>
      <c r="K692" s="2">
        <v>151</v>
      </c>
      <c r="L692" s="2">
        <v>4</v>
      </c>
      <c r="M692" s="3">
        <v>16587</v>
      </c>
      <c r="N692" t="str" cm="1">
        <f t="array" ref="N692">_xlfn.IFS(Table1_3[[#This Row],[Patient Satisfaction Score]]&gt;=83,"High",H692&lt;=75,"Low",TRUE,"Moderate")</f>
        <v>Low</v>
      </c>
      <c r="O692" t="str">
        <f t="shared" si="10"/>
        <v>Adult</v>
      </c>
    </row>
    <row r="693" spans="1:15">
      <c r="A693" t="s">
        <v>483</v>
      </c>
      <c r="B693" t="s">
        <v>29</v>
      </c>
      <c r="C693" t="s">
        <v>30</v>
      </c>
      <c r="D693" t="s">
        <v>27</v>
      </c>
      <c r="E693" s="2">
        <v>50</v>
      </c>
      <c r="F693" t="s">
        <v>22</v>
      </c>
      <c r="G693" t="s">
        <v>49</v>
      </c>
      <c r="H693" s="2">
        <v>64</v>
      </c>
      <c r="I693" s="3">
        <v>3254</v>
      </c>
      <c r="J693" s="4">
        <v>28.74</v>
      </c>
      <c r="K693" s="2">
        <v>84</v>
      </c>
      <c r="L693" s="2">
        <v>3</v>
      </c>
      <c r="M693" s="3">
        <v>14429</v>
      </c>
      <c r="N693" t="str" cm="1">
        <f t="array" ref="N693">_xlfn.IFS(Table1_3[[#This Row],[Patient Satisfaction Score]]&gt;=83,"High",H693&lt;=75,"Low",TRUE,"Moderate")</f>
        <v>Low</v>
      </c>
      <c r="O693" t="str">
        <f t="shared" si="10"/>
        <v>Adult</v>
      </c>
    </row>
    <row r="694" spans="1:15">
      <c r="A694" t="s">
        <v>118</v>
      </c>
      <c r="B694" t="s">
        <v>88</v>
      </c>
      <c r="C694" t="s">
        <v>15</v>
      </c>
      <c r="D694" t="s">
        <v>16</v>
      </c>
      <c r="E694" s="2">
        <v>50</v>
      </c>
      <c r="F694" t="s">
        <v>22</v>
      </c>
      <c r="G694" t="s">
        <v>49</v>
      </c>
      <c r="H694" s="2">
        <v>77</v>
      </c>
      <c r="I694" s="3">
        <v>3566</v>
      </c>
      <c r="J694" s="4">
        <v>12.39</v>
      </c>
      <c r="K694" s="2">
        <v>90</v>
      </c>
      <c r="L694" s="2">
        <v>4</v>
      </c>
      <c r="M694" s="3">
        <v>19707</v>
      </c>
      <c r="N694" t="str" cm="1">
        <f t="array" ref="N694">_xlfn.IFS(Table1_3[[#This Row],[Patient Satisfaction Score]]&gt;=83,"High",H694&lt;=75,"Low",TRUE,"Moderate")</f>
        <v>Moderate</v>
      </c>
      <c r="O694" t="str">
        <f t="shared" si="10"/>
        <v>Adult</v>
      </c>
    </row>
    <row r="695" spans="1:15">
      <c r="A695" t="s">
        <v>201</v>
      </c>
      <c r="B695" t="s">
        <v>80</v>
      </c>
      <c r="C695" t="s">
        <v>15</v>
      </c>
      <c r="D695" t="s">
        <v>16</v>
      </c>
      <c r="E695" s="2">
        <v>50</v>
      </c>
      <c r="F695" t="s">
        <v>22</v>
      </c>
      <c r="G695" t="s">
        <v>23</v>
      </c>
      <c r="H695" s="2">
        <v>83</v>
      </c>
      <c r="I695" s="3">
        <v>7753</v>
      </c>
      <c r="J695" s="4">
        <v>16.190000000000001</v>
      </c>
      <c r="K695" s="2">
        <v>76</v>
      </c>
      <c r="L695" s="2">
        <v>4</v>
      </c>
      <c r="M695" s="3">
        <v>44673</v>
      </c>
      <c r="N695" t="str" cm="1">
        <f t="array" ref="N695">_xlfn.IFS(Table1_3[[#This Row],[Patient Satisfaction Score]]&gt;=83,"High",H695&lt;=75,"Low",TRUE,"Moderate")</f>
        <v>High</v>
      </c>
      <c r="O695" t="str">
        <f t="shared" si="10"/>
        <v>Adult</v>
      </c>
    </row>
    <row r="696" spans="1:15">
      <c r="A696" t="s">
        <v>351</v>
      </c>
      <c r="B696" t="s">
        <v>14</v>
      </c>
      <c r="C696" t="s">
        <v>15</v>
      </c>
      <c r="D696" t="s">
        <v>16</v>
      </c>
      <c r="E696" s="2">
        <v>50</v>
      </c>
      <c r="F696" t="s">
        <v>34</v>
      </c>
      <c r="G696" t="s">
        <v>18</v>
      </c>
      <c r="H696" s="2">
        <v>68</v>
      </c>
      <c r="I696" s="3">
        <v>6493</v>
      </c>
      <c r="J696" s="4">
        <v>17.12</v>
      </c>
      <c r="K696" s="2">
        <v>120</v>
      </c>
      <c r="L696" s="2">
        <v>4</v>
      </c>
      <c r="M696" s="3">
        <v>36164</v>
      </c>
      <c r="N696" t="str" cm="1">
        <f t="array" ref="N696">_xlfn.IFS(Table1_3[[#This Row],[Patient Satisfaction Score]]&gt;=83,"High",H696&lt;=75,"Low",TRUE,"Moderate")</f>
        <v>Low</v>
      </c>
      <c r="O696" t="str">
        <f t="shared" si="10"/>
        <v>Adult</v>
      </c>
    </row>
    <row r="697" spans="1:15">
      <c r="A697" t="s">
        <v>444</v>
      </c>
      <c r="B697" t="s">
        <v>14</v>
      </c>
      <c r="C697" t="s">
        <v>15</v>
      </c>
      <c r="D697" t="s">
        <v>27</v>
      </c>
      <c r="E697" s="2">
        <v>50</v>
      </c>
      <c r="F697" t="s">
        <v>22</v>
      </c>
      <c r="G697" t="s">
        <v>31</v>
      </c>
      <c r="H697" s="2">
        <v>71</v>
      </c>
      <c r="I697" s="3">
        <v>7520</v>
      </c>
      <c r="J697" s="4">
        <v>17.559999999999999</v>
      </c>
      <c r="K697" s="2">
        <v>120</v>
      </c>
      <c r="L697" s="2">
        <v>4</v>
      </c>
      <c r="M697" s="3">
        <v>27581</v>
      </c>
      <c r="N697" t="str" cm="1">
        <f t="array" ref="N697">_xlfn.IFS(Table1_3[[#This Row],[Patient Satisfaction Score]]&gt;=83,"High",H697&lt;=75,"Low",TRUE,"Moderate")</f>
        <v>Low</v>
      </c>
      <c r="O697" t="str">
        <f t="shared" si="10"/>
        <v>Adult</v>
      </c>
    </row>
    <row r="698" spans="1:15">
      <c r="A698" t="s">
        <v>633</v>
      </c>
      <c r="B698" t="s">
        <v>14</v>
      </c>
      <c r="C698" t="s">
        <v>15</v>
      </c>
      <c r="D698" t="s">
        <v>16</v>
      </c>
      <c r="E698" s="2">
        <v>50</v>
      </c>
      <c r="F698" t="s">
        <v>22</v>
      </c>
      <c r="G698" t="s">
        <v>23</v>
      </c>
      <c r="H698" s="2">
        <v>75</v>
      </c>
      <c r="I698" s="3">
        <v>6379</v>
      </c>
      <c r="J698" s="4">
        <v>20.73</v>
      </c>
      <c r="K698" s="2">
        <v>63</v>
      </c>
      <c r="L698" s="2">
        <v>4</v>
      </c>
      <c r="M698" s="3">
        <v>21249</v>
      </c>
      <c r="N698" t="str" cm="1">
        <f t="array" ref="N698">_xlfn.IFS(Table1_3[[#This Row],[Patient Satisfaction Score]]&gt;=83,"High",H698&lt;=75,"Low",TRUE,"Moderate")</f>
        <v>Low</v>
      </c>
      <c r="O698" t="str">
        <f t="shared" si="10"/>
        <v>Adult</v>
      </c>
    </row>
    <row r="699" spans="1:15">
      <c r="A699" t="s">
        <v>106</v>
      </c>
      <c r="B699" t="s">
        <v>33</v>
      </c>
      <c r="C699" t="s">
        <v>26</v>
      </c>
      <c r="D699" t="s">
        <v>27</v>
      </c>
      <c r="E699" s="2">
        <v>51</v>
      </c>
      <c r="F699" t="s">
        <v>17</v>
      </c>
      <c r="G699" t="s">
        <v>23</v>
      </c>
      <c r="H699" s="2">
        <v>82</v>
      </c>
      <c r="I699" s="3">
        <v>2548</v>
      </c>
      <c r="J699" s="4">
        <v>7.38</v>
      </c>
      <c r="K699" s="2">
        <v>42</v>
      </c>
      <c r="L699" s="2">
        <v>5</v>
      </c>
      <c r="M699" s="3">
        <v>8984</v>
      </c>
      <c r="N699" t="str" cm="1">
        <f t="array" ref="N699">_xlfn.IFS(Table1_3[[#This Row],[Patient Satisfaction Score]]&gt;=83,"High",H699&lt;=75,"Low",TRUE,"Moderate")</f>
        <v>Moderate</v>
      </c>
      <c r="O699" t="str">
        <f t="shared" si="10"/>
        <v>Adult</v>
      </c>
    </row>
    <row r="700" spans="1:15">
      <c r="A700" t="s">
        <v>721</v>
      </c>
      <c r="B700" t="s">
        <v>33</v>
      </c>
      <c r="C700" t="s">
        <v>26</v>
      </c>
      <c r="D700" t="s">
        <v>27</v>
      </c>
      <c r="E700" s="2">
        <v>51</v>
      </c>
      <c r="F700" t="s">
        <v>34</v>
      </c>
      <c r="G700" t="s">
        <v>31</v>
      </c>
      <c r="H700" s="2">
        <v>92</v>
      </c>
      <c r="I700" s="3">
        <v>2393</v>
      </c>
      <c r="J700" s="4">
        <v>9.7200000000000006</v>
      </c>
      <c r="K700" s="2">
        <v>13</v>
      </c>
      <c r="L700" s="2">
        <v>4</v>
      </c>
      <c r="M700" s="3">
        <v>6747</v>
      </c>
      <c r="N700" t="str" cm="1">
        <f t="array" ref="N700">_xlfn.IFS(Table1_3[[#This Row],[Patient Satisfaction Score]]&gt;=83,"High",H700&lt;=75,"Low",TRUE,"Moderate")</f>
        <v>High</v>
      </c>
      <c r="O700" t="str">
        <f t="shared" si="10"/>
        <v>Adult</v>
      </c>
    </row>
    <row r="701" spans="1:15">
      <c r="A701" t="s">
        <v>582</v>
      </c>
      <c r="B701" t="s">
        <v>58</v>
      </c>
      <c r="C701" t="s">
        <v>48</v>
      </c>
      <c r="D701" t="s">
        <v>16</v>
      </c>
      <c r="E701" s="2">
        <v>51</v>
      </c>
      <c r="F701" t="s">
        <v>22</v>
      </c>
      <c r="G701" t="s">
        <v>23</v>
      </c>
      <c r="H701" s="2">
        <v>87</v>
      </c>
      <c r="I701" s="3">
        <v>6600</v>
      </c>
      <c r="J701" s="4">
        <v>9.8699999999999992</v>
      </c>
      <c r="K701" s="2">
        <v>73</v>
      </c>
      <c r="L701" s="2">
        <v>4</v>
      </c>
      <c r="M701" s="3">
        <v>26202</v>
      </c>
      <c r="N701" t="str" cm="1">
        <f t="array" ref="N701">_xlfn.IFS(Table1_3[[#This Row],[Patient Satisfaction Score]]&gt;=83,"High",H701&lt;=75,"Low",TRUE,"Moderate")</f>
        <v>High</v>
      </c>
      <c r="O701" t="str">
        <f t="shared" si="10"/>
        <v>Adult</v>
      </c>
    </row>
    <row r="702" spans="1:15">
      <c r="A702" t="s">
        <v>280</v>
      </c>
      <c r="B702" t="s">
        <v>185</v>
      </c>
      <c r="C702" t="s">
        <v>52</v>
      </c>
      <c r="D702" t="s">
        <v>16</v>
      </c>
      <c r="E702" s="2">
        <v>51</v>
      </c>
      <c r="F702" t="s">
        <v>17</v>
      </c>
      <c r="G702" t="s">
        <v>18</v>
      </c>
      <c r="H702" s="2">
        <v>71</v>
      </c>
      <c r="I702" s="3">
        <v>8385</v>
      </c>
      <c r="J702" s="4">
        <v>24.41</v>
      </c>
      <c r="K702" s="2">
        <v>114</v>
      </c>
      <c r="L702" s="2">
        <v>3</v>
      </c>
      <c r="M702" s="3">
        <v>41179</v>
      </c>
      <c r="N702" t="str" cm="1">
        <f t="array" ref="N702">_xlfn.IFS(Table1_3[[#This Row],[Patient Satisfaction Score]]&gt;=83,"High",H702&lt;=75,"Low",TRUE,"Moderate")</f>
        <v>Low</v>
      </c>
      <c r="O702" t="str">
        <f t="shared" si="10"/>
        <v>Adult</v>
      </c>
    </row>
    <row r="703" spans="1:15">
      <c r="A703" t="s">
        <v>609</v>
      </c>
      <c r="B703" t="s">
        <v>185</v>
      </c>
      <c r="C703" t="s">
        <v>52</v>
      </c>
      <c r="D703" t="s">
        <v>16</v>
      </c>
      <c r="E703" s="2">
        <v>51</v>
      </c>
      <c r="F703" t="s">
        <v>17</v>
      </c>
      <c r="G703" t="s">
        <v>70</v>
      </c>
      <c r="H703" s="2">
        <v>79</v>
      </c>
      <c r="I703" s="3">
        <v>5848</v>
      </c>
      <c r="J703" s="4">
        <v>14.85</v>
      </c>
      <c r="K703" s="2">
        <v>73</v>
      </c>
      <c r="L703" s="2">
        <v>5</v>
      </c>
      <c r="M703" s="3">
        <v>26989</v>
      </c>
      <c r="N703" t="str" cm="1">
        <f t="array" ref="N703">_xlfn.IFS(Table1_3[[#This Row],[Patient Satisfaction Score]]&gt;=83,"High",H703&lt;=75,"Low",TRUE,"Moderate")</f>
        <v>Moderate</v>
      </c>
      <c r="O703" t="str">
        <f t="shared" si="10"/>
        <v>Adult</v>
      </c>
    </row>
    <row r="704" spans="1:15">
      <c r="A704" t="s">
        <v>304</v>
      </c>
      <c r="B704" t="s">
        <v>36</v>
      </c>
      <c r="C704" t="s">
        <v>21</v>
      </c>
      <c r="D704" t="s">
        <v>27</v>
      </c>
      <c r="E704" s="2">
        <v>51</v>
      </c>
      <c r="F704" t="s">
        <v>22</v>
      </c>
      <c r="G704" t="s">
        <v>31</v>
      </c>
      <c r="H704" s="2">
        <v>85</v>
      </c>
      <c r="I704" s="3">
        <v>6120</v>
      </c>
      <c r="J704" s="4">
        <v>8.75</v>
      </c>
      <c r="K704" s="2">
        <v>84</v>
      </c>
      <c r="L704" s="2">
        <v>4</v>
      </c>
      <c r="M704" s="3">
        <v>26838</v>
      </c>
      <c r="N704" t="str" cm="1">
        <f t="array" ref="N704">_xlfn.IFS(Table1_3[[#This Row],[Patient Satisfaction Score]]&gt;=83,"High",H704&lt;=75,"Low",TRUE,"Moderate")</f>
        <v>High</v>
      </c>
      <c r="O704" t="str">
        <f t="shared" si="10"/>
        <v>Adult</v>
      </c>
    </row>
    <row r="705" spans="1:15">
      <c r="A705" t="s">
        <v>281</v>
      </c>
      <c r="B705" t="s">
        <v>56</v>
      </c>
      <c r="C705" t="s">
        <v>45</v>
      </c>
      <c r="D705" t="s">
        <v>27</v>
      </c>
      <c r="E705" s="2">
        <v>51</v>
      </c>
      <c r="F705" t="s">
        <v>22</v>
      </c>
      <c r="G705" t="s">
        <v>23</v>
      </c>
      <c r="H705" s="2">
        <v>70</v>
      </c>
      <c r="I705" s="3">
        <v>7879</v>
      </c>
      <c r="J705" s="4">
        <v>18.91</v>
      </c>
      <c r="K705" s="2">
        <v>113</v>
      </c>
      <c r="L705" s="2">
        <v>3</v>
      </c>
      <c r="M705" s="3">
        <v>26500</v>
      </c>
      <c r="N705" t="str" cm="1">
        <f t="array" ref="N705">_xlfn.IFS(Table1_3[[#This Row],[Patient Satisfaction Score]]&gt;=83,"High",H705&lt;=75,"Low",TRUE,"Moderate")</f>
        <v>Low</v>
      </c>
      <c r="O705" t="str">
        <f t="shared" si="10"/>
        <v>Adult</v>
      </c>
    </row>
    <row r="706" spans="1:15">
      <c r="A706" t="s">
        <v>497</v>
      </c>
      <c r="B706" t="s">
        <v>56</v>
      </c>
      <c r="C706" t="s">
        <v>45</v>
      </c>
      <c r="D706" t="s">
        <v>16</v>
      </c>
      <c r="E706" s="2">
        <v>51</v>
      </c>
      <c r="F706" t="s">
        <v>17</v>
      </c>
      <c r="G706" t="s">
        <v>18</v>
      </c>
      <c r="H706" s="2">
        <v>80</v>
      </c>
      <c r="I706" s="3">
        <v>7267</v>
      </c>
      <c r="J706" s="4">
        <v>13.08</v>
      </c>
      <c r="K706" s="2">
        <v>105</v>
      </c>
      <c r="L706" s="2">
        <v>4</v>
      </c>
      <c r="M706" s="3">
        <v>34005</v>
      </c>
      <c r="N706" t="str" cm="1">
        <f t="array" ref="N706">_xlfn.IFS(Table1_3[[#This Row],[Patient Satisfaction Score]]&gt;=83,"High",H706&lt;=75,"Low",TRUE,"Moderate")</f>
        <v>Moderate</v>
      </c>
      <c r="O706" t="str">
        <f t="shared" ref="O706:O769" si="11">IF(E706&lt;19,"Pediatric","Adult")</f>
        <v>Adult</v>
      </c>
    </row>
    <row r="707" spans="1:15">
      <c r="A707" t="s">
        <v>552</v>
      </c>
      <c r="B707" t="s">
        <v>74</v>
      </c>
      <c r="C707" t="s">
        <v>45</v>
      </c>
      <c r="D707" t="s">
        <v>16</v>
      </c>
      <c r="E707" s="2">
        <v>51</v>
      </c>
      <c r="F707" t="s">
        <v>34</v>
      </c>
      <c r="G707" t="s">
        <v>49</v>
      </c>
      <c r="H707" s="2">
        <v>85</v>
      </c>
      <c r="I707" s="3">
        <v>9389</v>
      </c>
      <c r="J707" s="4">
        <v>12.9</v>
      </c>
      <c r="K707" s="2">
        <v>76</v>
      </c>
      <c r="L707" s="2">
        <v>5</v>
      </c>
      <c r="M707" s="3">
        <v>48232</v>
      </c>
      <c r="N707" t="str" cm="1">
        <f t="array" ref="N707">_xlfn.IFS(Table1_3[[#This Row],[Patient Satisfaction Score]]&gt;=83,"High",H707&lt;=75,"Low",TRUE,"Moderate")</f>
        <v>High</v>
      </c>
      <c r="O707" t="str">
        <f t="shared" si="11"/>
        <v>Adult</v>
      </c>
    </row>
    <row r="708" spans="1:15">
      <c r="A708" t="s">
        <v>920</v>
      </c>
      <c r="B708" t="s">
        <v>56</v>
      </c>
      <c r="C708" t="s">
        <v>45</v>
      </c>
      <c r="D708" t="s">
        <v>16</v>
      </c>
      <c r="E708" s="2">
        <v>51</v>
      </c>
      <c r="F708" t="s">
        <v>17</v>
      </c>
      <c r="G708" t="s">
        <v>23</v>
      </c>
      <c r="H708" s="2">
        <v>79</v>
      </c>
      <c r="I708" s="3">
        <v>9813</v>
      </c>
      <c r="J708" s="4">
        <v>15.58</v>
      </c>
      <c r="K708" s="2">
        <v>68</v>
      </c>
      <c r="L708" s="2">
        <v>4</v>
      </c>
      <c r="M708" s="3">
        <v>36632</v>
      </c>
      <c r="N708" t="str" cm="1">
        <f t="array" ref="N708">_xlfn.IFS(Table1_3[[#This Row],[Patient Satisfaction Score]]&gt;=83,"High",H708&lt;=75,"Low",TRUE,"Moderate")</f>
        <v>Moderate</v>
      </c>
      <c r="O708" t="str">
        <f t="shared" si="11"/>
        <v>Adult</v>
      </c>
    </row>
    <row r="709" spans="1:15">
      <c r="A709" t="s">
        <v>714</v>
      </c>
      <c r="B709" t="s">
        <v>80</v>
      </c>
      <c r="C709" t="s">
        <v>15</v>
      </c>
      <c r="D709" t="s">
        <v>16</v>
      </c>
      <c r="E709" s="2">
        <v>51</v>
      </c>
      <c r="F709" t="s">
        <v>22</v>
      </c>
      <c r="G709" t="s">
        <v>31</v>
      </c>
      <c r="H709" s="2">
        <v>76</v>
      </c>
      <c r="I709" s="3">
        <v>8175</v>
      </c>
      <c r="J709" s="4">
        <v>10.57</v>
      </c>
      <c r="K709" s="2">
        <v>74</v>
      </c>
      <c r="L709" s="2">
        <v>3</v>
      </c>
      <c r="M709" s="3">
        <v>47066</v>
      </c>
      <c r="N709" t="str" cm="1">
        <f t="array" ref="N709">_xlfn.IFS(Table1_3[[#This Row],[Patient Satisfaction Score]]&gt;=83,"High",H709&lt;=75,"Low",TRUE,"Moderate")</f>
        <v>Moderate</v>
      </c>
      <c r="O709" t="str">
        <f t="shared" si="11"/>
        <v>Adult</v>
      </c>
    </row>
    <row r="710" spans="1:15">
      <c r="A710" t="s">
        <v>611</v>
      </c>
      <c r="B710" t="s">
        <v>25</v>
      </c>
      <c r="C710" t="s">
        <v>26</v>
      </c>
      <c r="D710" t="s">
        <v>27</v>
      </c>
      <c r="E710" s="2">
        <v>52</v>
      </c>
      <c r="F710" t="s">
        <v>34</v>
      </c>
      <c r="G710" t="s">
        <v>31</v>
      </c>
      <c r="H710" s="2">
        <v>88</v>
      </c>
      <c r="I710" s="3">
        <v>2389</v>
      </c>
      <c r="J710" s="4">
        <v>1.29</v>
      </c>
      <c r="K710" s="2">
        <v>57</v>
      </c>
      <c r="L710" s="2">
        <v>4</v>
      </c>
      <c r="M710" s="3">
        <v>11251</v>
      </c>
      <c r="N710" t="str" cm="1">
        <f t="array" ref="N710">_xlfn.IFS(Table1_3[[#This Row],[Patient Satisfaction Score]]&gt;=83,"High",H710&lt;=75,"Low",TRUE,"Moderate")</f>
        <v>High</v>
      </c>
      <c r="O710" t="str">
        <f t="shared" si="11"/>
        <v>Adult</v>
      </c>
    </row>
    <row r="711" spans="1:15">
      <c r="A711" t="s">
        <v>126</v>
      </c>
      <c r="B711" t="s">
        <v>47</v>
      </c>
      <c r="C711" t="s">
        <v>48</v>
      </c>
      <c r="D711" t="s">
        <v>72</v>
      </c>
      <c r="E711" s="2">
        <v>52</v>
      </c>
      <c r="F711" t="s">
        <v>22</v>
      </c>
      <c r="G711" t="s">
        <v>49</v>
      </c>
      <c r="H711" s="2">
        <v>73</v>
      </c>
      <c r="I711" s="3">
        <v>3519</v>
      </c>
      <c r="J711" s="4">
        <v>11.64</v>
      </c>
      <c r="K711" s="2">
        <v>74</v>
      </c>
      <c r="L711" s="2">
        <v>4</v>
      </c>
      <c r="M711" s="3">
        <v>9731</v>
      </c>
      <c r="N711" t="str" cm="1">
        <f t="array" ref="N711">_xlfn.IFS(Table1_3[[#This Row],[Patient Satisfaction Score]]&gt;=83,"High",H711&lt;=75,"Low",TRUE,"Moderate")</f>
        <v>Low</v>
      </c>
      <c r="O711" t="str">
        <f t="shared" si="11"/>
        <v>Adult</v>
      </c>
    </row>
    <row r="712" spans="1:15">
      <c r="A712" t="s">
        <v>315</v>
      </c>
      <c r="B712" t="s">
        <v>135</v>
      </c>
      <c r="C712" t="s">
        <v>48</v>
      </c>
      <c r="D712" t="s">
        <v>27</v>
      </c>
      <c r="E712" s="2">
        <v>52</v>
      </c>
      <c r="F712" t="s">
        <v>17</v>
      </c>
      <c r="G712" t="s">
        <v>18</v>
      </c>
      <c r="H712" s="2">
        <v>82</v>
      </c>
      <c r="I712" s="3">
        <v>7433</v>
      </c>
      <c r="J712" s="4">
        <v>7.51</v>
      </c>
      <c r="K712" s="2">
        <v>59</v>
      </c>
      <c r="L712" s="2">
        <v>4</v>
      </c>
      <c r="M712" s="3">
        <v>40358</v>
      </c>
      <c r="N712" t="str" cm="1">
        <f t="array" ref="N712">_xlfn.IFS(Table1_3[[#This Row],[Patient Satisfaction Score]]&gt;=83,"High",H712&lt;=75,"Low",TRUE,"Moderate")</f>
        <v>Moderate</v>
      </c>
      <c r="O712" t="str">
        <f t="shared" si="11"/>
        <v>Adult</v>
      </c>
    </row>
    <row r="713" spans="1:15">
      <c r="A713" t="s">
        <v>383</v>
      </c>
      <c r="B713" t="s">
        <v>135</v>
      </c>
      <c r="C713" t="s">
        <v>48</v>
      </c>
      <c r="D713" t="s">
        <v>16</v>
      </c>
      <c r="E713" s="2">
        <v>52</v>
      </c>
      <c r="F713" t="s">
        <v>34</v>
      </c>
      <c r="G713" t="s">
        <v>70</v>
      </c>
      <c r="H713" s="2">
        <v>70</v>
      </c>
      <c r="I713" s="3">
        <v>6390</v>
      </c>
      <c r="J713" s="4">
        <v>10.52</v>
      </c>
      <c r="K713" s="2">
        <v>103</v>
      </c>
      <c r="L713" s="2">
        <v>4</v>
      </c>
      <c r="M713" s="3">
        <v>31051</v>
      </c>
      <c r="N713" t="str" cm="1">
        <f t="array" ref="N713">_xlfn.IFS(Table1_3[[#This Row],[Patient Satisfaction Score]]&gt;=83,"High",H713&lt;=75,"Low",TRUE,"Moderate")</f>
        <v>Low</v>
      </c>
      <c r="O713" t="str">
        <f t="shared" si="11"/>
        <v>Adult</v>
      </c>
    </row>
    <row r="714" spans="1:15">
      <c r="A714" t="s">
        <v>639</v>
      </c>
      <c r="B714" t="s">
        <v>58</v>
      </c>
      <c r="C714" t="s">
        <v>48</v>
      </c>
      <c r="D714" t="s">
        <v>16</v>
      </c>
      <c r="E714" s="2">
        <v>52</v>
      </c>
      <c r="F714" t="s">
        <v>22</v>
      </c>
      <c r="G714" t="s">
        <v>18</v>
      </c>
      <c r="H714" s="2">
        <v>76</v>
      </c>
      <c r="I714" s="3">
        <v>6741</v>
      </c>
      <c r="J714" s="4">
        <v>18.04</v>
      </c>
      <c r="K714" s="2">
        <v>72</v>
      </c>
      <c r="L714" s="2">
        <v>3</v>
      </c>
      <c r="M714" s="3">
        <v>22207</v>
      </c>
      <c r="N714" t="str" cm="1">
        <f t="array" ref="N714">_xlfn.IFS(Table1_3[[#This Row],[Patient Satisfaction Score]]&gt;=83,"High",H714&lt;=75,"Low",TRUE,"Moderate")</f>
        <v>Moderate</v>
      </c>
      <c r="O714" t="str">
        <f t="shared" si="11"/>
        <v>Adult</v>
      </c>
    </row>
    <row r="715" spans="1:15">
      <c r="A715" t="s">
        <v>50</v>
      </c>
      <c r="B715" t="s">
        <v>51</v>
      </c>
      <c r="C715" t="s">
        <v>52</v>
      </c>
      <c r="D715" t="s">
        <v>27</v>
      </c>
      <c r="E715" s="2">
        <v>52</v>
      </c>
      <c r="F715" t="s">
        <v>17</v>
      </c>
      <c r="G715" t="s">
        <v>40</v>
      </c>
      <c r="H715" s="2">
        <v>58</v>
      </c>
      <c r="I715" s="3">
        <v>7942</v>
      </c>
      <c r="J715" s="4">
        <v>20.260000000000002</v>
      </c>
      <c r="K715" s="2">
        <v>110</v>
      </c>
      <c r="L715" s="2">
        <v>3</v>
      </c>
      <c r="M715" s="3">
        <v>20561</v>
      </c>
      <c r="N715" t="str" cm="1">
        <f t="array" ref="N715">_xlfn.IFS(Table1_3[[#This Row],[Patient Satisfaction Score]]&gt;=83,"High",H715&lt;=75,"Low",TRUE,"Moderate")</f>
        <v>Low</v>
      </c>
      <c r="O715" t="str">
        <f t="shared" si="11"/>
        <v>Adult</v>
      </c>
    </row>
    <row r="716" spans="1:15">
      <c r="A716" t="s">
        <v>180</v>
      </c>
      <c r="B716" t="s">
        <v>51</v>
      </c>
      <c r="C716" t="s">
        <v>52</v>
      </c>
      <c r="D716" t="s">
        <v>27</v>
      </c>
      <c r="E716" s="2">
        <v>52</v>
      </c>
      <c r="F716" t="s">
        <v>34</v>
      </c>
      <c r="G716" t="s">
        <v>49</v>
      </c>
      <c r="H716" s="2">
        <v>79</v>
      </c>
      <c r="I716" s="3">
        <v>8895</v>
      </c>
      <c r="J716" s="4">
        <v>18.32</v>
      </c>
      <c r="K716" s="2">
        <v>92</v>
      </c>
      <c r="L716" s="2">
        <v>4</v>
      </c>
      <c r="M716" s="3">
        <v>30010</v>
      </c>
      <c r="N716" t="str" cm="1">
        <f t="array" ref="N716">_xlfn.IFS(Table1_3[[#This Row],[Patient Satisfaction Score]]&gt;=83,"High",H716&lt;=75,"Low",TRUE,"Moderate")</f>
        <v>Moderate</v>
      </c>
      <c r="O716" t="str">
        <f t="shared" si="11"/>
        <v>Adult</v>
      </c>
    </row>
    <row r="717" spans="1:15">
      <c r="A717" t="s">
        <v>678</v>
      </c>
      <c r="B717" t="s">
        <v>60</v>
      </c>
      <c r="C717" t="s">
        <v>52</v>
      </c>
      <c r="D717" t="s">
        <v>16</v>
      </c>
      <c r="E717" s="2">
        <v>52</v>
      </c>
      <c r="F717" t="s">
        <v>34</v>
      </c>
      <c r="G717" t="s">
        <v>18</v>
      </c>
      <c r="H717" s="2">
        <v>84</v>
      </c>
      <c r="I717" s="3">
        <v>5569</v>
      </c>
      <c r="J717" s="4">
        <v>3.48</v>
      </c>
      <c r="K717" s="2">
        <v>86</v>
      </c>
      <c r="L717" s="2">
        <v>4</v>
      </c>
      <c r="M717" s="3">
        <v>27511</v>
      </c>
      <c r="N717" t="str" cm="1">
        <f t="array" ref="N717">_xlfn.IFS(Table1_3[[#This Row],[Patient Satisfaction Score]]&gt;=83,"High",H717&lt;=75,"Low",TRUE,"Moderate")</f>
        <v>High</v>
      </c>
      <c r="O717" t="str">
        <f t="shared" si="11"/>
        <v>Adult</v>
      </c>
    </row>
    <row r="718" spans="1:15">
      <c r="A718" t="s">
        <v>352</v>
      </c>
      <c r="B718" t="s">
        <v>36</v>
      </c>
      <c r="C718" t="s">
        <v>21</v>
      </c>
      <c r="D718" t="s">
        <v>16</v>
      </c>
      <c r="E718" s="2">
        <v>52</v>
      </c>
      <c r="F718" t="s">
        <v>17</v>
      </c>
      <c r="G718" t="s">
        <v>49</v>
      </c>
      <c r="H718" s="2">
        <v>68</v>
      </c>
      <c r="I718" s="3">
        <v>7963</v>
      </c>
      <c r="J718" s="4">
        <v>14.79</v>
      </c>
      <c r="K718" s="2">
        <v>89</v>
      </c>
      <c r="L718" s="2">
        <v>4</v>
      </c>
      <c r="M718" s="3">
        <v>27872</v>
      </c>
      <c r="N718" t="str" cm="1">
        <f t="array" ref="N718">_xlfn.IFS(Table1_3[[#This Row],[Patient Satisfaction Score]]&gt;=83,"High",H718&lt;=75,"Low",TRUE,"Moderate")</f>
        <v>Low</v>
      </c>
      <c r="O718" t="str">
        <f t="shared" si="11"/>
        <v>Adult</v>
      </c>
    </row>
    <row r="719" spans="1:15">
      <c r="A719" t="s">
        <v>606</v>
      </c>
      <c r="B719" t="s">
        <v>143</v>
      </c>
      <c r="C719" t="s">
        <v>21</v>
      </c>
      <c r="D719" t="s">
        <v>27</v>
      </c>
      <c r="E719" s="2">
        <v>52</v>
      </c>
      <c r="F719" t="s">
        <v>34</v>
      </c>
      <c r="G719" t="s">
        <v>70</v>
      </c>
      <c r="H719" s="2">
        <v>82</v>
      </c>
      <c r="I719" s="3">
        <v>8050</v>
      </c>
      <c r="J719" s="4">
        <v>9.9700000000000006</v>
      </c>
      <c r="K719" s="2">
        <v>96</v>
      </c>
      <c r="L719" s="2">
        <v>4</v>
      </c>
      <c r="M719" s="3">
        <v>46771</v>
      </c>
      <c r="N719" t="str" cm="1">
        <f t="array" ref="N719">_xlfn.IFS(Table1_3[[#This Row],[Patient Satisfaction Score]]&gt;=83,"High",H719&lt;=75,"Low",TRUE,"Moderate")</f>
        <v>Moderate</v>
      </c>
      <c r="O719" t="str">
        <f t="shared" si="11"/>
        <v>Adult</v>
      </c>
    </row>
    <row r="720" spans="1:15">
      <c r="A720" t="s">
        <v>896</v>
      </c>
      <c r="B720" t="s">
        <v>143</v>
      </c>
      <c r="C720" t="s">
        <v>21</v>
      </c>
      <c r="D720" t="s">
        <v>27</v>
      </c>
      <c r="E720" s="2">
        <v>52</v>
      </c>
      <c r="F720" t="s">
        <v>34</v>
      </c>
      <c r="G720" t="s">
        <v>49</v>
      </c>
      <c r="H720" s="2">
        <v>76</v>
      </c>
      <c r="I720" s="3">
        <v>6083</v>
      </c>
      <c r="J720" s="4">
        <v>7.88</v>
      </c>
      <c r="K720" s="2">
        <v>86</v>
      </c>
      <c r="L720" s="2">
        <v>4</v>
      </c>
      <c r="M720" s="3">
        <v>25564</v>
      </c>
      <c r="N720" t="str" cm="1">
        <f t="array" ref="N720">_xlfn.IFS(Table1_3[[#This Row],[Patient Satisfaction Score]]&gt;=83,"High",H720&lt;=75,"Low",TRUE,"Moderate")</f>
        <v>Moderate</v>
      </c>
      <c r="O720" t="str">
        <f t="shared" si="11"/>
        <v>Adult</v>
      </c>
    </row>
    <row r="721" spans="1:15">
      <c r="A721" t="s">
        <v>725</v>
      </c>
      <c r="B721" t="s">
        <v>56</v>
      </c>
      <c r="C721" t="s">
        <v>45</v>
      </c>
      <c r="D721" t="s">
        <v>16</v>
      </c>
      <c r="E721" s="2">
        <v>52</v>
      </c>
      <c r="F721" t="s">
        <v>34</v>
      </c>
      <c r="G721" t="s">
        <v>40</v>
      </c>
      <c r="H721" s="2">
        <v>85</v>
      </c>
      <c r="I721" s="3">
        <v>6936</v>
      </c>
      <c r="J721" s="4">
        <v>18.86</v>
      </c>
      <c r="K721" s="2">
        <v>78</v>
      </c>
      <c r="L721" s="2">
        <v>5</v>
      </c>
      <c r="M721" s="3">
        <v>36310</v>
      </c>
      <c r="N721" t="str" cm="1">
        <f t="array" ref="N721">_xlfn.IFS(Table1_3[[#This Row],[Patient Satisfaction Score]]&gt;=83,"High",H721&lt;=75,"Low",TRUE,"Moderate")</f>
        <v>High</v>
      </c>
      <c r="O721" t="str">
        <f t="shared" si="11"/>
        <v>Adult</v>
      </c>
    </row>
    <row r="722" spans="1:15">
      <c r="A722" t="s">
        <v>140</v>
      </c>
      <c r="B722" t="s">
        <v>64</v>
      </c>
      <c r="C722" t="s">
        <v>30</v>
      </c>
      <c r="D722" t="s">
        <v>27</v>
      </c>
      <c r="E722" s="2">
        <v>52</v>
      </c>
      <c r="F722" t="s">
        <v>17</v>
      </c>
      <c r="G722" t="s">
        <v>31</v>
      </c>
      <c r="H722" s="2">
        <v>68</v>
      </c>
      <c r="I722" s="3">
        <v>3666</v>
      </c>
      <c r="J722" s="4">
        <v>19.09</v>
      </c>
      <c r="K722" s="2">
        <v>108</v>
      </c>
      <c r="L722" s="2">
        <v>3</v>
      </c>
      <c r="M722" s="3">
        <v>17744</v>
      </c>
      <c r="N722" t="str" cm="1">
        <f t="array" ref="N722">_xlfn.IFS(Table1_3[[#This Row],[Patient Satisfaction Score]]&gt;=83,"High",H722&lt;=75,"Low",TRUE,"Moderate")</f>
        <v>Low</v>
      </c>
      <c r="O722" t="str">
        <f t="shared" si="11"/>
        <v>Adult</v>
      </c>
    </row>
    <row r="723" spans="1:15">
      <c r="A723" t="s">
        <v>711</v>
      </c>
      <c r="B723" t="s">
        <v>97</v>
      </c>
      <c r="C723" t="s">
        <v>30</v>
      </c>
      <c r="D723" t="s">
        <v>16</v>
      </c>
      <c r="E723" s="2">
        <v>52</v>
      </c>
      <c r="F723" t="s">
        <v>34</v>
      </c>
      <c r="G723" t="s">
        <v>49</v>
      </c>
      <c r="H723" s="2">
        <v>76</v>
      </c>
      <c r="I723" s="3">
        <v>3782</v>
      </c>
      <c r="J723" s="4">
        <v>14.91</v>
      </c>
      <c r="K723" s="2">
        <v>73</v>
      </c>
      <c r="L723" s="2">
        <v>4</v>
      </c>
      <c r="M723" s="3">
        <v>10835</v>
      </c>
      <c r="N723" t="str" cm="1">
        <f t="array" ref="N723">_xlfn.IFS(Table1_3[[#This Row],[Patient Satisfaction Score]]&gt;=83,"High",H723&lt;=75,"Low",TRUE,"Moderate")</f>
        <v>Moderate</v>
      </c>
      <c r="O723" t="str">
        <f t="shared" si="11"/>
        <v>Adult</v>
      </c>
    </row>
    <row r="724" spans="1:15">
      <c r="A724" t="s">
        <v>802</v>
      </c>
      <c r="B724" t="s">
        <v>78</v>
      </c>
      <c r="C724" t="s">
        <v>15</v>
      </c>
      <c r="D724" t="s">
        <v>27</v>
      </c>
      <c r="E724" s="2">
        <v>52</v>
      </c>
      <c r="F724" t="s">
        <v>34</v>
      </c>
      <c r="G724" t="s">
        <v>70</v>
      </c>
      <c r="H724" s="2">
        <v>82</v>
      </c>
      <c r="I724" s="3">
        <v>5322</v>
      </c>
      <c r="J724" s="4">
        <v>19.55</v>
      </c>
      <c r="K724" s="2">
        <v>40</v>
      </c>
      <c r="L724" s="2">
        <v>4</v>
      </c>
      <c r="M724" s="3">
        <v>26782</v>
      </c>
      <c r="N724" t="str" cm="1">
        <f t="array" ref="N724">_xlfn.IFS(Table1_3[[#This Row],[Patient Satisfaction Score]]&gt;=83,"High",H724&lt;=75,"Low",TRUE,"Moderate")</f>
        <v>Moderate</v>
      </c>
      <c r="O724" t="str">
        <f t="shared" si="11"/>
        <v>Adult</v>
      </c>
    </row>
    <row r="725" spans="1:15">
      <c r="A725" t="s">
        <v>155</v>
      </c>
      <c r="B725" t="s">
        <v>25</v>
      </c>
      <c r="C725" t="s">
        <v>26</v>
      </c>
      <c r="D725" t="s">
        <v>16</v>
      </c>
      <c r="E725" s="2">
        <v>53</v>
      </c>
      <c r="F725" t="s">
        <v>22</v>
      </c>
      <c r="G725" t="s">
        <v>31</v>
      </c>
      <c r="H725" s="2">
        <v>76</v>
      </c>
      <c r="I725" s="3">
        <v>2113</v>
      </c>
      <c r="J725" s="4">
        <v>0.02</v>
      </c>
      <c r="K725" s="2">
        <v>82</v>
      </c>
      <c r="L725" s="2">
        <v>4</v>
      </c>
      <c r="M725" s="3">
        <v>8699</v>
      </c>
      <c r="N725" t="str" cm="1">
        <f t="array" ref="N725">_xlfn.IFS(Table1_3[[#This Row],[Patient Satisfaction Score]]&gt;=83,"High",H725&lt;=75,"Low",TRUE,"Moderate")</f>
        <v>Moderate</v>
      </c>
      <c r="O725" t="str">
        <f t="shared" si="11"/>
        <v>Adult</v>
      </c>
    </row>
    <row r="726" spans="1:15">
      <c r="A726" t="s">
        <v>485</v>
      </c>
      <c r="B726" t="s">
        <v>33</v>
      </c>
      <c r="C726" t="s">
        <v>26</v>
      </c>
      <c r="D726" t="s">
        <v>16</v>
      </c>
      <c r="E726" s="2">
        <v>53</v>
      </c>
      <c r="F726" t="s">
        <v>17</v>
      </c>
      <c r="G726" t="s">
        <v>23</v>
      </c>
      <c r="H726" s="2">
        <v>89</v>
      </c>
      <c r="I726" s="3">
        <v>2690</v>
      </c>
      <c r="J726" s="4">
        <v>4.24</v>
      </c>
      <c r="K726" s="2">
        <v>36</v>
      </c>
      <c r="L726" s="2">
        <v>5</v>
      </c>
      <c r="M726" s="3">
        <v>8071</v>
      </c>
      <c r="N726" t="str" cm="1">
        <f t="array" ref="N726">_xlfn.IFS(Table1_3[[#This Row],[Patient Satisfaction Score]]&gt;=83,"High",H726&lt;=75,"Low",TRUE,"Moderate")</f>
        <v>High</v>
      </c>
      <c r="O726" t="str">
        <f t="shared" si="11"/>
        <v>Adult</v>
      </c>
    </row>
    <row r="727" spans="1:15">
      <c r="A727" t="s">
        <v>602</v>
      </c>
      <c r="B727" t="s">
        <v>25</v>
      </c>
      <c r="C727" t="s">
        <v>26</v>
      </c>
      <c r="D727" t="s">
        <v>27</v>
      </c>
      <c r="E727" s="2">
        <v>53</v>
      </c>
      <c r="F727" t="s">
        <v>34</v>
      </c>
      <c r="G727" t="s">
        <v>49</v>
      </c>
      <c r="H727" s="2">
        <v>85</v>
      </c>
      <c r="I727" s="3">
        <v>2330</v>
      </c>
      <c r="J727" s="4">
        <v>6.48</v>
      </c>
      <c r="K727" s="2">
        <v>50</v>
      </c>
      <c r="L727" s="2">
        <v>4</v>
      </c>
      <c r="M727" s="3">
        <v>8591</v>
      </c>
      <c r="N727" t="str" cm="1">
        <f t="array" ref="N727">_xlfn.IFS(Table1_3[[#This Row],[Patient Satisfaction Score]]&gt;=83,"High",H727&lt;=75,"Low",TRUE,"Moderate")</f>
        <v>High</v>
      </c>
      <c r="O727" t="str">
        <f t="shared" si="11"/>
        <v>Adult</v>
      </c>
    </row>
    <row r="728" spans="1:15">
      <c r="A728" t="s">
        <v>762</v>
      </c>
      <c r="B728" t="s">
        <v>25</v>
      </c>
      <c r="C728" t="s">
        <v>26</v>
      </c>
      <c r="D728" t="s">
        <v>27</v>
      </c>
      <c r="E728" s="2">
        <v>53</v>
      </c>
      <c r="F728" t="s">
        <v>34</v>
      </c>
      <c r="G728" t="s">
        <v>40</v>
      </c>
      <c r="H728" s="2">
        <v>98</v>
      </c>
      <c r="I728" s="3">
        <v>2540</v>
      </c>
      <c r="J728" s="4">
        <v>4.8499999999999996</v>
      </c>
      <c r="K728" s="2">
        <v>52</v>
      </c>
      <c r="L728" s="2">
        <v>5</v>
      </c>
      <c r="M728" s="3">
        <v>12085</v>
      </c>
      <c r="N728" t="str" cm="1">
        <f t="array" ref="N728">_xlfn.IFS(Table1_3[[#This Row],[Patient Satisfaction Score]]&gt;=83,"High",H728&lt;=75,"Low",TRUE,"Moderate")</f>
        <v>High</v>
      </c>
      <c r="O728" t="str">
        <f t="shared" si="11"/>
        <v>Adult</v>
      </c>
    </row>
    <row r="729" spans="1:15">
      <c r="A729" t="s">
        <v>728</v>
      </c>
      <c r="B729" t="s">
        <v>185</v>
      </c>
      <c r="C729" t="s">
        <v>52</v>
      </c>
      <c r="D729" t="s">
        <v>27</v>
      </c>
      <c r="E729" s="2">
        <v>53</v>
      </c>
      <c r="F729" t="s">
        <v>34</v>
      </c>
      <c r="G729" t="s">
        <v>18</v>
      </c>
      <c r="H729" s="2">
        <v>81</v>
      </c>
      <c r="I729" s="3">
        <v>9409</v>
      </c>
      <c r="J729" s="4">
        <v>14.01</v>
      </c>
      <c r="K729" s="2">
        <v>68</v>
      </c>
      <c r="L729" s="2">
        <v>4</v>
      </c>
      <c r="M729" s="3">
        <v>31191</v>
      </c>
      <c r="N729" t="str" cm="1">
        <f t="array" ref="N729">_xlfn.IFS(Table1_3[[#This Row],[Patient Satisfaction Score]]&gt;=83,"High",H729&lt;=75,"Low",TRUE,"Moderate")</f>
        <v>Moderate</v>
      </c>
      <c r="O729" t="str">
        <f t="shared" si="11"/>
        <v>Adult</v>
      </c>
    </row>
    <row r="730" spans="1:15">
      <c r="A730" t="s">
        <v>570</v>
      </c>
      <c r="B730" t="s">
        <v>84</v>
      </c>
      <c r="C730" t="s">
        <v>21</v>
      </c>
      <c r="D730" t="s">
        <v>16</v>
      </c>
      <c r="E730" s="2">
        <v>53</v>
      </c>
      <c r="F730" t="s">
        <v>22</v>
      </c>
      <c r="G730" t="s">
        <v>31</v>
      </c>
      <c r="H730" s="2">
        <v>74</v>
      </c>
      <c r="I730" s="3">
        <v>4191</v>
      </c>
      <c r="J730" s="4">
        <v>19.260000000000002</v>
      </c>
      <c r="K730" s="2">
        <v>98</v>
      </c>
      <c r="L730" s="2">
        <v>4</v>
      </c>
      <c r="M730" s="3">
        <v>22592</v>
      </c>
      <c r="N730" t="str" cm="1">
        <f t="array" ref="N730">_xlfn.IFS(Table1_3[[#This Row],[Patient Satisfaction Score]]&gt;=83,"High",H730&lt;=75,"Low",TRUE,"Moderate")</f>
        <v>Low</v>
      </c>
      <c r="O730" t="str">
        <f t="shared" si="11"/>
        <v>Adult</v>
      </c>
    </row>
    <row r="731" spans="1:15">
      <c r="A731" t="s">
        <v>787</v>
      </c>
      <c r="B731" t="s">
        <v>36</v>
      </c>
      <c r="C731" t="s">
        <v>21</v>
      </c>
      <c r="D731" t="s">
        <v>16</v>
      </c>
      <c r="E731" s="2">
        <v>53</v>
      </c>
      <c r="F731" t="s">
        <v>34</v>
      </c>
      <c r="G731" t="s">
        <v>40</v>
      </c>
      <c r="H731" s="2">
        <v>78</v>
      </c>
      <c r="I731" s="3">
        <v>8067</v>
      </c>
      <c r="J731" s="4">
        <v>17.440000000000001</v>
      </c>
      <c r="K731" s="2">
        <v>74</v>
      </c>
      <c r="L731" s="2">
        <v>4</v>
      </c>
      <c r="M731" s="3">
        <v>24567</v>
      </c>
      <c r="N731" t="str" cm="1">
        <f t="array" ref="N731">_xlfn.IFS(Table1_3[[#This Row],[Patient Satisfaction Score]]&gt;=83,"High",H731&lt;=75,"Low",TRUE,"Moderate")</f>
        <v>Moderate</v>
      </c>
      <c r="O731" t="str">
        <f t="shared" si="11"/>
        <v>Adult</v>
      </c>
    </row>
    <row r="732" spans="1:15">
      <c r="A732" t="s">
        <v>1041</v>
      </c>
      <c r="B732" t="s">
        <v>129</v>
      </c>
      <c r="C732" t="s">
        <v>21</v>
      </c>
      <c r="D732" t="s">
        <v>16</v>
      </c>
      <c r="E732" s="2">
        <v>53</v>
      </c>
      <c r="F732" t="s">
        <v>34</v>
      </c>
      <c r="G732" t="s">
        <v>40</v>
      </c>
      <c r="H732" s="2">
        <v>81</v>
      </c>
      <c r="I732" s="3">
        <v>7759</v>
      </c>
      <c r="J732" s="4">
        <v>8.1999999999999993</v>
      </c>
      <c r="K732" s="2">
        <v>89</v>
      </c>
      <c r="L732" s="2">
        <v>4</v>
      </c>
      <c r="M732" s="3">
        <v>21831</v>
      </c>
      <c r="N732" t="str" cm="1">
        <f t="array" ref="N732">_xlfn.IFS(Table1_3[[#This Row],[Patient Satisfaction Score]]&gt;=83,"High",H732&lt;=75,"Low",TRUE,"Moderate")</f>
        <v>Moderate</v>
      </c>
      <c r="O732" t="str">
        <f t="shared" si="11"/>
        <v>Adult</v>
      </c>
    </row>
    <row r="733" spans="1:15">
      <c r="A733" t="s">
        <v>100</v>
      </c>
      <c r="B733" t="s">
        <v>68</v>
      </c>
      <c r="C733" t="s">
        <v>45</v>
      </c>
      <c r="D733" t="s">
        <v>16</v>
      </c>
      <c r="E733" s="2">
        <v>53</v>
      </c>
      <c r="F733" t="s">
        <v>34</v>
      </c>
      <c r="G733" t="s">
        <v>18</v>
      </c>
      <c r="H733" s="2">
        <v>79</v>
      </c>
      <c r="I733" s="3">
        <v>8124</v>
      </c>
      <c r="J733" s="4">
        <v>17.829999999999998</v>
      </c>
      <c r="K733" s="2">
        <v>92</v>
      </c>
      <c r="L733" s="2">
        <v>4</v>
      </c>
      <c r="M733" s="3">
        <v>20971</v>
      </c>
      <c r="N733" t="str" cm="1">
        <f t="array" ref="N733">_xlfn.IFS(Table1_3[[#This Row],[Patient Satisfaction Score]]&gt;=83,"High",H733&lt;=75,"Low",TRUE,"Moderate")</f>
        <v>Moderate</v>
      </c>
      <c r="O733" t="str">
        <f t="shared" si="11"/>
        <v>Adult</v>
      </c>
    </row>
    <row r="734" spans="1:15">
      <c r="A734" t="s">
        <v>323</v>
      </c>
      <c r="B734" t="s">
        <v>74</v>
      </c>
      <c r="C734" t="s">
        <v>45</v>
      </c>
      <c r="D734" t="s">
        <v>16</v>
      </c>
      <c r="E734" s="2">
        <v>53</v>
      </c>
      <c r="F734" t="s">
        <v>34</v>
      </c>
      <c r="G734" t="s">
        <v>49</v>
      </c>
      <c r="H734" s="2">
        <v>76</v>
      </c>
      <c r="I734" s="3">
        <v>10624</v>
      </c>
      <c r="J734" s="4">
        <v>17.86</v>
      </c>
      <c r="K734" s="2">
        <v>112</v>
      </c>
      <c r="L734" s="2">
        <v>4</v>
      </c>
      <c r="M734" s="3">
        <v>27849</v>
      </c>
      <c r="N734" t="str" cm="1">
        <f t="array" ref="N734">_xlfn.IFS(Table1_3[[#This Row],[Patient Satisfaction Score]]&gt;=83,"High",H734&lt;=75,"Low",TRUE,"Moderate")</f>
        <v>Moderate</v>
      </c>
      <c r="O734" t="str">
        <f t="shared" si="11"/>
        <v>Adult</v>
      </c>
    </row>
    <row r="735" spans="1:15">
      <c r="A735" t="s">
        <v>509</v>
      </c>
      <c r="B735" t="s">
        <v>68</v>
      </c>
      <c r="C735" t="s">
        <v>45</v>
      </c>
      <c r="D735" t="s">
        <v>16</v>
      </c>
      <c r="E735" s="2">
        <v>53</v>
      </c>
      <c r="F735" t="s">
        <v>34</v>
      </c>
      <c r="G735" t="s">
        <v>40</v>
      </c>
      <c r="H735" s="2">
        <v>80</v>
      </c>
      <c r="I735" s="3">
        <v>5104</v>
      </c>
      <c r="J735" s="4">
        <v>15.69</v>
      </c>
      <c r="K735" s="2">
        <v>103</v>
      </c>
      <c r="L735" s="2">
        <v>4</v>
      </c>
      <c r="M735" s="3">
        <v>18622</v>
      </c>
      <c r="N735" t="str" cm="1">
        <f t="array" ref="N735">_xlfn.IFS(Table1_3[[#This Row],[Patient Satisfaction Score]]&gt;=83,"High",H735&lt;=75,"Low",TRUE,"Moderate")</f>
        <v>Moderate</v>
      </c>
      <c r="O735" t="str">
        <f t="shared" si="11"/>
        <v>Adult</v>
      </c>
    </row>
    <row r="736" spans="1:15">
      <c r="A736" t="s">
        <v>793</v>
      </c>
      <c r="B736" t="s">
        <v>74</v>
      </c>
      <c r="C736" t="s">
        <v>45</v>
      </c>
      <c r="D736" t="s">
        <v>27</v>
      </c>
      <c r="E736" s="2">
        <v>53</v>
      </c>
      <c r="F736" t="s">
        <v>22</v>
      </c>
      <c r="G736" t="s">
        <v>18</v>
      </c>
      <c r="H736" s="2">
        <v>72</v>
      </c>
      <c r="I736" s="3">
        <v>10602</v>
      </c>
      <c r="J736" s="4">
        <v>18.46</v>
      </c>
      <c r="K736" s="2">
        <v>115</v>
      </c>
      <c r="L736" s="2">
        <v>3</v>
      </c>
      <c r="M736" s="3">
        <v>53983</v>
      </c>
      <c r="N736" t="str" cm="1">
        <f t="array" ref="N736">_xlfn.IFS(Table1_3[[#This Row],[Patient Satisfaction Score]]&gt;=83,"High",H736&lt;=75,"Low",TRUE,"Moderate")</f>
        <v>Low</v>
      </c>
      <c r="O736" t="str">
        <f t="shared" si="11"/>
        <v>Adult</v>
      </c>
    </row>
    <row r="737" spans="1:15">
      <c r="A737" t="s">
        <v>860</v>
      </c>
      <c r="B737" t="s">
        <v>68</v>
      </c>
      <c r="C737" t="s">
        <v>45</v>
      </c>
      <c r="D737" t="s">
        <v>16</v>
      </c>
      <c r="E737" s="2">
        <v>53</v>
      </c>
      <c r="F737" t="s">
        <v>22</v>
      </c>
      <c r="G737" t="s">
        <v>70</v>
      </c>
      <c r="H737" s="2">
        <v>80</v>
      </c>
      <c r="I737" s="3">
        <v>13629</v>
      </c>
      <c r="J737" s="4">
        <v>8</v>
      </c>
      <c r="K737" s="2">
        <v>109</v>
      </c>
      <c r="L737" s="2">
        <v>4</v>
      </c>
      <c r="M737" s="3">
        <v>43481</v>
      </c>
      <c r="N737" t="str" cm="1">
        <f t="array" ref="N737">_xlfn.IFS(Table1_3[[#This Row],[Patient Satisfaction Score]]&gt;=83,"High",H737&lt;=75,"Low",TRUE,"Moderate")</f>
        <v>Moderate</v>
      </c>
      <c r="O737" t="str">
        <f t="shared" si="11"/>
        <v>Adult</v>
      </c>
    </row>
    <row r="738" spans="1:15">
      <c r="A738" t="s">
        <v>869</v>
      </c>
      <c r="B738" t="s">
        <v>64</v>
      </c>
      <c r="C738" t="s">
        <v>30</v>
      </c>
      <c r="D738" t="s">
        <v>16</v>
      </c>
      <c r="E738" s="2">
        <v>53</v>
      </c>
      <c r="F738" t="s">
        <v>22</v>
      </c>
      <c r="G738" t="s">
        <v>18</v>
      </c>
      <c r="H738" s="2">
        <v>69</v>
      </c>
      <c r="I738" s="3">
        <v>1676</v>
      </c>
      <c r="J738" s="4">
        <v>15.9</v>
      </c>
      <c r="K738" s="2">
        <v>117</v>
      </c>
      <c r="L738" s="2">
        <v>3</v>
      </c>
      <c r="M738" s="3">
        <v>5203</v>
      </c>
      <c r="N738" t="str" cm="1">
        <f t="array" ref="N738">_xlfn.IFS(Table1_3[[#This Row],[Patient Satisfaction Score]]&gt;=83,"High",H738&lt;=75,"Low",TRUE,"Moderate")</f>
        <v>Low</v>
      </c>
      <c r="O738" t="str">
        <f t="shared" si="11"/>
        <v>Adult</v>
      </c>
    </row>
    <row r="739" spans="1:15">
      <c r="A739" t="s">
        <v>952</v>
      </c>
      <c r="B739" t="s">
        <v>29</v>
      </c>
      <c r="C739" t="s">
        <v>30</v>
      </c>
      <c r="D739" t="s">
        <v>16</v>
      </c>
      <c r="E739" s="2">
        <v>53</v>
      </c>
      <c r="F739" t="s">
        <v>34</v>
      </c>
      <c r="G739" t="s">
        <v>70</v>
      </c>
      <c r="H739" s="2">
        <v>68</v>
      </c>
      <c r="I739" s="3">
        <v>3876</v>
      </c>
      <c r="J739" s="4">
        <v>19.23</v>
      </c>
      <c r="K739" s="2">
        <v>102</v>
      </c>
      <c r="L739" s="2">
        <v>4</v>
      </c>
      <c r="M739" s="3">
        <v>17561</v>
      </c>
      <c r="N739" t="str" cm="1">
        <f t="array" ref="N739">_xlfn.IFS(Table1_3[[#This Row],[Patient Satisfaction Score]]&gt;=83,"High",H739&lt;=75,"Low",TRUE,"Moderate")</f>
        <v>Low</v>
      </c>
      <c r="O739" t="str">
        <f t="shared" si="11"/>
        <v>Adult</v>
      </c>
    </row>
    <row r="740" spans="1:15">
      <c r="A740" t="s">
        <v>1026</v>
      </c>
      <c r="B740" t="s">
        <v>97</v>
      </c>
      <c r="C740" t="s">
        <v>30</v>
      </c>
      <c r="D740" t="s">
        <v>16</v>
      </c>
      <c r="E740" s="2">
        <v>53</v>
      </c>
      <c r="F740" t="s">
        <v>22</v>
      </c>
      <c r="G740" t="s">
        <v>31</v>
      </c>
      <c r="H740" s="2">
        <v>83</v>
      </c>
      <c r="I740" s="3">
        <v>4245</v>
      </c>
      <c r="J740" s="4">
        <v>16.97</v>
      </c>
      <c r="K740" s="2">
        <v>82</v>
      </c>
      <c r="L740" s="2">
        <v>4</v>
      </c>
      <c r="M740" s="3">
        <v>11884</v>
      </c>
      <c r="N740" t="str" cm="1">
        <f t="array" ref="N740">_xlfn.IFS(Table1_3[[#This Row],[Patient Satisfaction Score]]&gt;=83,"High",H740&lt;=75,"Low",TRUE,"Moderate")</f>
        <v>High</v>
      </c>
      <c r="O740" t="str">
        <f t="shared" si="11"/>
        <v>Adult</v>
      </c>
    </row>
    <row r="741" spans="1:15">
      <c r="A741" t="s">
        <v>426</v>
      </c>
      <c r="B741" t="s">
        <v>33</v>
      </c>
      <c r="C741" t="s">
        <v>26</v>
      </c>
      <c r="D741" t="s">
        <v>16</v>
      </c>
      <c r="E741" s="2">
        <v>54</v>
      </c>
      <c r="F741" t="s">
        <v>34</v>
      </c>
      <c r="G741" t="s">
        <v>70</v>
      </c>
      <c r="H741" s="2">
        <v>87</v>
      </c>
      <c r="I741" s="3">
        <v>2537</v>
      </c>
      <c r="J741" s="4">
        <v>7.97</v>
      </c>
      <c r="K741" s="2">
        <v>54</v>
      </c>
      <c r="L741" s="2">
        <v>4</v>
      </c>
      <c r="M741" s="3">
        <v>12938</v>
      </c>
      <c r="N741" t="str" cm="1">
        <f t="array" ref="N741">_xlfn.IFS(Table1_3[[#This Row],[Patient Satisfaction Score]]&gt;=83,"High",H741&lt;=75,"Low",TRUE,"Moderate")</f>
        <v>High</v>
      </c>
      <c r="O741" t="str">
        <f t="shared" si="11"/>
        <v>Adult</v>
      </c>
    </row>
    <row r="742" spans="1:15">
      <c r="A742" t="s">
        <v>560</v>
      </c>
      <c r="B742" t="s">
        <v>33</v>
      </c>
      <c r="C742" t="s">
        <v>26</v>
      </c>
      <c r="D742" t="s">
        <v>16</v>
      </c>
      <c r="E742" s="2">
        <v>54</v>
      </c>
      <c r="F742" t="s">
        <v>34</v>
      </c>
      <c r="G742" t="s">
        <v>70</v>
      </c>
      <c r="H742" s="2">
        <v>83</v>
      </c>
      <c r="I742" s="3">
        <v>1923</v>
      </c>
      <c r="J742" s="4">
        <v>0</v>
      </c>
      <c r="K742" s="2">
        <v>25</v>
      </c>
      <c r="L742" s="2">
        <v>4</v>
      </c>
      <c r="M742" s="3">
        <v>9247</v>
      </c>
      <c r="N742" t="str" cm="1">
        <f t="array" ref="N742">_xlfn.IFS(Table1_3[[#This Row],[Patient Satisfaction Score]]&gt;=83,"High",H742&lt;=75,"Low",TRUE,"Moderate")</f>
        <v>High</v>
      </c>
      <c r="O742" t="str">
        <f t="shared" si="11"/>
        <v>Adult</v>
      </c>
    </row>
    <row r="743" spans="1:15">
      <c r="A743" t="s">
        <v>1054</v>
      </c>
      <c r="B743" t="s">
        <v>25</v>
      </c>
      <c r="C743" t="s">
        <v>26</v>
      </c>
      <c r="D743" t="s">
        <v>16</v>
      </c>
      <c r="E743" s="2">
        <v>54</v>
      </c>
      <c r="F743" t="s">
        <v>34</v>
      </c>
      <c r="G743" t="s">
        <v>49</v>
      </c>
      <c r="H743" s="2">
        <v>90</v>
      </c>
      <c r="I743" s="3">
        <v>2381</v>
      </c>
      <c r="J743" s="4">
        <v>6.87</v>
      </c>
      <c r="K743" s="2">
        <v>30</v>
      </c>
      <c r="L743" s="2">
        <v>4</v>
      </c>
      <c r="M743" s="3">
        <v>11890</v>
      </c>
      <c r="N743" t="str" cm="1">
        <f t="array" ref="N743">_xlfn.IFS(Table1_3[[#This Row],[Patient Satisfaction Score]]&gt;=83,"High",H743&lt;=75,"Low",TRUE,"Moderate")</f>
        <v>High</v>
      </c>
      <c r="O743" t="str">
        <f t="shared" si="11"/>
        <v>Adult</v>
      </c>
    </row>
    <row r="744" spans="1:15">
      <c r="A744" t="s">
        <v>883</v>
      </c>
      <c r="B744" t="s">
        <v>122</v>
      </c>
      <c r="C744" t="s">
        <v>48</v>
      </c>
      <c r="D744" t="s">
        <v>16</v>
      </c>
      <c r="E744" s="2">
        <v>54</v>
      </c>
      <c r="F744" t="s">
        <v>22</v>
      </c>
      <c r="G744" t="s">
        <v>49</v>
      </c>
      <c r="H744" s="2">
        <v>76</v>
      </c>
      <c r="I744" s="3">
        <v>5306</v>
      </c>
      <c r="J744" s="4">
        <v>11.97</v>
      </c>
      <c r="K744" s="2">
        <v>101</v>
      </c>
      <c r="L744" s="2">
        <v>4</v>
      </c>
      <c r="M744" s="3">
        <v>16092</v>
      </c>
      <c r="N744" t="str" cm="1">
        <f t="array" ref="N744">_xlfn.IFS(Table1_3[[#This Row],[Patient Satisfaction Score]]&gt;=83,"High",H744&lt;=75,"Low",TRUE,"Moderate")</f>
        <v>Moderate</v>
      </c>
      <c r="O744" t="str">
        <f t="shared" si="11"/>
        <v>Adult</v>
      </c>
    </row>
    <row r="745" spans="1:15">
      <c r="A745" t="s">
        <v>61</v>
      </c>
      <c r="B745" t="s">
        <v>62</v>
      </c>
      <c r="C745" t="s">
        <v>52</v>
      </c>
      <c r="D745" t="s">
        <v>16</v>
      </c>
      <c r="E745" s="2">
        <v>54</v>
      </c>
      <c r="F745" t="s">
        <v>17</v>
      </c>
      <c r="G745" t="s">
        <v>18</v>
      </c>
      <c r="H745" s="2">
        <v>78</v>
      </c>
      <c r="I745" s="3">
        <v>8343</v>
      </c>
      <c r="J745" s="4">
        <v>5.91</v>
      </c>
      <c r="K745" s="2">
        <v>76</v>
      </c>
      <c r="L745" s="2">
        <v>4</v>
      </c>
      <c r="M745" s="3">
        <v>49234</v>
      </c>
      <c r="N745" t="str" cm="1">
        <f t="array" ref="N745">_xlfn.IFS(Table1_3[[#This Row],[Patient Satisfaction Score]]&gt;=83,"High",H745&lt;=75,"Low",TRUE,"Moderate")</f>
        <v>Moderate</v>
      </c>
      <c r="O745" t="str">
        <f t="shared" si="11"/>
        <v>Adult</v>
      </c>
    </row>
    <row r="746" spans="1:15">
      <c r="A746" t="s">
        <v>706</v>
      </c>
      <c r="B746" t="s">
        <v>60</v>
      </c>
      <c r="C746" t="s">
        <v>52</v>
      </c>
      <c r="D746" t="s">
        <v>16</v>
      </c>
      <c r="E746" s="2">
        <v>54</v>
      </c>
      <c r="F746" t="s">
        <v>34</v>
      </c>
      <c r="G746" t="s">
        <v>49</v>
      </c>
      <c r="H746" s="2">
        <v>68</v>
      </c>
      <c r="I746" s="3">
        <v>5342</v>
      </c>
      <c r="J746" s="4">
        <v>16.010000000000002</v>
      </c>
      <c r="K746" s="2">
        <v>67</v>
      </c>
      <c r="L746" s="2">
        <v>3</v>
      </c>
      <c r="M746" s="3">
        <v>24186</v>
      </c>
      <c r="N746" t="str" cm="1">
        <f t="array" ref="N746">_xlfn.IFS(Table1_3[[#This Row],[Patient Satisfaction Score]]&gt;=83,"High",H746&lt;=75,"Low",TRUE,"Moderate")</f>
        <v>Low</v>
      </c>
      <c r="O746" t="str">
        <f t="shared" si="11"/>
        <v>Adult</v>
      </c>
    </row>
    <row r="747" spans="1:15">
      <c r="A747" t="s">
        <v>729</v>
      </c>
      <c r="B747" t="s">
        <v>60</v>
      </c>
      <c r="C747" t="s">
        <v>52</v>
      </c>
      <c r="D747" t="s">
        <v>27</v>
      </c>
      <c r="E747" s="2">
        <v>54</v>
      </c>
      <c r="F747" t="s">
        <v>34</v>
      </c>
      <c r="G747" t="s">
        <v>23</v>
      </c>
      <c r="H747" s="2">
        <v>77</v>
      </c>
      <c r="I747" s="3">
        <v>10346</v>
      </c>
      <c r="J747" s="4">
        <v>16.16</v>
      </c>
      <c r="K747" s="2">
        <v>62</v>
      </c>
      <c r="L747" s="2">
        <v>3</v>
      </c>
      <c r="M747" s="3">
        <v>40547</v>
      </c>
      <c r="N747" t="str" cm="1">
        <f t="array" ref="N747">_xlfn.IFS(Table1_3[[#This Row],[Patient Satisfaction Score]]&gt;=83,"High",H747&lt;=75,"Low",TRUE,"Moderate")</f>
        <v>Moderate</v>
      </c>
      <c r="O747" t="str">
        <f t="shared" si="11"/>
        <v>Adult</v>
      </c>
    </row>
    <row r="748" spans="1:15">
      <c r="A748" t="s">
        <v>831</v>
      </c>
      <c r="B748" t="s">
        <v>60</v>
      </c>
      <c r="C748" t="s">
        <v>52</v>
      </c>
      <c r="D748" t="s">
        <v>16</v>
      </c>
      <c r="E748" s="2">
        <v>54</v>
      </c>
      <c r="F748" t="s">
        <v>17</v>
      </c>
      <c r="G748" t="s">
        <v>23</v>
      </c>
      <c r="H748" s="2">
        <v>85</v>
      </c>
      <c r="I748" s="3">
        <v>6740</v>
      </c>
      <c r="J748" s="4">
        <v>8.42</v>
      </c>
      <c r="K748" s="2">
        <v>84</v>
      </c>
      <c r="L748" s="2">
        <v>4</v>
      </c>
      <c r="M748" s="3">
        <v>39069</v>
      </c>
      <c r="N748" t="str" cm="1">
        <f t="array" ref="N748">_xlfn.IFS(Table1_3[[#This Row],[Patient Satisfaction Score]]&gt;=83,"High",H748&lt;=75,"Low",TRUE,"Moderate")</f>
        <v>High</v>
      </c>
      <c r="O748" t="str">
        <f t="shared" si="11"/>
        <v>Adult</v>
      </c>
    </row>
    <row r="749" spans="1:15">
      <c r="A749" t="s">
        <v>799</v>
      </c>
      <c r="B749" t="s">
        <v>68</v>
      </c>
      <c r="C749" t="s">
        <v>45</v>
      </c>
      <c r="D749" t="s">
        <v>27</v>
      </c>
      <c r="E749" s="2">
        <v>54</v>
      </c>
      <c r="F749" t="s">
        <v>17</v>
      </c>
      <c r="G749" t="s">
        <v>18</v>
      </c>
      <c r="H749" s="2">
        <v>78</v>
      </c>
      <c r="I749" s="3">
        <v>6958</v>
      </c>
      <c r="J749" s="4">
        <v>16.39</v>
      </c>
      <c r="K749" s="2">
        <v>93</v>
      </c>
      <c r="L749" s="2">
        <v>4</v>
      </c>
      <c r="M749" s="3">
        <v>25181</v>
      </c>
      <c r="N749" t="str" cm="1">
        <f t="array" ref="N749">_xlfn.IFS(Table1_3[[#This Row],[Patient Satisfaction Score]]&gt;=83,"High",H749&lt;=75,"Low",TRUE,"Moderate")</f>
        <v>Moderate</v>
      </c>
      <c r="O749" t="str">
        <f t="shared" si="11"/>
        <v>Adult</v>
      </c>
    </row>
    <row r="750" spans="1:15">
      <c r="A750" t="s">
        <v>114</v>
      </c>
      <c r="B750" t="s">
        <v>64</v>
      </c>
      <c r="C750" t="s">
        <v>30</v>
      </c>
      <c r="D750" t="s">
        <v>27</v>
      </c>
      <c r="E750" s="2">
        <v>54</v>
      </c>
      <c r="F750" t="s">
        <v>22</v>
      </c>
      <c r="G750" t="s">
        <v>70</v>
      </c>
      <c r="H750" s="2">
        <v>69</v>
      </c>
      <c r="I750" s="3">
        <v>5093</v>
      </c>
      <c r="J750" s="4">
        <v>19.62</v>
      </c>
      <c r="K750" s="2">
        <v>111</v>
      </c>
      <c r="L750" s="2">
        <v>4</v>
      </c>
      <c r="M750" s="3">
        <v>23919</v>
      </c>
      <c r="N750" t="str" cm="1">
        <f t="array" ref="N750">_xlfn.IFS(Table1_3[[#This Row],[Patient Satisfaction Score]]&gt;=83,"High",H750&lt;=75,"Low",TRUE,"Moderate")</f>
        <v>Low</v>
      </c>
      <c r="O750" t="str">
        <f t="shared" si="11"/>
        <v>Adult</v>
      </c>
    </row>
    <row r="751" spans="1:15">
      <c r="A751" t="s">
        <v>13</v>
      </c>
      <c r="B751" t="s">
        <v>14</v>
      </c>
      <c r="C751" t="s">
        <v>15</v>
      </c>
      <c r="D751" t="s">
        <v>16</v>
      </c>
      <c r="E751" s="2">
        <v>54</v>
      </c>
      <c r="F751" t="s">
        <v>17</v>
      </c>
      <c r="G751" t="s">
        <v>18</v>
      </c>
      <c r="H751" s="2">
        <v>73</v>
      </c>
      <c r="I751" s="3">
        <v>7906</v>
      </c>
      <c r="J751" s="4">
        <v>22.09</v>
      </c>
      <c r="K751" s="2">
        <v>82</v>
      </c>
      <c r="L751" s="2">
        <v>4</v>
      </c>
      <c r="M751" s="3">
        <v>21372</v>
      </c>
      <c r="N751" t="str" cm="1">
        <f t="array" ref="N751">_xlfn.IFS(Table1_3[[#This Row],[Patient Satisfaction Score]]&gt;=83,"High",H751&lt;=75,"Low",TRUE,"Moderate")</f>
        <v>Low</v>
      </c>
      <c r="O751" t="str">
        <f t="shared" si="11"/>
        <v>Adult</v>
      </c>
    </row>
    <row r="752" spans="1:15">
      <c r="A752" t="s">
        <v>524</v>
      </c>
      <c r="B752" t="s">
        <v>78</v>
      </c>
      <c r="C752" t="s">
        <v>15</v>
      </c>
      <c r="D752" t="s">
        <v>27</v>
      </c>
      <c r="E752" s="2">
        <v>54</v>
      </c>
      <c r="F752" t="s">
        <v>22</v>
      </c>
      <c r="G752" t="s">
        <v>49</v>
      </c>
      <c r="H752" s="2">
        <v>80</v>
      </c>
      <c r="I752" s="3">
        <v>5373</v>
      </c>
      <c r="J752" s="4">
        <v>14.87</v>
      </c>
      <c r="K752" s="2">
        <v>47</v>
      </c>
      <c r="L752" s="2">
        <v>4</v>
      </c>
      <c r="M752" s="3">
        <v>27673</v>
      </c>
      <c r="N752" t="str" cm="1">
        <f t="array" ref="N752">_xlfn.IFS(Table1_3[[#This Row],[Patient Satisfaction Score]]&gt;=83,"High",H752&lt;=75,"Low",TRUE,"Moderate")</f>
        <v>Moderate</v>
      </c>
      <c r="O752" t="str">
        <f t="shared" si="11"/>
        <v>Adult</v>
      </c>
    </row>
    <row r="753" spans="1:15">
      <c r="A753" t="s">
        <v>266</v>
      </c>
      <c r="B753" t="s">
        <v>33</v>
      </c>
      <c r="C753" t="s">
        <v>26</v>
      </c>
      <c r="D753" t="s">
        <v>16</v>
      </c>
      <c r="E753" s="2">
        <v>55</v>
      </c>
      <c r="F753" t="s">
        <v>34</v>
      </c>
      <c r="G753" t="s">
        <v>23</v>
      </c>
      <c r="H753" s="2">
        <v>85</v>
      </c>
      <c r="I753" s="3">
        <v>2211</v>
      </c>
      <c r="J753" s="4">
        <v>0</v>
      </c>
      <c r="K753" s="2">
        <v>60</v>
      </c>
      <c r="L753" s="2">
        <v>4</v>
      </c>
      <c r="M753" s="3">
        <v>9669</v>
      </c>
      <c r="N753" t="str" cm="1">
        <f t="array" ref="N753">_xlfn.IFS(Table1_3[[#This Row],[Patient Satisfaction Score]]&gt;=83,"High",H753&lt;=75,"Low",TRUE,"Moderate")</f>
        <v>High</v>
      </c>
      <c r="O753" t="str">
        <f t="shared" si="11"/>
        <v>Adult</v>
      </c>
    </row>
    <row r="754" spans="1:15">
      <c r="A754" t="s">
        <v>152</v>
      </c>
      <c r="B754" t="s">
        <v>58</v>
      </c>
      <c r="C754" t="s">
        <v>48</v>
      </c>
      <c r="D754" t="s">
        <v>27</v>
      </c>
      <c r="E754" s="2">
        <v>55</v>
      </c>
      <c r="F754" t="s">
        <v>34</v>
      </c>
      <c r="G754" t="s">
        <v>40</v>
      </c>
      <c r="H754" s="2">
        <v>74</v>
      </c>
      <c r="I754" s="3">
        <v>7159</v>
      </c>
      <c r="J754" s="4">
        <v>12.33</v>
      </c>
      <c r="K754" s="2">
        <v>99</v>
      </c>
      <c r="L754" s="2">
        <v>4</v>
      </c>
      <c r="M754" s="3">
        <v>25708</v>
      </c>
      <c r="N754" t="str" cm="1">
        <f t="array" ref="N754">_xlfn.IFS(Table1_3[[#This Row],[Patient Satisfaction Score]]&gt;=83,"High",H754&lt;=75,"Low",TRUE,"Moderate")</f>
        <v>Low</v>
      </c>
      <c r="O754" t="str">
        <f t="shared" si="11"/>
        <v>Adult</v>
      </c>
    </row>
    <row r="755" spans="1:15">
      <c r="A755" t="s">
        <v>231</v>
      </c>
      <c r="B755" t="s">
        <v>95</v>
      </c>
      <c r="C755" t="s">
        <v>52</v>
      </c>
      <c r="D755" t="s">
        <v>27</v>
      </c>
      <c r="E755" s="2">
        <v>55</v>
      </c>
      <c r="F755" t="s">
        <v>34</v>
      </c>
      <c r="G755" t="s">
        <v>40</v>
      </c>
      <c r="H755" s="2">
        <v>81</v>
      </c>
      <c r="I755" s="3">
        <v>7950</v>
      </c>
      <c r="J755" s="4">
        <v>22.01</v>
      </c>
      <c r="K755" s="2">
        <v>61</v>
      </c>
      <c r="L755" s="2">
        <v>4</v>
      </c>
      <c r="M755" s="3">
        <v>35752</v>
      </c>
      <c r="N755" t="str" cm="1">
        <f t="array" ref="N755">_xlfn.IFS(Table1_3[[#This Row],[Patient Satisfaction Score]]&gt;=83,"High",H755&lt;=75,"Low",TRUE,"Moderate")</f>
        <v>Moderate</v>
      </c>
      <c r="O755" t="str">
        <f t="shared" si="11"/>
        <v>Adult</v>
      </c>
    </row>
    <row r="756" spans="1:15">
      <c r="A756" t="s">
        <v>313</v>
      </c>
      <c r="B756" t="s">
        <v>60</v>
      </c>
      <c r="C756" t="s">
        <v>52</v>
      </c>
      <c r="D756" t="s">
        <v>27</v>
      </c>
      <c r="E756" s="2">
        <v>55</v>
      </c>
      <c r="F756" t="s">
        <v>17</v>
      </c>
      <c r="G756" t="s">
        <v>49</v>
      </c>
      <c r="H756" s="2">
        <v>78</v>
      </c>
      <c r="I756" s="3">
        <v>7095</v>
      </c>
      <c r="J756" s="4">
        <v>12.36</v>
      </c>
      <c r="K756" s="2">
        <v>63</v>
      </c>
      <c r="L756" s="2">
        <v>3</v>
      </c>
      <c r="M756" s="3">
        <v>36332</v>
      </c>
      <c r="N756" t="str" cm="1">
        <f t="array" ref="N756">_xlfn.IFS(Table1_3[[#This Row],[Patient Satisfaction Score]]&gt;=83,"High",H756&lt;=75,"Low",TRUE,"Moderate")</f>
        <v>Moderate</v>
      </c>
      <c r="O756" t="str">
        <f t="shared" si="11"/>
        <v>Adult</v>
      </c>
    </row>
    <row r="757" spans="1:15">
      <c r="A757" t="s">
        <v>320</v>
      </c>
      <c r="B757" t="s">
        <v>95</v>
      </c>
      <c r="C757" t="s">
        <v>52</v>
      </c>
      <c r="D757" t="s">
        <v>27</v>
      </c>
      <c r="E757" s="2">
        <v>55</v>
      </c>
      <c r="F757" t="s">
        <v>22</v>
      </c>
      <c r="G757" t="s">
        <v>49</v>
      </c>
      <c r="H757" s="2">
        <v>73</v>
      </c>
      <c r="I757" s="3">
        <v>9182</v>
      </c>
      <c r="J757" s="4">
        <v>16.46</v>
      </c>
      <c r="K757" s="2">
        <v>74</v>
      </c>
      <c r="L757" s="2">
        <v>4</v>
      </c>
      <c r="M757" s="3">
        <v>49609</v>
      </c>
      <c r="N757" t="str" cm="1">
        <f t="array" ref="N757">_xlfn.IFS(Table1_3[[#This Row],[Patient Satisfaction Score]]&gt;=83,"High",H757&lt;=75,"Low",TRUE,"Moderate")</f>
        <v>Low</v>
      </c>
      <c r="O757" t="str">
        <f t="shared" si="11"/>
        <v>Adult</v>
      </c>
    </row>
    <row r="758" spans="1:15">
      <c r="A758" t="s">
        <v>335</v>
      </c>
      <c r="B758" t="s">
        <v>60</v>
      </c>
      <c r="C758" t="s">
        <v>52</v>
      </c>
      <c r="D758" t="s">
        <v>16</v>
      </c>
      <c r="E758" s="2">
        <v>55</v>
      </c>
      <c r="F758" t="s">
        <v>17</v>
      </c>
      <c r="G758" t="s">
        <v>23</v>
      </c>
      <c r="H758" s="2">
        <v>82</v>
      </c>
      <c r="I758" s="3">
        <v>9962</v>
      </c>
      <c r="J758" s="4">
        <v>18.63</v>
      </c>
      <c r="K758" s="2">
        <v>76</v>
      </c>
      <c r="L758" s="2">
        <v>3</v>
      </c>
      <c r="M758" s="3">
        <v>25258</v>
      </c>
      <c r="N758" t="str" cm="1">
        <f t="array" ref="N758">_xlfn.IFS(Table1_3[[#This Row],[Patient Satisfaction Score]]&gt;=83,"High",H758&lt;=75,"Low",TRUE,"Moderate")</f>
        <v>Moderate</v>
      </c>
      <c r="O758" t="str">
        <f t="shared" si="11"/>
        <v>Adult</v>
      </c>
    </row>
    <row r="759" spans="1:15">
      <c r="A759" t="s">
        <v>825</v>
      </c>
      <c r="B759" t="s">
        <v>60</v>
      </c>
      <c r="C759" t="s">
        <v>52</v>
      </c>
      <c r="D759" t="s">
        <v>27</v>
      </c>
      <c r="E759" s="2">
        <v>55</v>
      </c>
      <c r="F759" t="s">
        <v>22</v>
      </c>
      <c r="G759" t="s">
        <v>70</v>
      </c>
      <c r="H759" s="2">
        <v>77</v>
      </c>
      <c r="I759" s="3">
        <v>8064</v>
      </c>
      <c r="J759" s="4">
        <v>19.73</v>
      </c>
      <c r="K759" s="2">
        <v>88</v>
      </c>
      <c r="L759" s="2">
        <v>4</v>
      </c>
      <c r="M759" s="3">
        <v>40683</v>
      </c>
      <c r="N759" t="str" cm="1">
        <f t="array" ref="N759">_xlfn.IFS(Table1_3[[#This Row],[Patient Satisfaction Score]]&gt;=83,"High",H759&lt;=75,"Low",TRUE,"Moderate")</f>
        <v>Moderate</v>
      </c>
      <c r="O759" t="str">
        <f t="shared" si="11"/>
        <v>Adult</v>
      </c>
    </row>
    <row r="760" spans="1:15">
      <c r="A760" t="s">
        <v>75</v>
      </c>
      <c r="B760" t="s">
        <v>36</v>
      </c>
      <c r="C760" t="s">
        <v>21</v>
      </c>
      <c r="D760" t="s">
        <v>16</v>
      </c>
      <c r="E760" s="2">
        <v>55</v>
      </c>
      <c r="F760" t="s">
        <v>34</v>
      </c>
      <c r="G760" t="s">
        <v>70</v>
      </c>
      <c r="H760" s="2">
        <v>72</v>
      </c>
      <c r="I760" s="3">
        <v>6825</v>
      </c>
      <c r="J760" s="4">
        <v>16.39</v>
      </c>
      <c r="K760" s="2">
        <v>95</v>
      </c>
      <c r="L760" s="2">
        <v>4</v>
      </c>
      <c r="M760" s="3">
        <v>20923</v>
      </c>
      <c r="N760" t="str" cm="1">
        <f t="array" ref="N760">_xlfn.IFS(Table1_3[[#This Row],[Patient Satisfaction Score]]&gt;=83,"High",H760&lt;=75,"Low",TRUE,"Moderate")</f>
        <v>Low</v>
      </c>
      <c r="O760" t="str">
        <f t="shared" si="11"/>
        <v>Adult</v>
      </c>
    </row>
    <row r="761" spans="1:15">
      <c r="A761" t="s">
        <v>487</v>
      </c>
      <c r="B761" t="s">
        <v>36</v>
      </c>
      <c r="C761" t="s">
        <v>21</v>
      </c>
      <c r="D761" t="s">
        <v>16</v>
      </c>
      <c r="E761" s="2">
        <v>55</v>
      </c>
      <c r="F761" t="s">
        <v>34</v>
      </c>
      <c r="G761" t="s">
        <v>49</v>
      </c>
      <c r="H761" s="2">
        <v>78</v>
      </c>
      <c r="I761" s="3">
        <v>5612</v>
      </c>
      <c r="J761" s="4">
        <v>12.29</v>
      </c>
      <c r="K761" s="2">
        <v>70</v>
      </c>
      <c r="L761" s="2">
        <v>4</v>
      </c>
      <c r="M761" s="3">
        <v>19200</v>
      </c>
      <c r="N761" t="str" cm="1">
        <f t="array" ref="N761">_xlfn.IFS(Table1_3[[#This Row],[Patient Satisfaction Score]]&gt;=83,"High",H761&lt;=75,"Low",TRUE,"Moderate")</f>
        <v>Moderate</v>
      </c>
      <c r="O761" t="str">
        <f t="shared" si="11"/>
        <v>Adult</v>
      </c>
    </row>
    <row r="762" spans="1:15">
      <c r="A762" t="s">
        <v>252</v>
      </c>
      <c r="B762" t="s">
        <v>168</v>
      </c>
      <c r="C762" t="s">
        <v>45</v>
      </c>
      <c r="D762" t="s">
        <v>27</v>
      </c>
      <c r="E762" s="2">
        <v>55</v>
      </c>
      <c r="F762" t="s">
        <v>22</v>
      </c>
      <c r="G762" t="s">
        <v>40</v>
      </c>
      <c r="H762" s="2">
        <v>79</v>
      </c>
      <c r="I762" s="3">
        <v>9304</v>
      </c>
      <c r="J762" s="4">
        <v>11.35</v>
      </c>
      <c r="K762" s="2">
        <v>76</v>
      </c>
      <c r="L762" s="2">
        <v>4</v>
      </c>
      <c r="M762" s="3">
        <v>47883</v>
      </c>
      <c r="N762" t="str" cm="1">
        <f t="array" ref="N762">_xlfn.IFS(Table1_3[[#This Row],[Patient Satisfaction Score]]&gt;=83,"High",H762&lt;=75,"Low",TRUE,"Moderate")</f>
        <v>Moderate</v>
      </c>
      <c r="O762" t="str">
        <f t="shared" si="11"/>
        <v>Adult</v>
      </c>
    </row>
    <row r="763" spans="1:15">
      <c r="A763" t="s">
        <v>488</v>
      </c>
      <c r="B763" t="s">
        <v>74</v>
      </c>
      <c r="C763" t="s">
        <v>45</v>
      </c>
      <c r="D763" t="s">
        <v>16</v>
      </c>
      <c r="E763" s="2">
        <v>55</v>
      </c>
      <c r="F763" t="s">
        <v>22</v>
      </c>
      <c r="G763" t="s">
        <v>18</v>
      </c>
      <c r="H763" s="2">
        <v>60</v>
      </c>
      <c r="I763" s="3">
        <v>7852</v>
      </c>
      <c r="J763" s="4">
        <v>18.829999999999998</v>
      </c>
      <c r="K763" s="2">
        <v>119</v>
      </c>
      <c r="L763" s="2">
        <v>3</v>
      </c>
      <c r="M763" s="3">
        <v>22207</v>
      </c>
      <c r="N763" t="str" cm="1">
        <f t="array" ref="N763">_xlfn.IFS(Table1_3[[#This Row],[Patient Satisfaction Score]]&gt;=83,"High",H763&lt;=75,"Low",TRUE,"Moderate")</f>
        <v>Low</v>
      </c>
      <c r="O763" t="str">
        <f t="shared" si="11"/>
        <v>Adult</v>
      </c>
    </row>
    <row r="764" spans="1:15">
      <c r="A764" t="s">
        <v>213</v>
      </c>
      <c r="B764" t="s">
        <v>29</v>
      </c>
      <c r="C764" t="s">
        <v>30</v>
      </c>
      <c r="D764" t="s">
        <v>16</v>
      </c>
      <c r="E764" s="2">
        <v>55</v>
      </c>
      <c r="F764" t="s">
        <v>17</v>
      </c>
      <c r="G764" t="s">
        <v>18</v>
      </c>
      <c r="H764" s="2">
        <v>66</v>
      </c>
      <c r="I764" s="3">
        <v>2886</v>
      </c>
      <c r="J764" s="4">
        <v>18.149999999999999</v>
      </c>
      <c r="K764" s="2">
        <v>145</v>
      </c>
      <c r="L764" s="2">
        <v>3</v>
      </c>
      <c r="M764" s="3">
        <v>8008</v>
      </c>
      <c r="N764" t="str" cm="1">
        <f t="array" ref="N764">_xlfn.IFS(Table1_3[[#This Row],[Patient Satisfaction Score]]&gt;=83,"High",H764&lt;=75,"Low",TRUE,"Moderate")</f>
        <v>Low</v>
      </c>
      <c r="O764" t="str">
        <f t="shared" si="11"/>
        <v>Adult</v>
      </c>
    </row>
    <row r="765" spans="1:15">
      <c r="A765" t="s">
        <v>104</v>
      </c>
      <c r="B765" t="s">
        <v>14</v>
      </c>
      <c r="C765" t="s">
        <v>15</v>
      </c>
      <c r="D765" t="s">
        <v>27</v>
      </c>
      <c r="E765" s="2">
        <v>55</v>
      </c>
      <c r="F765" t="s">
        <v>34</v>
      </c>
      <c r="G765" t="s">
        <v>23</v>
      </c>
      <c r="H765" s="2">
        <v>79</v>
      </c>
      <c r="I765" s="3">
        <v>6695</v>
      </c>
      <c r="J765" s="4">
        <v>20.399999999999999</v>
      </c>
      <c r="K765" s="2">
        <v>80</v>
      </c>
      <c r="L765" s="2">
        <v>4</v>
      </c>
      <c r="M765" s="3">
        <v>19153</v>
      </c>
      <c r="N765" t="str" cm="1">
        <f t="array" ref="N765">_xlfn.IFS(Table1_3[[#This Row],[Patient Satisfaction Score]]&gt;=83,"High",H765&lt;=75,"Low",TRUE,"Moderate")</f>
        <v>Moderate</v>
      </c>
      <c r="O765" t="str">
        <f t="shared" si="11"/>
        <v>Adult</v>
      </c>
    </row>
    <row r="766" spans="1:15">
      <c r="A766" t="s">
        <v>1025</v>
      </c>
      <c r="B766" t="s">
        <v>54</v>
      </c>
      <c r="C766" t="s">
        <v>15</v>
      </c>
      <c r="D766" t="s">
        <v>27</v>
      </c>
      <c r="E766" s="2">
        <v>55</v>
      </c>
      <c r="F766" t="s">
        <v>17</v>
      </c>
      <c r="G766" t="s">
        <v>23</v>
      </c>
      <c r="H766" s="2">
        <v>66</v>
      </c>
      <c r="I766" s="3">
        <v>7661</v>
      </c>
      <c r="J766" s="4">
        <v>12.88</v>
      </c>
      <c r="K766" s="2">
        <v>109</v>
      </c>
      <c r="L766" s="2">
        <v>3</v>
      </c>
      <c r="M766" s="3">
        <v>37101</v>
      </c>
      <c r="N766" t="str" cm="1">
        <f t="array" ref="N766">_xlfn.IFS(Table1_3[[#This Row],[Patient Satisfaction Score]]&gt;=83,"High",H766&lt;=75,"Low",TRUE,"Moderate")</f>
        <v>Low</v>
      </c>
      <c r="O766" t="str">
        <f t="shared" si="11"/>
        <v>Adult</v>
      </c>
    </row>
    <row r="767" spans="1:15">
      <c r="A767" t="s">
        <v>146</v>
      </c>
      <c r="B767" t="s">
        <v>25</v>
      </c>
      <c r="C767" t="s">
        <v>26</v>
      </c>
      <c r="D767" t="s">
        <v>16</v>
      </c>
      <c r="E767" s="2">
        <v>56</v>
      </c>
      <c r="F767" t="s">
        <v>17</v>
      </c>
      <c r="G767" t="s">
        <v>18</v>
      </c>
      <c r="H767" s="2">
        <v>89</v>
      </c>
      <c r="I767" s="3">
        <v>2685</v>
      </c>
      <c r="J767" s="4">
        <v>2.58</v>
      </c>
      <c r="K767" s="2">
        <v>40</v>
      </c>
      <c r="L767" s="2">
        <v>4</v>
      </c>
      <c r="M767" s="3">
        <v>12111</v>
      </c>
      <c r="N767" t="str" cm="1">
        <f t="array" ref="N767">_xlfn.IFS(Table1_3[[#This Row],[Patient Satisfaction Score]]&gt;=83,"High",H767&lt;=75,"Low",TRUE,"Moderate")</f>
        <v>High</v>
      </c>
      <c r="O767" t="str">
        <f t="shared" si="11"/>
        <v>Adult</v>
      </c>
    </row>
    <row r="768" spans="1:15">
      <c r="A768" t="s">
        <v>567</v>
      </c>
      <c r="B768" t="s">
        <v>137</v>
      </c>
      <c r="C768" t="s">
        <v>26</v>
      </c>
      <c r="D768" t="s">
        <v>16</v>
      </c>
      <c r="E768" s="2">
        <v>56</v>
      </c>
      <c r="F768" t="s">
        <v>34</v>
      </c>
      <c r="G768" t="s">
        <v>49</v>
      </c>
      <c r="H768" s="2">
        <v>99</v>
      </c>
      <c r="I768" s="3">
        <v>2449</v>
      </c>
      <c r="J768" s="4">
        <v>3.03</v>
      </c>
      <c r="K768" s="2">
        <v>28</v>
      </c>
      <c r="L768" s="2">
        <v>5</v>
      </c>
      <c r="M768" s="3">
        <v>14144</v>
      </c>
      <c r="N768" t="str" cm="1">
        <f t="array" ref="N768">_xlfn.IFS(Table1_3[[#This Row],[Patient Satisfaction Score]]&gt;=83,"High",H768&lt;=75,"Low",TRUE,"Moderate")</f>
        <v>High</v>
      </c>
      <c r="O768" t="str">
        <f t="shared" si="11"/>
        <v>Adult</v>
      </c>
    </row>
    <row r="769" spans="1:15">
      <c r="A769" t="s">
        <v>591</v>
      </c>
      <c r="B769" t="s">
        <v>137</v>
      </c>
      <c r="C769" t="s">
        <v>26</v>
      </c>
      <c r="D769" t="s">
        <v>27</v>
      </c>
      <c r="E769" s="2">
        <v>56</v>
      </c>
      <c r="F769" t="s">
        <v>22</v>
      </c>
      <c r="G769" t="s">
        <v>18</v>
      </c>
      <c r="H769" s="2">
        <v>96</v>
      </c>
      <c r="I769" s="3">
        <v>2480</v>
      </c>
      <c r="J769" s="4">
        <v>5.2</v>
      </c>
      <c r="K769" s="2">
        <v>5</v>
      </c>
      <c r="L769" s="2">
        <v>5</v>
      </c>
      <c r="M769" s="3">
        <v>11381</v>
      </c>
      <c r="N769" t="str" cm="1">
        <f t="array" ref="N769">_xlfn.IFS(Table1_3[[#This Row],[Patient Satisfaction Score]]&gt;=83,"High",H769&lt;=75,"Low",TRUE,"Moderate")</f>
        <v>High</v>
      </c>
      <c r="O769" t="str">
        <f t="shared" si="11"/>
        <v>Adult</v>
      </c>
    </row>
    <row r="770" spans="1:15">
      <c r="A770" t="s">
        <v>794</v>
      </c>
      <c r="B770" t="s">
        <v>33</v>
      </c>
      <c r="C770" t="s">
        <v>26</v>
      </c>
      <c r="D770" t="s">
        <v>27</v>
      </c>
      <c r="E770" s="2">
        <v>56</v>
      </c>
      <c r="F770" t="s">
        <v>34</v>
      </c>
      <c r="G770" t="s">
        <v>18</v>
      </c>
      <c r="H770" s="2">
        <v>82</v>
      </c>
      <c r="I770" s="3">
        <v>2723</v>
      </c>
      <c r="J770" s="4">
        <v>3</v>
      </c>
      <c r="K770" s="2">
        <v>73</v>
      </c>
      <c r="L770" s="2">
        <v>4</v>
      </c>
      <c r="M770" s="3">
        <v>11227</v>
      </c>
      <c r="N770" t="str" cm="1">
        <f t="array" ref="N770">_xlfn.IFS(Table1_3[[#This Row],[Patient Satisfaction Score]]&gt;=83,"High",H770&lt;=75,"Low",TRUE,"Moderate")</f>
        <v>Moderate</v>
      </c>
      <c r="O770" t="str">
        <f t="shared" ref="O770:O833" si="12">IF(E770&lt;19,"Pediatric","Adult")</f>
        <v>Adult</v>
      </c>
    </row>
    <row r="771" spans="1:15">
      <c r="A771" t="s">
        <v>1027</v>
      </c>
      <c r="B771" t="s">
        <v>33</v>
      </c>
      <c r="C771" t="s">
        <v>26</v>
      </c>
      <c r="D771" t="s">
        <v>16</v>
      </c>
      <c r="E771" s="2">
        <v>56</v>
      </c>
      <c r="F771" t="s">
        <v>17</v>
      </c>
      <c r="G771" t="s">
        <v>70</v>
      </c>
      <c r="H771" s="2">
        <v>86</v>
      </c>
      <c r="I771" s="3">
        <v>3152</v>
      </c>
      <c r="J771" s="4">
        <v>0</v>
      </c>
      <c r="K771" s="2">
        <v>31</v>
      </c>
      <c r="L771" s="2">
        <v>5</v>
      </c>
      <c r="M771" s="3">
        <v>9071</v>
      </c>
      <c r="N771" t="str" cm="1">
        <f t="array" ref="N771">_xlfn.IFS(Table1_3[[#This Row],[Patient Satisfaction Score]]&gt;=83,"High",H771&lt;=75,"Low",TRUE,"Moderate")</f>
        <v>High</v>
      </c>
      <c r="O771" t="str">
        <f t="shared" si="12"/>
        <v>Adult</v>
      </c>
    </row>
    <row r="772" spans="1:15">
      <c r="A772" t="s">
        <v>1030</v>
      </c>
      <c r="B772" t="s">
        <v>137</v>
      </c>
      <c r="C772" t="s">
        <v>26</v>
      </c>
      <c r="D772" t="s">
        <v>27</v>
      </c>
      <c r="E772" s="2">
        <v>56</v>
      </c>
      <c r="F772" t="s">
        <v>17</v>
      </c>
      <c r="G772" t="s">
        <v>31</v>
      </c>
      <c r="H772" s="2">
        <v>80</v>
      </c>
      <c r="I772" s="3">
        <v>3270</v>
      </c>
      <c r="J772" s="4">
        <v>10.02</v>
      </c>
      <c r="K772" s="2">
        <v>54</v>
      </c>
      <c r="L772" s="2">
        <v>4</v>
      </c>
      <c r="M772" s="3">
        <v>16285</v>
      </c>
      <c r="N772" t="str" cm="1">
        <f t="array" ref="N772">_xlfn.IFS(Table1_3[[#This Row],[Patient Satisfaction Score]]&gt;=83,"High",H772&lt;=75,"Low",TRUE,"Moderate")</f>
        <v>Moderate</v>
      </c>
      <c r="O772" t="str">
        <f t="shared" si="12"/>
        <v>Adult</v>
      </c>
    </row>
    <row r="773" spans="1:15">
      <c r="A773" t="s">
        <v>359</v>
      </c>
      <c r="B773" t="s">
        <v>150</v>
      </c>
      <c r="C773" t="s">
        <v>48</v>
      </c>
      <c r="D773" t="s">
        <v>27</v>
      </c>
      <c r="E773" s="2">
        <v>56</v>
      </c>
      <c r="F773" t="s">
        <v>17</v>
      </c>
      <c r="G773" t="s">
        <v>23</v>
      </c>
      <c r="H773" s="2">
        <v>74</v>
      </c>
      <c r="I773" s="3">
        <v>5079</v>
      </c>
      <c r="J773" s="4">
        <v>12.85</v>
      </c>
      <c r="K773" s="2">
        <v>83</v>
      </c>
      <c r="L773" s="2">
        <v>4</v>
      </c>
      <c r="M773" s="3">
        <v>19942</v>
      </c>
      <c r="N773" t="str" cm="1">
        <f t="array" ref="N773">_xlfn.IFS(Table1_3[[#This Row],[Patient Satisfaction Score]]&gt;=83,"High",H773&lt;=75,"Low",TRUE,"Moderate")</f>
        <v>Low</v>
      </c>
      <c r="O773" t="str">
        <f t="shared" si="12"/>
        <v>Adult</v>
      </c>
    </row>
    <row r="774" spans="1:15">
      <c r="A774" t="s">
        <v>458</v>
      </c>
      <c r="B774" t="s">
        <v>122</v>
      </c>
      <c r="C774" t="s">
        <v>48</v>
      </c>
      <c r="D774" t="s">
        <v>27</v>
      </c>
      <c r="E774" s="2">
        <v>56</v>
      </c>
      <c r="F774" t="s">
        <v>17</v>
      </c>
      <c r="G774" t="s">
        <v>18</v>
      </c>
      <c r="H774" s="2">
        <v>78</v>
      </c>
      <c r="I774" s="3">
        <v>5163</v>
      </c>
      <c r="J774" s="4">
        <v>14.33</v>
      </c>
      <c r="K774" s="2">
        <v>87</v>
      </c>
      <c r="L774" s="2">
        <v>4</v>
      </c>
      <c r="M774" s="3">
        <v>19563</v>
      </c>
      <c r="N774" t="str" cm="1">
        <f t="array" ref="N774">_xlfn.IFS(Table1_3[[#This Row],[Patient Satisfaction Score]]&gt;=83,"High",H774&lt;=75,"Low",TRUE,"Moderate")</f>
        <v>Moderate</v>
      </c>
      <c r="O774" t="str">
        <f t="shared" si="12"/>
        <v>Adult</v>
      </c>
    </row>
    <row r="775" spans="1:15">
      <c r="A775" t="s">
        <v>644</v>
      </c>
      <c r="B775" t="s">
        <v>47</v>
      </c>
      <c r="C775" t="s">
        <v>48</v>
      </c>
      <c r="D775" t="s">
        <v>16</v>
      </c>
      <c r="E775" s="2">
        <v>56</v>
      </c>
      <c r="F775" t="s">
        <v>22</v>
      </c>
      <c r="G775" t="s">
        <v>18</v>
      </c>
      <c r="H775" s="2">
        <v>86</v>
      </c>
      <c r="I775" s="3">
        <v>4301</v>
      </c>
      <c r="J775" s="4">
        <v>12.87</v>
      </c>
      <c r="K775" s="2">
        <v>60</v>
      </c>
      <c r="L775" s="2">
        <v>4</v>
      </c>
      <c r="M775" s="3">
        <v>18017</v>
      </c>
      <c r="N775" t="str" cm="1">
        <f t="array" ref="N775">_xlfn.IFS(Table1_3[[#This Row],[Patient Satisfaction Score]]&gt;=83,"High",H775&lt;=75,"Low",TRUE,"Moderate")</f>
        <v>High</v>
      </c>
      <c r="O775" t="str">
        <f t="shared" si="12"/>
        <v>Adult</v>
      </c>
    </row>
    <row r="776" spans="1:15">
      <c r="A776" t="s">
        <v>654</v>
      </c>
      <c r="B776" t="s">
        <v>135</v>
      </c>
      <c r="C776" t="s">
        <v>48</v>
      </c>
      <c r="D776" t="s">
        <v>16</v>
      </c>
      <c r="E776" s="2">
        <v>56</v>
      </c>
      <c r="F776" t="s">
        <v>22</v>
      </c>
      <c r="G776" t="s">
        <v>31</v>
      </c>
      <c r="H776" s="2">
        <v>95</v>
      </c>
      <c r="I776" s="3">
        <v>7635</v>
      </c>
      <c r="J776" s="4">
        <v>18.559999999999999</v>
      </c>
      <c r="K776" s="2">
        <v>54</v>
      </c>
      <c r="L776" s="2">
        <v>4</v>
      </c>
      <c r="M776" s="3">
        <v>28024</v>
      </c>
      <c r="N776" t="str" cm="1">
        <f t="array" ref="N776">_xlfn.IFS(Table1_3[[#This Row],[Patient Satisfaction Score]]&gt;=83,"High",H776&lt;=75,"Low",TRUE,"Moderate")</f>
        <v>High</v>
      </c>
      <c r="O776" t="str">
        <f t="shared" si="12"/>
        <v>Adult</v>
      </c>
    </row>
    <row r="777" spans="1:15">
      <c r="A777" t="s">
        <v>780</v>
      </c>
      <c r="B777" t="s">
        <v>150</v>
      </c>
      <c r="C777" t="s">
        <v>48</v>
      </c>
      <c r="D777" t="s">
        <v>27</v>
      </c>
      <c r="E777" s="2">
        <v>56</v>
      </c>
      <c r="F777" t="s">
        <v>22</v>
      </c>
      <c r="G777" t="s">
        <v>23</v>
      </c>
      <c r="H777" s="2">
        <v>76</v>
      </c>
      <c r="I777" s="3">
        <v>3706</v>
      </c>
      <c r="J777" s="4">
        <v>12.37</v>
      </c>
      <c r="K777" s="2">
        <v>87</v>
      </c>
      <c r="L777" s="2">
        <v>3</v>
      </c>
      <c r="M777" s="3">
        <v>14141</v>
      </c>
      <c r="N777" t="str" cm="1">
        <f t="array" ref="N777">_xlfn.IFS(Table1_3[[#This Row],[Patient Satisfaction Score]]&gt;=83,"High",H777&lt;=75,"Low",TRUE,"Moderate")</f>
        <v>Moderate</v>
      </c>
      <c r="O777" t="str">
        <f t="shared" si="12"/>
        <v>Adult</v>
      </c>
    </row>
    <row r="778" spans="1:15">
      <c r="A778" t="s">
        <v>450</v>
      </c>
      <c r="B778" t="s">
        <v>62</v>
      </c>
      <c r="C778" t="s">
        <v>52</v>
      </c>
      <c r="D778" t="s">
        <v>16</v>
      </c>
      <c r="E778" s="2">
        <v>56</v>
      </c>
      <c r="F778" t="s">
        <v>22</v>
      </c>
      <c r="G778" t="s">
        <v>40</v>
      </c>
      <c r="H778" s="2">
        <v>78</v>
      </c>
      <c r="I778" s="3">
        <v>6825</v>
      </c>
      <c r="J778" s="4">
        <v>14.33</v>
      </c>
      <c r="K778" s="2">
        <v>93</v>
      </c>
      <c r="L778" s="2">
        <v>4</v>
      </c>
      <c r="M778" s="3">
        <v>35741</v>
      </c>
      <c r="N778" t="str" cm="1">
        <f t="array" ref="N778">_xlfn.IFS(Table1_3[[#This Row],[Patient Satisfaction Score]]&gt;=83,"High",H778&lt;=75,"Low",TRUE,"Moderate")</f>
        <v>Moderate</v>
      </c>
      <c r="O778" t="str">
        <f t="shared" si="12"/>
        <v>Adult</v>
      </c>
    </row>
    <row r="779" spans="1:15">
      <c r="A779" t="s">
        <v>557</v>
      </c>
      <c r="B779" t="s">
        <v>185</v>
      </c>
      <c r="C779" t="s">
        <v>52</v>
      </c>
      <c r="D779" t="s">
        <v>27</v>
      </c>
      <c r="E779" s="2">
        <v>56</v>
      </c>
      <c r="F779" t="s">
        <v>34</v>
      </c>
      <c r="G779" t="s">
        <v>40</v>
      </c>
      <c r="H779" s="2">
        <v>77</v>
      </c>
      <c r="I779" s="3">
        <v>4759</v>
      </c>
      <c r="J779" s="4">
        <v>17.239999999999998</v>
      </c>
      <c r="K779" s="2">
        <v>61</v>
      </c>
      <c r="L779" s="2">
        <v>4</v>
      </c>
      <c r="M779" s="3">
        <v>24665</v>
      </c>
      <c r="N779" t="str" cm="1">
        <f t="array" ref="N779">_xlfn.IFS(Table1_3[[#This Row],[Patient Satisfaction Score]]&gt;=83,"High",H779&lt;=75,"Low",TRUE,"Moderate")</f>
        <v>Moderate</v>
      </c>
      <c r="O779" t="str">
        <f t="shared" si="12"/>
        <v>Adult</v>
      </c>
    </row>
    <row r="780" spans="1:15">
      <c r="A780" t="s">
        <v>422</v>
      </c>
      <c r="B780" t="s">
        <v>36</v>
      </c>
      <c r="C780" t="s">
        <v>21</v>
      </c>
      <c r="D780" t="s">
        <v>16</v>
      </c>
      <c r="E780" s="2">
        <v>56</v>
      </c>
      <c r="F780" t="s">
        <v>34</v>
      </c>
      <c r="G780" t="s">
        <v>49</v>
      </c>
      <c r="H780" s="2">
        <v>80</v>
      </c>
      <c r="I780" s="3">
        <v>6469</v>
      </c>
      <c r="J780" s="4">
        <v>14.3</v>
      </c>
      <c r="K780" s="2">
        <v>69</v>
      </c>
      <c r="L780" s="2">
        <v>4</v>
      </c>
      <c r="M780" s="3">
        <v>36879</v>
      </c>
      <c r="N780" t="str" cm="1">
        <f t="array" ref="N780">_xlfn.IFS(Table1_3[[#This Row],[Patient Satisfaction Score]]&gt;=83,"High",H780&lt;=75,"Low",TRUE,"Moderate")</f>
        <v>Moderate</v>
      </c>
      <c r="O780" t="str">
        <f t="shared" si="12"/>
        <v>Adult</v>
      </c>
    </row>
    <row r="781" spans="1:15">
      <c r="A781" t="s">
        <v>501</v>
      </c>
      <c r="B781" t="s">
        <v>74</v>
      </c>
      <c r="C781" t="s">
        <v>45</v>
      </c>
      <c r="D781" t="s">
        <v>16</v>
      </c>
      <c r="E781" s="2">
        <v>56</v>
      </c>
      <c r="F781" t="s">
        <v>17</v>
      </c>
      <c r="G781" t="s">
        <v>23</v>
      </c>
      <c r="H781" s="2">
        <v>67</v>
      </c>
      <c r="I781" s="3">
        <v>10143</v>
      </c>
      <c r="J781" s="4">
        <v>12.53</v>
      </c>
      <c r="K781" s="2">
        <v>108</v>
      </c>
      <c r="L781" s="2">
        <v>3</v>
      </c>
      <c r="M781" s="3">
        <v>56760</v>
      </c>
      <c r="N781" t="str" cm="1">
        <f t="array" ref="N781">_xlfn.IFS(Table1_3[[#This Row],[Patient Satisfaction Score]]&gt;=83,"High",H781&lt;=75,"Low",TRUE,"Moderate")</f>
        <v>Low</v>
      </c>
      <c r="O781" t="str">
        <f t="shared" si="12"/>
        <v>Adult</v>
      </c>
    </row>
    <row r="782" spans="1:15">
      <c r="A782" t="s">
        <v>572</v>
      </c>
      <c r="B782" t="s">
        <v>109</v>
      </c>
      <c r="C782" t="s">
        <v>30</v>
      </c>
      <c r="D782" t="s">
        <v>27</v>
      </c>
      <c r="E782" s="2">
        <v>56</v>
      </c>
      <c r="F782" t="s">
        <v>22</v>
      </c>
      <c r="G782" t="s">
        <v>18</v>
      </c>
      <c r="H782" s="2">
        <v>76</v>
      </c>
      <c r="I782" s="3">
        <v>2598</v>
      </c>
      <c r="J782" s="4">
        <v>19.170000000000002</v>
      </c>
      <c r="K782" s="2">
        <v>84</v>
      </c>
      <c r="L782" s="2">
        <v>4</v>
      </c>
      <c r="M782" s="3">
        <v>13439</v>
      </c>
      <c r="N782" t="str" cm="1">
        <f t="array" ref="N782">_xlfn.IFS(Table1_3[[#This Row],[Patient Satisfaction Score]]&gt;=83,"High",H782&lt;=75,"Low",TRUE,"Moderate")</f>
        <v>Moderate</v>
      </c>
      <c r="O782" t="str">
        <f t="shared" si="12"/>
        <v>Adult</v>
      </c>
    </row>
    <row r="783" spans="1:15">
      <c r="A783" t="s">
        <v>626</v>
      </c>
      <c r="B783" t="s">
        <v>109</v>
      </c>
      <c r="C783" t="s">
        <v>30</v>
      </c>
      <c r="D783" t="s">
        <v>27</v>
      </c>
      <c r="E783" s="2">
        <v>56</v>
      </c>
      <c r="F783" t="s">
        <v>22</v>
      </c>
      <c r="G783" t="s">
        <v>31</v>
      </c>
      <c r="H783" s="2">
        <v>74</v>
      </c>
      <c r="I783" s="3">
        <v>3680</v>
      </c>
      <c r="J783" s="4">
        <v>17.04</v>
      </c>
      <c r="K783" s="2">
        <v>101</v>
      </c>
      <c r="L783" s="2">
        <v>4</v>
      </c>
      <c r="M783" s="3">
        <v>19110</v>
      </c>
      <c r="N783" t="str" cm="1">
        <f t="array" ref="N783">_xlfn.IFS(Table1_3[[#This Row],[Patient Satisfaction Score]]&gt;=83,"High",H783&lt;=75,"Low",TRUE,"Moderate")</f>
        <v>Low</v>
      </c>
      <c r="O783" t="str">
        <f t="shared" si="12"/>
        <v>Adult</v>
      </c>
    </row>
    <row r="784" spans="1:15">
      <c r="A784" t="s">
        <v>972</v>
      </c>
      <c r="B784" t="s">
        <v>29</v>
      </c>
      <c r="C784" t="s">
        <v>30</v>
      </c>
      <c r="D784" t="s">
        <v>27</v>
      </c>
      <c r="E784" s="2">
        <v>56</v>
      </c>
      <c r="F784" t="s">
        <v>22</v>
      </c>
      <c r="G784" t="s">
        <v>49</v>
      </c>
      <c r="H784" s="2">
        <v>69</v>
      </c>
      <c r="I784" s="3">
        <v>3419</v>
      </c>
      <c r="J784" s="4">
        <v>18.59</v>
      </c>
      <c r="K784" s="2">
        <v>103</v>
      </c>
      <c r="L784" s="2">
        <v>4</v>
      </c>
      <c r="M784" s="3">
        <v>13232</v>
      </c>
      <c r="N784" t="str" cm="1">
        <f t="array" ref="N784">_xlfn.IFS(Table1_3[[#This Row],[Patient Satisfaction Score]]&gt;=83,"High",H784&lt;=75,"Low",TRUE,"Moderate")</f>
        <v>Low</v>
      </c>
      <c r="O784" t="str">
        <f t="shared" si="12"/>
        <v>Adult</v>
      </c>
    </row>
    <row r="785" spans="1:15">
      <c r="A785" t="s">
        <v>467</v>
      </c>
      <c r="B785" t="s">
        <v>88</v>
      </c>
      <c r="C785" t="s">
        <v>15</v>
      </c>
      <c r="D785" t="s">
        <v>16</v>
      </c>
      <c r="E785" s="2">
        <v>56</v>
      </c>
      <c r="F785" t="s">
        <v>17</v>
      </c>
      <c r="G785" t="s">
        <v>18</v>
      </c>
      <c r="H785" s="2">
        <v>85</v>
      </c>
      <c r="I785" s="3">
        <v>7001</v>
      </c>
      <c r="J785" s="4">
        <v>10.89</v>
      </c>
      <c r="K785" s="2">
        <v>81</v>
      </c>
      <c r="L785" s="2">
        <v>5</v>
      </c>
      <c r="M785" s="3">
        <v>33396</v>
      </c>
      <c r="N785" t="str" cm="1">
        <f t="array" ref="N785">_xlfn.IFS(Table1_3[[#This Row],[Patient Satisfaction Score]]&gt;=83,"High",H785&lt;=75,"Low",TRUE,"Moderate")</f>
        <v>High</v>
      </c>
      <c r="O785" t="str">
        <f t="shared" si="12"/>
        <v>Adult</v>
      </c>
    </row>
    <row r="786" spans="1:15">
      <c r="A786" t="s">
        <v>672</v>
      </c>
      <c r="B786" t="s">
        <v>88</v>
      </c>
      <c r="C786" t="s">
        <v>15</v>
      </c>
      <c r="D786" t="s">
        <v>16</v>
      </c>
      <c r="E786" s="2">
        <v>56</v>
      </c>
      <c r="F786" t="s">
        <v>22</v>
      </c>
      <c r="G786" t="s">
        <v>40</v>
      </c>
      <c r="H786" s="2">
        <v>70</v>
      </c>
      <c r="I786" s="3">
        <v>6814</v>
      </c>
      <c r="J786" s="4">
        <v>16.29</v>
      </c>
      <c r="K786" s="2">
        <v>73</v>
      </c>
      <c r="L786" s="2">
        <v>3</v>
      </c>
      <c r="M786" s="3">
        <v>24296</v>
      </c>
      <c r="N786" t="str" cm="1">
        <f t="array" ref="N786">_xlfn.IFS(Table1_3[[#This Row],[Patient Satisfaction Score]]&gt;=83,"High",H786&lt;=75,"Low",TRUE,"Moderate")</f>
        <v>Low</v>
      </c>
      <c r="O786" t="str">
        <f t="shared" si="12"/>
        <v>Adult</v>
      </c>
    </row>
    <row r="787" spans="1:15">
      <c r="A787" t="s">
        <v>1015</v>
      </c>
      <c r="B787" t="s">
        <v>54</v>
      </c>
      <c r="C787" t="s">
        <v>15</v>
      </c>
      <c r="D787" t="s">
        <v>27</v>
      </c>
      <c r="E787" s="2">
        <v>56</v>
      </c>
      <c r="F787" t="s">
        <v>34</v>
      </c>
      <c r="G787" t="s">
        <v>31</v>
      </c>
      <c r="H787" s="2">
        <v>81</v>
      </c>
      <c r="I787" s="3">
        <v>5016</v>
      </c>
      <c r="J787" s="4">
        <v>9.33</v>
      </c>
      <c r="K787" s="2">
        <v>67</v>
      </c>
      <c r="L787" s="2">
        <v>4</v>
      </c>
      <c r="M787" s="3">
        <v>20983</v>
      </c>
      <c r="N787" t="str" cm="1">
        <f t="array" ref="N787">_xlfn.IFS(Table1_3[[#This Row],[Patient Satisfaction Score]]&gt;=83,"High",H787&lt;=75,"Low",TRUE,"Moderate")</f>
        <v>Moderate</v>
      </c>
      <c r="O787" t="str">
        <f t="shared" si="12"/>
        <v>Adult</v>
      </c>
    </row>
    <row r="788" spans="1:15">
      <c r="A788" t="s">
        <v>549</v>
      </c>
      <c r="B788" t="s">
        <v>137</v>
      </c>
      <c r="C788" t="s">
        <v>26</v>
      </c>
      <c r="D788" t="s">
        <v>27</v>
      </c>
      <c r="E788" s="2">
        <v>57</v>
      </c>
      <c r="F788" t="s">
        <v>34</v>
      </c>
      <c r="G788" t="s">
        <v>70</v>
      </c>
      <c r="H788" s="2">
        <v>89</v>
      </c>
      <c r="I788" s="3">
        <v>2549</v>
      </c>
      <c r="J788" s="4">
        <v>1.63</v>
      </c>
      <c r="K788" s="2">
        <v>100</v>
      </c>
      <c r="L788" s="2">
        <v>4</v>
      </c>
      <c r="M788" s="3">
        <v>9840</v>
      </c>
      <c r="N788" t="str" cm="1">
        <f t="array" ref="N788">_xlfn.IFS(Table1_3[[#This Row],[Patient Satisfaction Score]]&gt;=83,"High",H788&lt;=75,"Low",TRUE,"Moderate")</f>
        <v>High</v>
      </c>
      <c r="O788" t="str">
        <f t="shared" si="12"/>
        <v>Adult</v>
      </c>
    </row>
    <row r="789" spans="1:15">
      <c r="A789" t="s">
        <v>590</v>
      </c>
      <c r="B789" t="s">
        <v>25</v>
      </c>
      <c r="C789" t="s">
        <v>26</v>
      </c>
      <c r="D789" t="s">
        <v>27</v>
      </c>
      <c r="E789" s="2">
        <v>57</v>
      </c>
      <c r="F789" t="s">
        <v>22</v>
      </c>
      <c r="G789" t="s">
        <v>18</v>
      </c>
      <c r="H789" s="2">
        <v>90</v>
      </c>
      <c r="I789" s="3">
        <v>2443</v>
      </c>
      <c r="J789" s="4">
        <v>0</v>
      </c>
      <c r="K789" s="2">
        <v>47</v>
      </c>
      <c r="L789" s="2">
        <v>4</v>
      </c>
      <c r="M789" s="3">
        <v>10814</v>
      </c>
      <c r="N789" t="str" cm="1">
        <f t="array" ref="N789">_xlfn.IFS(Table1_3[[#This Row],[Patient Satisfaction Score]]&gt;=83,"High",H789&lt;=75,"Low",TRUE,"Moderate")</f>
        <v>High</v>
      </c>
      <c r="O789" t="str">
        <f t="shared" si="12"/>
        <v>Adult</v>
      </c>
    </row>
    <row r="790" spans="1:15">
      <c r="A790" t="s">
        <v>788</v>
      </c>
      <c r="B790" t="s">
        <v>25</v>
      </c>
      <c r="C790" t="s">
        <v>26</v>
      </c>
      <c r="D790" t="s">
        <v>16</v>
      </c>
      <c r="E790" s="2">
        <v>57</v>
      </c>
      <c r="F790" t="s">
        <v>22</v>
      </c>
      <c r="G790" t="s">
        <v>31</v>
      </c>
      <c r="H790" s="2">
        <v>86</v>
      </c>
      <c r="I790" s="3">
        <v>2114</v>
      </c>
      <c r="J790" s="4">
        <v>11.44</v>
      </c>
      <c r="K790" s="2">
        <v>35</v>
      </c>
      <c r="L790" s="2">
        <v>5</v>
      </c>
      <c r="M790" s="3">
        <v>5954</v>
      </c>
      <c r="N790" t="str" cm="1">
        <f t="array" ref="N790">_xlfn.IFS(Table1_3[[#This Row],[Patient Satisfaction Score]]&gt;=83,"High",H790&lt;=75,"Low",TRUE,"Moderate")</f>
        <v>High</v>
      </c>
      <c r="O790" t="str">
        <f t="shared" si="12"/>
        <v>Adult</v>
      </c>
    </row>
    <row r="791" spans="1:15">
      <c r="A791" t="s">
        <v>302</v>
      </c>
      <c r="B791" t="s">
        <v>122</v>
      </c>
      <c r="C791" t="s">
        <v>48</v>
      </c>
      <c r="D791" t="s">
        <v>27</v>
      </c>
      <c r="E791" s="2">
        <v>57</v>
      </c>
      <c r="F791" t="s">
        <v>17</v>
      </c>
      <c r="G791" t="s">
        <v>23</v>
      </c>
      <c r="H791" s="2">
        <v>75</v>
      </c>
      <c r="I791" s="3">
        <v>6024</v>
      </c>
      <c r="J791" s="4">
        <v>9.09</v>
      </c>
      <c r="K791" s="2">
        <v>116</v>
      </c>
      <c r="L791" s="2">
        <v>4</v>
      </c>
      <c r="M791" s="3">
        <v>16155</v>
      </c>
      <c r="N791" t="str" cm="1">
        <f t="array" ref="N791">_xlfn.IFS(Table1_3[[#This Row],[Patient Satisfaction Score]]&gt;=83,"High",H791&lt;=75,"Low",TRUE,"Moderate")</f>
        <v>Low</v>
      </c>
      <c r="O791" t="str">
        <f t="shared" si="12"/>
        <v>Adult</v>
      </c>
    </row>
    <row r="792" spans="1:15">
      <c r="A792" t="s">
        <v>897</v>
      </c>
      <c r="B792" t="s">
        <v>58</v>
      </c>
      <c r="C792" t="s">
        <v>48</v>
      </c>
      <c r="D792" t="s">
        <v>27</v>
      </c>
      <c r="E792" s="2">
        <v>57</v>
      </c>
      <c r="F792" t="s">
        <v>34</v>
      </c>
      <c r="G792" t="s">
        <v>18</v>
      </c>
      <c r="H792" s="2">
        <v>78</v>
      </c>
      <c r="I792" s="3">
        <v>7786</v>
      </c>
      <c r="J792" s="4">
        <v>16.45</v>
      </c>
      <c r="K792" s="2">
        <v>82</v>
      </c>
      <c r="L792" s="2">
        <v>4</v>
      </c>
      <c r="M792" s="3">
        <v>26681</v>
      </c>
      <c r="N792" t="str" cm="1">
        <f t="array" ref="N792">_xlfn.IFS(Table1_3[[#This Row],[Patient Satisfaction Score]]&gt;=83,"High",H792&lt;=75,"Low",TRUE,"Moderate")</f>
        <v>Moderate</v>
      </c>
      <c r="O792" t="str">
        <f t="shared" si="12"/>
        <v>Adult</v>
      </c>
    </row>
    <row r="793" spans="1:15">
      <c r="A793" t="s">
        <v>177</v>
      </c>
      <c r="B793" t="s">
        <v>74</v>
      </c>
      <c r="C793" t="s">
        <v>45</v>
      </c>
      <c r="D793" t="s">
        <v>16</v>
      </c>
      <c r="E793" s="2">
        <v>57</v>
      </c>
      <c r="F793" t="s">
        <v>17</v>
      </c>
      <c r="G793" t="s">
        <v>40</v>
      </c>
      <c r="H793" s="2">
        <v>71</v>
      </c>
      <c r="I793" s="3">
        <v>8990</v>
      </c>
      <c r="J793" s="4">
        <v>14.36</v>
      </c>
      <c r="K793" s="2">
        <v>64</v>
      </c>
      <c r="L793" s="2">
        <v>4</v>
      </c>
      <c r="M793" s="3">
        <v>46731</v>
      </c>
      <c r="N793" t="str" cm="1">
        <f t="array" ref="N793">_xlfn.IFS(Table1_3[[#This Row],[Patient Satisfaction Score]]&gt;=83,"High",H793&lt;=75,"Low",TRUE,"Moderate")</f>
        <v>Low</v>
      </c>
      <c r="O793" t="str">
        <f t="shared" si="12"/>
        <v>Adult</v>
      </c>
    </row>
    <row r="794" spans="1:15">
      <c r="A794" t="s">
        <v>466</v>
      </c>
      <c r="B794" t="s">
        <v>168</v>
      </c>
      <c r="C794" t="s">
        <v>45</v>
      </c>
      <c r="D794" t="s">
        <v>16</v>
      </c>
      <c r="E794" s="2">
        <v>57</v>
      </c>
      <c r="F794" t="s">
        <v>34</v>
      </c>
      <c r="G794" t="s">
        <v>23</v>
      </c>
      <c r="H794" s="2">
        <v>82</v>
      </c>
      <c r="I794" s="3">
        <v>7933</v>
      </c>
      <c r="J794" s="4">
        <v>17.489999999999998</v>
      </c>
      <c r="K794" s="2">
        <v>112</v>
      </c>
      <c r="L794" s="2">
        <v>4</v>
      </c>
      <c r="M794" s="3">
        <v>38644</v>
      </c>
      <c r="N794" t="str" cm="1">
        <f t="array" ref="N794">_xlfn.IFS(Table1_3[[#This Row],[Patient Satisfaction Score]]&gt;=83,"High",H794&lt;=75,"Low",TRUE,"Moderate")</f>
        <v>Moderate</v>
      </c>
      <c r="O794" t="str">
        <f t="shared" si="12"/>
        <v>Adult</v>
      </c>
    </row>
    <row r="795" spans="1:15">
      <c r="A795" t="s">
        <v>651</v>
      </c>
      <c r="B795" t="s">
        <v>168</v>
      </c>
      <c r="C795" t="s">
        <v>45</v>
      </c>
      <c r="D795" t="s">
        <v>16</v>
      </c>
      <c r="E795" s="2">
        <v>57</v>
      </c>
      <c r="F795" t="s">
        <v>34</v>
      </c>
      <c r="G795" t="s">
        <v>31</v>
      </c>
      <c r="H795" s="2">
        <v>81</v>
      </c>
      <c r="I795" s="3">
        <v>9738</v>
      </c>
      <c r="J795" s="4">
        <v>20.52</v>
      </c>
      <c r="K795" s="2">
        <v>57</v>
      </c>
      <c r="L795" s="2">
        <v>4</v>
      </c>
      <c r="M795" s="3">
        <v>48859</v>
      </c>
      <c r="N795" t="str" cm="1">
        <f t="array" ref="N795">_xlfn.IFS(Table1_3[[#This Row],[Patient Satisfaction Score]]&gt;=83,"High",H795&lt;=75,"Low",TRUE,"Moderate")</f>
        <v>Moderate</v>
      </c>
      <c r="O795" t="str">
        <f t="shared" si="12"/>
        <v>Adult</v>
      </c>
    </row>
    <row r="796" spans="1:15">
      <c r="A796" t="s">
        <v>709</v>
      </c>
      <c r="B796" t="s">
        <v>44</v>
      </c>
      <c r="C796" t="s">
        <v>45</v>
      </c>
      <c r="D796" t="s">
        <v>16</v>
      </c>
      <c r="E796" s="2">
        <v>57</v>
      </c>
      <c r="F796" t="s">
        <v>34</v>
      </c>
      <c r="G796" t="s">
        <v>31</v>
      </c>
      <c r="H796" s="2">
        <v>78</v>
      </c>
      <c r="I796" s="3">
        <v>8261</v>
      </c>
      <c r="J796" s="4">
        <v>18.14</v>
      </c>
      <c r="K796" s="2">
        <v>106</v>
      </c>
      <c r="L796" s="2">
        <v>4</v>
      </c>
      <c r="M796" s="3">
        <v>37345</v>
      </c>
      <c r="N796" t="str" cm="1">
        <f t="array" ref="N796">_xlfn.IFS(Table1_3[[#This Row],[Patient Satisfaction Score]]&gt;=83,"High",H796&lt;=75,"Low",TRUE,"Moderate")</f>
        <v>Moderate</v>
      </c>
      <c r="O796" t="str">
        <f t="shared" si="12"/>
        <v>Adult</v>
      </c>
    </row>
    <row r="797" spans="1:15">
      <c r="A797" t="s">
        <v>875</v>
      </c>
      <c r="B797" t="s">
        <v>56</v>
      </c>
      <c r="C797" t="s">
        <v>45</v>
      </c>
      <c r="D797" t="s">
        <v>16</v>
      </c>
      <c r="E797" s="2">
        <v>57</v>
      </c>
      <c r="F797" t="s">
        <v>17</v>
      </c>
      <c r="G797" t="s">
        <v>70</v>
      </c>
      <c r="H797" s="2">
        <v>78</v>
      </c>
      <c r="I797" s="3">
        <v>11131</v>
      </c>
      <c r="J797" s="4">
        <v>21.14</v>
      </c>
      <c r="K797" s="2">
        <v>52</v>
      </c>
      <c r="L797" s="2">
        <v>4</v>
      </c>
      <c r="M797" s="3">
        <v>43399</v>
      </c>
      <c r="N797" t="str" cm="1">
        <f t="array" ref="N797">_xlfn.IFS(Table1_3[[#This Row],[Patient Satisfaction Score]]&gt;=83,"High",H797&lt;=75,"Low",TRUE,"Moderate")</f>
        <v>Moderate</v>
      </c>
      <c r="O797" t="str">
        <f t="shared" si="12"/>
        <v>Adult</v>
      </c>
    </row>
    <row r="798" spans="1:15">
      <c r="A798" t="s">
        <v>318</v>
      </c>
      <c r="B798" t="s">
        <v>137</v>
      </c>
      <c r="C798" t="s">
        <v>26</v>
      </c>
      <c r="D798" t="s">
        <v>27</v>
      </c>
      <c r="E798" s="2">
        <v>58</v>
      </c>
      <c r="F798" t="s">
        <v>17</v>
      </c>
      <c r="G798" t="s">
        <v>70</v>
      </c>
      <c r="H798" s="2">
        <v>90</v>
      </c>
      <c r="I798" s="3">
        <v>2433</v>
      </c>
      <c r="J798" s="4">
        <v>1.1000000000000001</v>
      </c>
      <c r="K798" s="2">
        <v>82</v>
      </c>
      <c r="L798" s="2">
        <v>4</v>
      </c>
      <c r="M798" s="3">
        <v>10737</v>
      </c>
      <c r="N798" t="str" cm="1">
        <f t="array" ref="N798">_xlfn.IFS(Table1_3[[#This Row],[Patient Satisfaction Score]]&gt;=83,"High",H798&lt;=75,"Low",TRUE,"Moderate")</f>
        <v>High</v>
      </c>
      <c r="O798" t="str">
        <f t="shared" si="12"/>
        <v>Adult</v>
      </c>
    </row>
    <row r="799" spans="1:15">
      <c r="A799" t="s">
        <v>408</v>
      </c>
      <c r="B799" t="s">
        <v>33</v>
      </c>
      <c r="C799" t="s">
        <v>26</v>
      </c>
      <c r="D799" t="s">
        <v>16</v>
      </c>
      <c r="E799" s="2">
        <v>58</v>
      </c>
      <c r="F799" t="s">
        <v>17</v>
      </c>
      <c r="G799" t="s">
        <v>49</v>
      </c>
      <c r="H799" s="2">
        <v>77</v>
      </c>
      <c r="I799" s="3">
        <v>2353</v>
      </c>
      <c r="J799" s="4">
        <v>4.71</v>
      </c>
      <c r="K799" s="2">
        <v>61</v>
      </c>
      <c r="L799" s="2">
        <v>4</v>
      </c>
      <c r="M799" s="3">
        <v>11687</v>
      </c>
      <c r="N799" t="str" cm="1">
        <f t="array" ref="N799">_xlfn.IFS(Table1_3[[#This Row],[Patient Satisfaction Score]]&gt;=83,"High",H799&lt;=75,"Low",TRUE,"Moderate")</f>
        <v>Moderate</v>
      </c>
      <c r="O799" t="str">
        <f t="shared" si="12"/>
        <v>Adult</v>
      </c>
    </row>
    <row r="800" spans="1:15">
      <c r="A800" t="s">
        <v>851</v>
      </c>
      <c r="B800" t="s">
        <v>25</v>
      </c>
      <c r="C800" t="s">
        <v>26</v>
      </c>
      <c r="D800" t="s">
        <v>16</v>
      </c>
      <c r="E800" s="2">
        <v>58</v>
      </c>
      <c r="F800" t="s">
        <v>22</v>
      </c>
      <c r="G800" t="s">
        <v>18</v>
      </c>
      <c r="H800" s="2">
        <v>88</v>
      </c>
      <c r="I800" s="3">
        <v>2587</v>
      </c>
      <c r="J800" s="4">
        <v>1.1399999999999999</v>
      </c>
      <c r="K800" s="2">
        <v>46</v>
      </c>
      <c r="L800" s="2">
        <v>5</v>
      </c>
      <c r="M800" s="3">
        <v>15472</v>
      </c>
      <c r="N800" t="str" cm="1">
        <f t="array" ref="N800">_xlfn.IFS(Table1_3[[#This Row],[Patient Satisfaction Score]]&gt;=83,"High",H800&lt;=75,"Low",TRUE,"Moderate")</f>
        <v>High</v>
      </c>
      <c r="O800" t="str">
        <f t="shared" si="12"/>
        <v>Adult</v>
      </c>
    </row>
    <row r="801" spans="1:15">
      <c r="A801" t="s">
        <v>321</v>
      </c>
      <c r="B801" t="s">
        <v>122</v>
      </c>
      <c r="C801" t="s">
        <v>48</v>
      </c>
      <c r="D801" t="s">
        <v>16</v>
      </c>
      <c r="E801" s="2">
        <v>58</v>
      </c>
      <c r="F801" t="s">
        <v>17</v>
      </c>
      <c r="G801" t="s">
        <v>23</v>
      </c>
      <c r="H801" s="2">
        <v>77</v>
      </c>
      <c r="I801" s="3">
        <v>6407</v>
      </c>
      <c r="J801" s="4">
        <v>9.42</v>
      </c>
      <c r="K801" s="2">
        <v>67</v>
      </c>
      <c r="L801" s="2">
        <v>4</v>
      </c>
      <c r="M801" s="3">
        <v>21441</v>
      </c>
      <c r="N801" t="str" cm="1">
        <f t="array" ref="N801">_xlfn.IFS(Table1_3[[#This Row],[Patient Satisfaction Score]]&gt;=83,"High",H801&lt;=75,"Low",TRUE,"Moderate")</f>
        <v>Moderate</v>
      </c>
      <c r="O801" t="str">
        <f t="shared" si="12"/>
        <v>Adult</v>
      </c>
    </row>
    <row r="802" spans="1:15">
      <c r="A802" t="s">
        <v>588</v>
      </c>
      <c r="B802" t="s">
        <v>47</v>
      </c>
      <c r="C802" t="s">
        <v>48</v>
      </c>
      <c r="D802" t="s">
        <v>16</v>
      </c>
      <c r="E802" s="2">
        <v>58</v>
      </c>
      <c r="F802" t="s">
        <v>17</v>
      </c>
      <c r="G802" t="s">
        <v>18</v>
      </c>
      <c r="H802" s="2">
        <v>73</v>
      </c>
      <c r="I802" s="3">
        <v>4666</v>
      </c>
      <c r="J802" s="4">
        <v>11.86</v>
      </c>
      <c r="K802" s="2">
        <v>104</v>
      </c>
      <c r="L802" s="2">
        <v>3</v>
      </c>
      <c r="M802" s="3">
        <v>21452</v>
      </c>
      <c r="N802" t="str" cm="1">
        <f t="array" ref="N802">_xlfn.IFS(Table1_3[[#This Row],[Patient Satisfaction Score]]&gt;=83,"High",H802&lt;=75,"Low",TRUE,"Moderate")</f>
        <v>Low</v>
      </c>
      <c r="O802" t="str">
        <f t="shared" si="12"/>
        <v>Adult</v>
      </c>
    </row>
    <row r="803" spans="1:15">
      <c r="A803" t="s">
        <v>839</v>
      </c>
      <c r="B803" t="s">
        <v>122</v>
      </c>
      <c r="C803" t="s">
        <v>48</v>
      </c>
      <c r="D803" t="s">
        <v>16</v>
      </c>
      <c r="E803" s="2">
        <v>58</v>
      </c>
      <c r="F803" t="s">
        <v>22</v>
      </c>
      <c r="G803" t="s">
        <v>23</v>
      </c>
      <c r="H803" s="2">
        <v>88</v>
      </c>
      <c r="I803" s="3">
        <v>5044</v>
      </c>
      <c r="J803" s="4">
        <v>12.67</v>
      </c>
      <c r="K803" s="2">
        <v>69</v>
      </c>
      <c r="L803" s="2">
        <v>4</v>
      </c>
      <c r="M803" s="3">
        <v>26629</v>
      </c>
      <c r="N803" t="str" cm="1">
        <f t="array" ref="N803">_xlfn.IFS(Table1_3[[#This Row],[Patient Satisfaction Score]]&gt;=83,"High",H803&lt;=75,"Low",TRUE,"Moderate")</f>
        <v>High</v>
      </c>
      <c r="O803" t="str">
        <f t="shared" si="12"/>
        <v>Adult</v>
      </c>
    </row>
    <row r="804" spans="1:15">
      <c r="A804" t="s">
        <v>861</v>
      </c>
      <c r="B804" t="s">
        <v>122</v>
      </c>
      <c r="C804" t="s">
        <v>48</v>
      </c>
      <c r="D804" t="s">
        <v>27</v>
      </c>
      <c r="E804" s="2">
        <v>58</v>
      </c>
      <c r="F804" t="s">
        <v>17</v>
      </c>
      <c r="G804" t="s">
        <v>18</v>
      </c>
      <c r="H804" s="2">
        <v>83</v>
      </c>
      <c r="I804" s="3">
        <v>6823</v>
      </c>
      <c r="J804" s="4">
        <v>11.4</v>
      </c>
      <c r="K804" s="2">
        <v>53</v>
      </c>
      <c r="L804" s="2">
        <v>4</v>
      </c>
      <c r="M804" s="3">
        <v>38992</v>
      </c>
      <c r="N804" t="str" cm="1">
        <f t="array" ref="N804">_xlfn.IFS(Table1_3[[#This Row],[Patient Satisfaction Score]]&gt;=83,"High",H804&lt;=75,"Low",TRUE,"Moderate")</f>
        <v>High</v>
      </c>
      <c r="O804" t="str">
        <f t="shared" si="12"/>
        <v>Adult</v>
      </c>
    </row>
    <row r="805" spans="1:15">
      <c r="A805" t="s">
        <v>1035</v>
      </c>
      <c r="B805" t="s">
        <v>135</v>
      </c>
      <c r="C805" t="s">
        <v>48</v>
      </c>
      <c r="D805" t="s">
        <v>27</v>
      </c>
      <c r="E805" s="2">
        <v>58</v>
      </c>
      <c r="F805" t="s">
        <v>22</v>
      </c>
      <c r="G805" t="s">
        <v>23</v>
      </c>
      <c r="H805" s="2">
        <v>85</v>
      </c>
      <c r="I805" s="3">
        <v>2412</v>
      </c>
      <c r="J805" s="4">
        <v>7.64</v>
      </c>
      <c r="K805" s="2">
        <v>73</v>
      </c>
      <c r="L805" s="2">
        <v>4</v>
      </c>
      <c r="M805" s="3">
        <v>10710</v>
      </c>
      <c r="N805" t="str" cm="1">
        <f t="array" ref="N805">_xlfn.IFS(Table1_3[[#This Row],[Patient Satisfaction Score]]&gt;=83,"High",H805&lt;=75,"Low",TRUE,"Moderate")</f>
        <v>High</v>
      </c>
      <c r="O805" t="str">
        <f t="shared" si="12"/>
        <v>Adult</v>
      </c>
    </row>
    <row r="806" spans="1:15">
      <c r="A806" t="s">
        <v>1042</v>
      </c>
      <c r="B806" t="s">
        <v>47</v>
      </c>
      <c r="C806" t="s">
        <v>48</v>
      </c>
      <c r="D806" t="s">
        <v>27</v>
      </c>
      <c r="E806" s="2">
        <v>58</v>
      </c>
      <c r="F806" t="s">
        <v>22</v>
      </c>
      <c r="G806" t="s">
        <v>70</v>
      </c>
      <c r="H806" s="2">
        <v>77</v>
      </c>
      <c r="I806" s="3">
        <v>4528</v>
      </c>
      <c r="J806" s="4">
        <v>20.79</v>
      </c>
      <c r="K806" s="2">
        <v>94</v>
      </c>
      <c r="L806" s="2">
        <v>4</v>
      </c>
      <c r="M806" s="3">
        <v>20564</v>
      </c>
      <c r="N806" t="str" cm="1">
        <f t="array" ref="N806">_xlfn.IFS(Table1_3[[#This Row],[Patient Satisfaction Score]]&gt;=83,"High",H806&lt;=75,"Low",TRUE,"Moderate")</f>
        <v>Moderate</v>
      </c>
      <c r="O806" t="str">
        <f t="shared" si="12"/>
        <v>Adult</v>
      </c>
    </row>
    <row r="807" spans="1:15">
      <c r="A807" t="s">
        <v>531</v>
      </c>
      <c r="B807" t="s">
        <v>95</v>
      </c>
      <c r="C807" t="s">
        <v>52</v>
      </c>
      <c r="D807" t="s">
        <v>27</v>
      </c>
      <c r="E807" s="2">
        <v>58</v>
      </c>
      <c r="F807" t="s">
        <v>34</v>
      </c>
      <c r="G807" t="s">
        <v>40</v>
      </c>
      <c r="H807" s="2">
        <v>89</v>
      </c>
      <c r="I807" s="3">
        <v>8403</v>
      </c>
      <c r="J807" s="4">
        <v>9.26</v>
      </c>
      <c r="K807" s="2">
        <v>32</v>
      </c>
      <c r="L807" s="2">
        <v>5</v>
      </c>
      <c r="M807" s="3">
        <v>25533</v>
      </c>
      <c r="N807" t="str" cm="1">
        <f t="array" ref="N807">_xlfn.IFS(Table1_3[[#This Row],[Patient Satisfaction Score]]&gt;=83,"High",H807&lt;=75,"Low",TRUE,"Moderate")</f>
        <v>High</v>
      </c>
      <c r="O807" t="str">
        <f t="shared" si="12"/>
        <v>Adult</v>
      </c>
    </row>
    <row r="808" spans="1:15">
      <c r="A808" t="s">
        <v>460</v>
      </c>
      <c r="B808" t="s">
        <v>129</v>
      </c>
      <c r="C808" t="s">
        <v>21</v>
      </c>
      <c r="D808" t="s">
        <v>16</v>
      </c>
      <c r="E808" s="2">
        <v>58</v>
      </c>
      <c r="F808" t="s">
        <v>34</v>
      </c>
      <c r="G808" t="s">
        <v>31</v>
      </c>
      <c r="H808" s="2">
        <v>77</v>
      </c>
      <c r="I808" s="3">
        <v>6071</v>
      </c>
      <c r="J808" s="4">
        <v>17.93</v>
      </c>
      <c r="K808" s="2">
        <v>83</v>
      </c>
      <c r="L808" s="2">
        <v>4</v>
      </c>
      <c r="M808" s="3">
        <v>20468</v>
      </c>
      <c r="N808" t="str" cm="1">
        <f t="array" ref="N808">_xlfn.IFS(Table1_3[[#This Row],[Patient Satisfaction Score]]&gt;=83,"High",H808&lt;=75,"Low",TRUE,"Moderate")</f>
        <v>Moderate</v>
      </c>
      <c r="O808" t="str">
        <f t="shared" si="12"/>
        <v>Adult</v>
      </c>
    </row>
    <row r="809" spans="1:15">
      <c r="A809" t="s">
        <v>929</v>
      </c>
      <c r="B809" t="s">
        <v>143</v>
      </c>
      <c r="C809" t="s">
        <v>21</v>
      </c>
      <c r="D809" t="s">
        <v>27</v>
      </c>
      <c r="E809" s="2">
        <v>58</v>
      </c>
      <c r="F809" t="s">
        <v>22</v>
      </c>
      <c r="G809" t="s">
        <v>49</v>
      </c>
      <c r="H809" s="2">
        <v>78</v>
      </c>
      <c r="I809" s="3">
        <v>4266</v>
      </c>
      <c r="J809" s="4">
        <v>10.19</v>
      </c>
      <c r="K809" s="2">
        <v>125</v>
      </c>
      <c r="L809" s="2">
        <v>3</v>
      </c>
      <c r="M809" s="3">
        <v>25158</v>
      </c>
      <c r="N809" t="str" cm="1">
        <f t="array" ref="N809">_xlfn.IFS(Table1_3[[#This Row],[Patient Satisfaction Score]]&gt;=83,"High",H809&lt;=75,"Low",TRUE,"Moderate")</f>
        <v>Moderate</v>
      </c>
      <c r="O809" t="str">
        <f t="shared" si="12"/>
        <v>Adult</v>
      </c>
    </row>
    <row r="810" spans="1:15">
      <c r="A810" t="s">
        <v>989</v>
      </c>
      <c r="B810" t="s">
        <v>84</v>
      </c>
      <c r="C810" t="s">
        <v>21</v>
      </c>
      <c r="D810" t="s">
        <v>16</v>
      </c>
      <c r="E810" s="2">
        <v>58</v>
      </c>
      <c r="F810" t="s">
        <v>34</v>
      </c>
      <c r="G810" t="s">
        <v>70</v>
      </c>
      <c r="H810" s="2">
        <v>78</v>
      </c>
      <c r="I810" s="3">
        <v>6982</v>
      </c>
      <c r="J810" s="4">
        <v>16.98</v>
      </c>
      <c r="K810" s="2">
        <v>81</v>
      </c>
      <c r="L810" s="2">
        <v>4</v>
      </c>
      <c r="M810" s="3">
        <v>36253</v>
      </c>
      <c r="N810" t="str" cm="1">
        <f t="array" ref="N810">_xlfn.IFS(Table1_3[[#This Row],[Patient Satisfaction Score]]&gt;=83,"High",H810&lt;=75,"Low",TRUE,"Moderate")</f>
        <v>Moderate</v>
      </c>
      <c r="O810" t="str">
        <f t="shared" si="12"/>
        <v>Adult</v>
      </c>
    </row>
    <row r="811" spans="1:15">
      <c r="A811" t="s">
        <v>521</v>
      </c>
      <c r="B811" t="s">
        <v>44</v>
      </c>
      <c r="C811" t="s">
        <v>45</v>
      </c>
      <c r="D811" t="s">
        <v>27</v>
      </c>
      <c r="E811" s="2">
        <v>58</v>
      </c>
      <c r="F811" t="s">
        <v>22</v>
      </c>
      <c r="G811" t="s">
        <v>49</v>
      </c>
      <c r="H811" s="2">
        <v>87</v>
      </c>
      <c r="I811" s="3">
        <v>8593</v>
      </c>
      <c r="J811" s="4">
        <v>16.66</v>
      </c>
      <c r="K811" s="2">
        <v>59</v>
      </c>
      <c r="L811" s="2">
        <v>4</v>
      </c>
      <c r="M811" s="3">
        <v>31882</v>
      </c>
      <c r="N811" t="str" cm="1">
        <f t="array" ref="N811">_xlfn.IFS(Table1_3[[#This Row],[Patient Satisfaction Score]]&gt;=83,"High",H811&lt;=75,"Low",TRUE,"Moderate")</f>
        <v>High</v>
      </c>
      <c r="O811" t="str">
        <f t="shared" si="12"/>
        <v>Adult</v>
      </c>
    </row>
    <row r="812" spans="1:15">
      <c r="A812" t="s">
        <v>641</v>
      </c>
      <c r="B812" t="s">
        <v>44</v>
      </c>
      <c r="C812" t="s">
        <v>45</v>
      </c>
      <c r="D812" t="s">
        <v>72</v>
      </c>
      <c r="E812" s="2">
        <v>58</v>
      </c>
      <c r="F812" t="s">
        <v>34</v>
      </c>
      <c r="G812" t="s">
        <v>49</v>
      </c>
      <c r="H812" s="2">
        <v>72</v>
      </c>
      <c r="I812" s="3">
        <v>11724</v>
      </c>
      <c r="J812" s="4">
        <v>18.59</v>
      </c>
      <c r="K812" s="2">
        <v>89</v>
      </c>
      <c r="L812" s="2">
        <v>4</v>
      </c>
      <c r="M812" s="3">
        <v>47106</v>
      </c>
      <c r="N812" t="str" cm="1">
        <f t="array" ref="N812">_xlfn.IFS(Table1_3[[#This Row],[Patient Satisfaction Score]]&gt;=83,"High",H812&lt;=75,"Low",TRUE,"Moderate")</f>
        <v>Low</v>
      </c>
      <c r="O812" t="str">
        <f t="shared" si="12"/>
        <v>Adult</v>
      </c>
    </row>
    <row r="813" spans="1:15">
      <c r="A813" t="s">
        <v>406</v>
      </c>
      <c r="B813" t="s">
        <v>29</v>
      </c>
      <c r="C813" t="s">
        <v>30</v>
      </c>
      <c r="D813" t="s">
        <v>16</v>
      </c>
      <c r="E813" s="2">
        <v>58</v>
      </c>
      <c r="F813" t="s">
        <v>22</v>
      </c>
      <c r="G813" t="s">
        <v>18</v>
      </c>
      <c r="H813" s="2">
        <v>70</v>
      </c>
      <c r="I813" s="3">
        <v>4087</v>
      </c>
      <c r="J813" s="4">
        <v>15.53</v>
      </c>
      <c r="K813" s="2">
        <v>118</v>
      </c>
      <c r="L813" s="2">
        <v>3</v>
      </c>
      <c r="M813" s="3">
        <v>15018</v>
      </c>
      <c r="N813" t="str" cm="1">
        <f t="array" ref="N813">_xlfn.IFS(Table1_3[[#This Row],[Patient Satisfaction Score]]&gt;=83,"High",H813&lt;=75,"Low",TRUE,"Moderate")</f>
        <v>Low</v>
      </c>
      <c r="O813" t="str">
        <f t="shared" si="12"/>
        <v>Adult</v>
      </c>
    </row>
    <row r="814" spans="1:15">
      <c r="A814" t="s">
        <v>790</v>
      </c>
      <c r="B814" t="s">
        <v>64</v>
      </c>
      <c r="C814" t="s">
        <v>30</v>
      </c>
      <c r="D814" t="s">
        <v>27</v>
      </c>
      <c r="E814" s="2">
        <v>58</v>
      </c>
      <c r="F814" t="s">
        <v>17</v>
      </c>
      <c r="G814" t="s">
        <v>23</v>
      </c>
      <c r="H814" s="2">
        <v>68</v>
      </c>
      <c r="I814" s="3">
        <v>3225</v>
      </c>
      <c r="J814" s="4">
        <v>13.93</v>
      </c>
      <c r="K814" s="2">
        <v>122</v>
      </c>
      <c r="L814" s="2">
        <v>3</v>
      </c>
      <c r="M814" s="3">
        <v>17075</v>
      </c>
      <c r="N814" t="str" cm="1">
        <f t="array" ref="N814">_xlfn.IFS(Table1_3[[#This Row],[Patient Satisfaction Score]]&gt;=83,"High",H814&lt;=75,"Low",TRUE,"Moderate")</f>
        <v>Low</v>
      </c>
      <c r="O814" t="str">
        <f t="shared" si="12"/>
        <v>Adult</v>
      </c>
    </row>
    <row r="815" spans="1:15">
      <c r="A815" t="s">
        <v>251</v>
      </c>
      <c r="B815" t="s">
        <v>88</v>
      </c>
      <c r="C815" t="s">
        <v>15</v>
      </c>
      <c r="D815" t="s">
        <v>16</v>
      </c>
      <c r="E815" s="2">
        <v>58</v>
      </c>
      <c r="F815" t="s">
        <v>17</v>
      </c>
      <c r="G815" t="s">
        <v>31</v>
      </c>
      <c r="H815" s="2">
        <v>69</v>
      </c>
      <c r="I815" s="3">
        <v>6635</v>
      </c>
      <c r="J815" s="4">
        <v>22.91</v>
      </c>
      <c r="K815" s="2">
        <v>123</v>
      </c>
      <c r="L815" s="2">
        <v>3</v>
      </c>
      <c r="M815" s="3">
        <v>38825</v>
      </c>
      <c r="N815" t="str" cm="1">
        <f t="array" ref="N815">_xlfn.IFS(Table1_3[[#This Row],[Patient Satisfaction Score]]&gt;=83,"High",H815&lt;=75,"Low",TRUE,"Moderate")</f>
        <v>Low</v>
      </c>
      <c r="O815" t="str">
        <f t="shared" si="12"/>
        <v>Adult</v>
      </c>
    </row>
    <row r="816" spans="1:15">
      <c r="A816" t="s">
        <v>404</v>
      </c>
      <c r="B816" t="s">
        <v>14</v>
      </c>
      <c r="C816" t="s">
        <v>15</v>
      </c>
      <c r="D816" t="s">
        <v>27</v>
      </c>
      <c r="E816" s="2">
        <v>58</v>
      </c>
      <c r="F816" t="s">
        <v>22</v>
      </c>
      <c r="G816" t="s">
        <v>49</v>
      </c>
      <c r="H816" s="2">
        <v>80</v>
      </c>
      <c r="I816" s="3">
        <v>8472</v>
      </c>
      <c r="J816" s="4">
        <v>12.01</v>
      </c>
      <c r="K816" s="2">
        <v>54</v>
      </c>
      <c r="L816" s="2">
        <v>4</v>
      </c>
      <c r="M816" s="3">
        <v>36416</v>
      </c>
      <c r="N816" t="str" cm="1">
        <f t="array" ref="N816">_xlfn.IFS(Table1_3[[#This Row],[Patient Satisfaction Score]]&gt;=83,"High",H816&lt;=75,"Low",TRUE,"Moderate")</f>
        <v>Moderate</v>
      </c>
      <c r="O816" t="str">
        <f t="shared" si="12"/>
        <v>Adult</v>
      </c>
    </row>
    <row r="817" spans="1:15">
      <c r="A817" t="s">
        <v>284</v>
      </c>
      <c r="B817" t="s">
        <v>25</v>
      </c>
      <c r="C817" t="s">
        <v>26</v>
      </c>
      <c r="D817" t="s">
        <v>27</v>
      </c>
      <c r="E817" s="2">
        <v>59</v>
      </c>
      <c r="F817" t="s">
        <v>34</v>
      </c>
      <c r="G817" t="s">
        <v>18</v>
      </c>
      <c r="H817" s="2">
        <v>90</v>
      </c>
      <c r="I817" s="3">
        <v>3363</v>
      </c>
      <c r="J817" s="4">
        <v>3.4</v>
      </c>
      <c r="K817" s="2">
        <v>37</v>
      </c>
      <c r="L817" s="2">
        <v>5</v>
      </c>
      <c r="M817" s="3">
        <v>13015</v>
      </c>
      <c r="N817" t="str" cm="1">
        <f t="array" ref="N817">_xlfn.IFS(Table1_3[[#This Row],[Patient Satisfaction Score]]&gt;=83,"High",H817&lt;=75,"Low",TRUE,"Moderate")</f>
        <v>High</v>
      </c>
      <c r="O817" t="str">
        <f t="shared" si="12"/>
        <v>Adult</v>
      </c>
    </row>
    <row r="818" spans="1:15">
      <c r="A818" t="s">
        <v>358</v>
      </c>
      <c r="B818" t="s">
        <v>137</v>
      </c>
      <c r="C818" t="s">
        <v>26</v>
      </c>
      <c r="D818" t="s">
        <v>27</v>
      </c>
      <c r="E818" s="2">
        <v>59</v>
      </c>
      <c r="F818" t="s">
        <v>17</v>
      </c>
      <c r="G818" t="s">
        <v>70</v>
      </c>
      <c r="H818" s="2">
        <v>89</v>
      </c>
      <c r="I818" s="3">
        <v>2179</v>
      </c>
      <c r="J818" s="4">
        <v>6.73</v>
      </c>
      <c r="K818" s="2">
        <v>55</v>
      </c>
      <c r="L818" s="2">
        <v>5</v>
      </c>
      <c r="M818" s="3">
        <v>10469</v>
      </c>
      <c r="N818" t="str" cm="1">
        <f t="array" ref="N818">_xlfn.IFS(Table1_3[[#This Row],[Patient Satisfaction Score]]&gt;=83,"High",H818&lt;=75,"Low",TRUE,"Moderate")</f>
        <v>High</v>
      </c>
      <c r="O818" t="str">
        <f t="shared" si="12"/>
        <v>Adult</v>
      </c>
    </row>
    <row r="819" spans="1:15">
      <c r="A819" t="s">
        <v>943</v>
      </c>
      <c r="B819" t="s">
        <v>58</v>
      </c>
      <c r="C819" t="s">
        <v>48</v>
      </c>
      <c r="D819" t="s">
        <v>16</v>
      </c>
      <c r="E819" s="2">
        <v>59</v>
      </c>
      <c r="F819" t="s">
        <v>34</v>
      </c>
      <c r="G819" t="s">
        <v>70</v>
      </c>
      <c r="H819" s="2">
        <v>97</v>
      </c>
      <c r="I819" s="3">
        <v>5810</v>
      </c>
      <c r="J819" s="4">
        <v>9.86</v>
      </c>
      <c r="K819" s="2">
        <v>61</v>
      </c>
      <c r="L819" s="2">
        <v>5</v>
      </c>
      <c r="M819" s="3">
        <v>29341</v>
      </c>
      <c r="N819" t="str" cm="1">
        <f t="array" ref="N819">_xlfn.IFS(Table1_3[[#This Row],[Patient Satisfaction Score]]&gt;=83,"High",H819&lt;=75,"Low",TRUE,"Moderate")</f>
        <v>High</v>
      </c>
      <c r="O819" t="str">
        <f t="shared" si="12"/>
        <v>Adult</v>
      </c>
    </row>
    <row r="820" spans="1:15">
      <c r="A820" t="s">
        <v>435</v>
      </c>
      <c r="B820" t="s">
        <v>36</v>
      </c>
      <c r="C820" t="s">
        <v>21</v>
      </c>
      <c r="D820" t="s">
        <v>16</v>
      </c>
      <c r="E820" s="2">
        <v>59</v>
      </c>
      <c r="F820" t="s">
        <v>22</v>
      </c>
      <c r="G820" t="s">
        <v>23</v>
      </c>
      <c r="H820" s="2">
        <v>74</v>
      </c>
      <c r="I820" s="3">
        <v>7884</v>
      </c>
      <c r="J820" s="4">
        <v>6.44</v>
      </c>
      <c r="K820" s="2">
        <v>90</v>
      </c>
      <c r="L820" s="2">
        <v>4</v>
      </c>
      <c r="M820" s="3">
        <v>43408</v>
      </c>
      <c r="N820" t="str" cm="1">
        <f t="array" ref="N820">_xlfn.IFS(Table1_3[[#This Row],[Patient Satisfaction Score]]&gt;=83,"High",H820&lt;=75,"Low",TRUE,"Moderate")</f>
        <v>Low</v>
      </c>
      <c r="O820" t="str">
        <f t="shared" si="12"/>
        <v>Adult</v>
      </c>
    </row>
    <row r="821" spans="1:15">
      <c r="A821" t="s">
        <v>969</v>
      </c>
      <c r="B821" t="s">
        <v>129</v>
      </c>
      <c r="C821" t="s">
        <v>21</v>
      </c>
      <c r="D821" t="s">
        <v>16</v>
      </c>
      <c r="E821" s="2">
        <v>59</v>
      </c>
      <c r="F821" t="s">
        <v>22</v>
      </c>
      <c r="G821" t="s">
        <v>18</v>
      </c>
      <c r="H821" s="2">
        <v>79</v>
      </c>
      <c r="I821" s="3">
        <v>7311</v>
      </c>
      <c r="J821" s="4">
        <v>10.6</v>
      </c>
      <c r="K821" s="2">
        <v>94</v>
      </c>
      <c r="L821" s="2">
        <v>4</v>
      </c>
      <c r="M821" s="3">
        <v>22472</v>
      </c>
      <c r="N821" t="str" cm="1">
        <f t="array" ref="N821">_xlfn.IFS(Table1_3[[#This Row],[Patient Satisfaction Score]]&gt;=83,"High",H821&lt;=75,"Low",TRUE,"Moderate")</f>
        <v>Moderate</v>
      </c>
      <c r="O821" t="str">
        <f t="shared" si="12"/>
        <v>Adult</v>
      </c>
    </row>
    <row r="822" spans="1:15">
      <c r="A822" t="s">
        <v>270</v>
      </c>
      <c r="B822" t="s">
        <v>74</v>
      </c>
      <c r="C822" t="s">
        <v>45</v>
      </c>
      <c r="D822" t="s">
        <v>16</v>
      </c>
      <c r="E822" s="2">
        <v>59</v>
      </c>
      <c r="F822" t="s">
        <v>34</v>
      </c>
      <c r="G822" t="s">
        <v>31</v>
      </c>
      <c r="H822" s="2">
        <v>71</v>
      </c>
      <c r="I822" s="3">
        <v>11343</v>
      </c>
      <c r="J822" s="4">
        <v>23.25</v>
      </c>
      <c r="K822" s="2">
        <v>100</v>
      </c>
      <c r="L822" s="2">
        <v>3</v>
      </c>
      <c r="M822" s="3">
        <v>34319</v>
      </c>
      <c r="N822" t="str" cm="1">
        <f t="array" ref="N822">_xlfn.IFS(Table1_3[[#This Row],[Patient Satisfaction Score]]&gt;=83,"High",H822&lt;=75,"Low",TRUE,"Moderate")</f>
        <v>Low</v>
      </c>
      <c r="O822" t="str">
        <f t="shared" si="12"/>
        <v>Adult</v>
      </c>
    </row>
    <row r="823" spans="1:15">
      <c r="A823" t="s">
        <v>186</v>
      </c>
      <c r="B823" t="s">
        <v>187</v>
      </c>
      <c r="C823" t="s">
        <v>30</v>
      </c>
      <c r="D823" t="s">
        <v>27</v>
      </c>
      <c r="E823" s="2">
        <v>59</v>
      </c>
      <c r="F823" t="s">
        <v>22</v>
      </c>
      <c r="G823" t="s">
        <v>70</v>
      </c>
      <c r="H823" s="2">
        <v>71</v>
      </c>
      <c r="I823" s="3">
        <v>4356</v>
      </c>
      <c r="J823" s="4">
        <v>15.27</v>
      </c>
      <c r="K823" s="2">
        <v>110</v>
      </c>
      <c r="L823" s="2">
        <v>3</v>
      </c>
      <c r="M823" s="3">
        <v>20456</v>
      </c>
      <c r="N823" t="str" cm="1">
        <f t="array" ref="N823">_xlfn.IFS(Table1_3[[#This Row],[Patient Satisfaction Score]]&gt;=83,"High",H823&lt;=75,"Low",TRUE,"Moderate")</f>
        <v>Low</v>
      </c>
      <c r="O823" t="str">
        <f t="shared" si="12"/>
        <v>Adult</v>
      </c>
    </row>
    <row r="824" spans="1:15">
      <c r="A824" t="s">
        <v>810</v>
      </c>
      <c r="B824" t="s">
        <v>29</v>
      </c>
      <c r="C824" t="s">
        <v>30</v>
      </c>
      <c r="D824" t="s">
        <v>16</v>
      </c>
      <c r="E824" s="2">
        <v>59</v>
      </c>
      <c r="F824" t="s">
        <v>22</v>
      </c>
      <c r="G824" t="s">
        <v>49</v>
      </c>
      <c r="H824" s="2">
        <v>77</v>
      </c>
      <c r="I824" s="3">
        <v>4001</v>
      </c>
      <c r="J824" s="4">
        <v>27.58</v>
      </c>
      <c r="K824" s="2">
        <v>120</v>
      </c>
      <c r="L824" s="2">
        <v>4</v>
      </c>
      <c r="M824" s="3">
        <v>17805</v>
      </c>
      <c r="N824" t="str" cm="1">
        <f t="array" ref="N824">_xlfn.IFS(Table1_3[[#This Row],[Patient Satisfaction Score]]&gt;=83,"High",H824&lt;=75,"Low",TRUE,"Moderate")</f>
        <v>Moderate</v>
      </c>
      <c r="O824" t="str">
        <f t="shared" si="12"/>
        <v>Adult</v>
      </c>
    </row>
    <row r="825" spans="1:15">
      <c r="A825" t="s">
        <v>878</v>
      </c>
      <c r="B825" t="s">
        <v>187</v>
      </c>
      <c r="C825" t="s">
        <v>30</v>
      </c>
      <c r="D825" t="s">
        <v>16</v>
      </c>
      <c r="E825" s="2">
        <v>59</v>
      </c>
      <c r="F825" t="s">
        <v>34</v>
      </c>
      <c r="G825" t="s">
        <v>49</v>
      </c>
      <c r="H825" s="2">
        <v>71</v>
      </c>
      <c r="I825" s="3">
        <v>3615</v>
      </c>
      <c r="J825" s="4">
        <v>12.47</v>
      </c>
      <c r="K825" s="2">
        <v>120</v>
      </c>
      <c r="L825" s="2">
        <v>4</v>
      </c>
      <c r="M825" s="3">
        <v>14471</v>
      </c>
      <c r="N825" t="str" cm="1">
        <f t="array" ref="N825">_xlfn.IFS(Table1_3[[#This Row],[Patient Satisfaction Score]]&gt;=83,"High",H825&lt;=75,"Low",TRUE,"Moderate")</f>
        <v>Low</v>
      </c>
      <c r="O825" t="str">
        <f t="shared" si="12"/>
        <v>Adult</v>
      </c>
    </row>
    <row r="826" spans="1:15">
      <c r="A826" t="s">
        <v>965</v>
      </c>
      <c r="B826" t="s">
        <v>109</v>
      </c>
      <c r="C826" t="s">
        <v>30</v>
      </c>
      <c r="D826" t="s">
        <v>27</v>
      </c>
      <c r="E826" s="2">
        <v>59</v>
      </c>
      <c r="F826" t="s">
        <v>22</v>
      </c>
      <c r="G826" t="s">
        <v>18</v>
      </c>
      <c r="H826" s="2">
        <v>70</v>
      </c>
      <c r="I826" s="3">
        <v>3188</v>
      </c>
      <c r="J826" s="4">
        <v>17.43</v>
      </c>
      <c r="K826" s="2">
        <v>135</v>
      </c>
      <c r="L826" s="2">
        <v>3</v>
      </c>
      <c r="M826" s="3">
        <v>16472</v>
      </c>
      <c r="N826" t="str" cm="1">
        <f t="array" ref="N826">_xlfn.IFS(Table1_3[[#This Row],[Patient Satisfaction Score]]&gt;=83,"High",H826&lt;=75,"Low",TRUE,"Moderate")</f>
        <v>Low</v>
      </c>
      <c r="O826" t="str">
        <f t="shared" si="12"/>
        <v>Adult</v>
      </c>
    </row>
    <row r="827" spans="1:15">
      <c r="A827" t="s">
        <v>228</v>
      </c>
      <c r="B827" t="s">
        <v>14</v>
      </c>
      <c r="C827" t="s">
        <v>15</v>
      </c>
      <c r="D827" t="s">
        <v>27</v>
      </c>
      <c r="E827" s="2">
        <v>59</v>
      </c>
      <c r="F827" t="s">
        <v>17</v>
      </c>
      <c r="G827" t="s">
        <v>49</v>
      </c>
      <c r="H827" s="2">
        <v>77</v>
      </c>
      <c r="I827" s="3">
        <v>8025</v>
      </c>
      <c r="J827" s="4">
        <v>15.68</v>
      </c>
      <c r="K827" s="2">
        <v>86</v>
      </c>
      <c r="L827" s="2">
        <v>3</v>
      </c>
      <c r="M827" s="3">
        <v>21230</v>
      </c>
      <c r="N827" t="str" cm="1">
        <f t="array" ref="N827">_xlfn.IFS(Table1_3[[#This Row],[Patient Satisfaction Score]]&gt;=83,"High",H827&lt;=75,"Low",TRUE,"Moderate")</f>
        <v>Moderate</v>
      </c>
      <c r="O827" t="str">
        <f t="shared" si="12"/>
        <v>Adult</v>
      </c>
    </row>
    <row r="828" spans="1:15">
      <c r="A828" t="s">
        <v>514</v>
      </c>
      <c r="B828" t="s">
        <v>54</v>
      </c>
      <c r="C828" t="s">
        <v>15</v>
      </c>
      <c r="D828" t="s">
        <v>72</v>
      </c>
      <c r="E828" s="2">
        <v>59</v>
      </c>
      <c r="F828" t="s">
        <v>34</v>
      </c>
      <c r="G828" t="s">
        <v>40</v>
      </c>
      <c r="H828" s="2">
        <v>84</v>
      </c>
      <c r="I828" s="3">
        <v>8622</v>
      </c>
      <c r="J828" s="4">
        <v>14.65</v>
      </c>
      <c r="K828" s="2">
        <v>44</v>
      </c>
      <c r="L828" s="2">
        <v>5</v>
      </c>
      <c r="M828" s="3">
        <v>32824</v>
      </c>
      <c r="N828" t="str" cm="1">
        <f t="array" ref="N828">_xlfn.IFS(Table1_3[[#This Row],[Patient Satisfaction Score]]&gt;=83,"High",H828&lt;=75,"Low",TRUE,"Moderate")</f>
        <v>High</v>
      </c>
      <c r="O828" t="str">
        <f t="shared" si="12"/>
        <v>Adult</v>
      </c>
    </row>
    <row r="829" spans="1:15">
      <c r="A829" t="s">
        <v>754</v>
      </c>
      <c r="B829" t="s">
        <v>80</v>
      </c>
      <c r="C829" t="s">
        <v>15</v>
      </c>
      <c r="D829" t="s">
        <v>27</v>
      </c>
      <c r="E829" s="2">
        <v>59</v>
      </c>
      <c r="F829" t="s">
        <v>34</v>
      </c>
      <c r="G829" t="s">
        <v>23</v>
      </c>
      <c r="H829" s="2">
        <v>74</v>
      </c>
      <c r="I829" s="3">
        <v>6558</v>
      </c>
      <c r="J829" s="4">
        <v>12.24</v>
      </c>
      <c r="K829" s="2">
        <v>128</v>
      </c>
      <c r="L829" s="2">
        <v>3</v>
      </c>
      <c r="M829" s="3">
        <v>26652</v>
      </c>
      <c r="N829" t="str" cm="1">
        <f t="array" ref="N829">_xlfn.IFS(Table1_3[[#This Row],[Patient Satisfaction Score]]&gt;=83,"High",H829&lt;=75,"Low",TRUE,"Moderate")</f>
        <v>Low</v>
      </c>
      <c r="O829" t="str">
        <f t="shared" si="12"/>
        <v>Adult</v>
      </c>
    </row>
    <row r="830" spans="1:15">
      <c r="A830" t="s">
        <v>377</v>
      </c>
      <c r="B830" t="s">
        <v>25</v>
      </c>
      <c r="C830" t="s">
        <v>26</v>
      </c>
      <c r="D830" t="s">
        <v>27</v>
      </c>
      <c r="E830" s="2">
        <v>60</v>
      </c>
      <c r="F830" t="s">
        <v>22</v>
      </c>
      <c r="G830" t="s">
        <v>49</v>
      </c>
      <c r="H830" s="2">
        <v>95</v>
      </c>
      <c r="I830" s="3">
        <v>2461</v>
      </c>
      <c r="J830" s="4">
        <v>5.0599999999999996</v>
      </c>
      <c r="K830" s="2">
        <v>5</v>
      </c>
      <c r="L830" s="2">
        <v>5</v>
      </c>
      <c r="M830" s="3">
        <v>10623</v>
      </c>
      <c r="N830" t="str" cm="1">
        <f t="array" ref="N830">_xlfn.IFS(Table1_3[[#This Row],[Patient Satisfaction Score]]&gt;=83,"High",H830&lt;=75,"Low",TRUE,"Moderate")</f>
        <v>High</v>
      </c>
      <c r="O830" t="str">
        <f t="shared" si="12"/>
        <v>Adult</v>
      </c>
    </row>
    <row r="831" spans="1:15">
      <c r="A831" t="s">
        <v>599</v>
      </c>
      <c r="B831" t="s">
        <v>25</v>
      </c>
      <c r="C831" t="s">
        <v>26</v>
      </c>
      <c r="D831" t="s">
        <v>27</v>
      </c>
      <c r="E831" s="2">
        <v>60</v>
      </c>
      <c r="F831" t="s">
        <v>17</v>
      </c>
      <c r="G831" t="s">
        <v>23</v>
      </c>
      <c r="H831" s="2">
        <v>85</v>
      </c>
      <c r="I831" s="3">
        <v>2452</v>
      </c>
      <c r="J831" s="4">
        <v>6.67</v>
      </c>
      <c r="K831" s="2">
        <v>66</v>
      </c>
      <c r="L831" s="2">
        <v>4</v>
      </c>
      <c r="M831" s="3">
        <v>12388</v>
      </c>
      <c r="N831" t="str" cm="1">
        <f t="array" ref="N831">_xlfn.IFS(Table1_3[[#This Row],[Patient Satisfaction Score]]&gt;=83,"High",H831&lt;=75,"Low",TRUE,"Moderate")</f>
        <v>High</v>
      </c>
      <c r="O831" t="str">
        <f t="shared" si="12"/>
        <v>Adult</v>
      </c>
    </row>
    <row r="832" spans="1:15">
      <c r="A832" t="s">
        <v>212</v>
      </c>
      <c r="B832" t="s">
        <v>47</v>
      </c>
      <c r="C832" t="s">
        <v>48</v>
      </c>
      <c r="D832" t="s">
        <v>16</v>
      </c>
      <c r="E832" s="2">
        <v>60</v>
      </c>
      <c r="F832" t="s">
        <v>34</v>
      </c>
      <c r="G832" t="s">
        <v>49</v>
      </c>
      <c r="H832" s="2">
        <v>79</v>
      </c>
      <c r="I832" s="3">
        <v>4839</v>
      </c>
      <c r="J832" s="4">
        <v>11.81</v>
      </c>
      <c r="K832" s="2">
        <v>83</v>
      </c>
      <c r="L832" s="2">
        <v>3</v>
      </c>
      <c r="M832" s="3">
        <v>22566</v>
      </c>
      <c r="N832" t="str" cm="1">
        <f t="array" ref="N832">_xlfn.IFS(Table1_3[[#This Row],[Patient Satisfaction Score]]&gt;=83,"High",H832&lt;=75,"Low",TRUE,"Moderate")</f>
        <v>Moderate</v>
      </c>
      <c r="O832" t="str">
        <f t="shared" si="12"/>
        <v>Adult</v>
      </c>
    </row>
    <row r="833" spans="1:15">
      <c r="A833" t="s">
        <v>740</v>
      </c>
      <c r="B833" t="s">
        <v>60</v>
      </c>
      <c r="C833" t="s">
        <v>52</v>
      </c>
      <c r="D833" t="s">
        <v>16</v>
      </c>
      <c r="E833" s="2">
        <v>60</v>
      </c>
      <c r="F833" t="s">
        <v>22</v>
      </c>
      <c r="G833" t="s">
        <v>23</v>
      </c>
      <c r="H833" s="2">
        <v>89</v>
      </c>
      <c r="I833" s="3">
        <v>9363</v>
      </c>
      <c r="J833" s="4">
        <v>9.08</v>
      </c>
      <c r="K833" s="2">
        <v>68</v>
      </c>
      <c r="L833" s="2">
        <v>4</v>
      </c>
      <c r="M833" s="3">
        <v>27855</v>
      </c>
      <c r="N833" t="str" cm="1">
        <f t="array" ref="N833">_xlfn.IFS(Table1_3[[#This Row],[Patient Satisfaction Score]]&gt;=83,"High",H833&lt;=75,"Low",TRUE,"Moderate")</f>
        <v>High</v>
      </c>
      <c r="O833" t="str">
        <f t="shared" si="12"/>
        <v>Adult</v>
      </c>
    </row>
    <row r="834" spans="1:15">
      <c r="A834" t="s">
        <v>453</v>
      </c>
      <c r="B834" t="s">
        <v>84</v>
      </c>
      <c r="C834" t="s">
        <v>21</v>
      </c>
      <c r="D834" t="s">
        <v>16</v>
      </c>
      <c r="E834" s="2">
        <v>60</v>
      </c>
      <c r="F834" t="s">
        <v>17</v>
      </c>
      <c r="G834" t="s">
        <v>18</v>
      </c>
      <c r="H834" s="2">
        <v>73</v>
      </c>
      <c r="I834" s="3">
        <v>8924</v>
      </c>
      <c r="J834" s="4">
        <v>19.440000000000001</v>
      </c>
      <c r="K834" s="2">
        <v>96</v>
      </c>
      <c r="L834" s="2">
        <v>3</v>
      </c>
      <c r="M834" s="3">
        <v>44685</v>
      </c>
      <c r="N834" t="str" cm="1">
        <f t="array" ref="N834">_xlfn.IFS(Table1_3[[#This Row],[Patient Satisfaction Score]]&gt;=83,"High",H834&lt;=75,"Low",TRUE,"Moderate")</f>
        <v>Low</v>
      </c>
      <c r="O834" t="str">
        <f t="shared" ref="O834:O897" si="13">IF(E834&lt;19,"Pediatric","Adult")</f>
        <v>Adult</v>
      </c>
    </row>
    <row r="835" spans="1:15">
      <c r="A835" t="s">
        <v>298</v>
      </c>
      <c r="B835" t="s">
        <v>56</v>
      </c>
      <c r="C835" t="s">
        <v>45</v>
      </c>
      <c r="D835" t="s">
        <v>16</v>
      </c>
      <c r="E835" s="2">
        <v>60</v>
      </c>
      <c r="F835" t="s">
        <v>22</v>
      </c>
      <c r="G835" t="s">
        <v>40</v>
      </c>
      <c r="H835" s="2">
        <v>83</v>
      </c>
      <c r="I835" s="3">
        <v>9528</v>
      </c>
      <c r="J835" s="4">
        <v>11.57</v>
      </c>
      <c r="K835" s="2">
        <v>69</v>
      </c>
      <c r="L835" s="2">
        <v>4</v>
      </c>
      <c r="M835" s="3">
        <v>44113</v>
      </c>
      <c r="N835" t="str" cm="1">
        <f t="array" ref="N835">_xlfn.IFS(Table1_3[[#This Row],[Patient Satisfaction Score]]&gt;=83,"High",H835&lt;=75,"Low",TRUE,"Moderate")</f>
        <v>High</v>
      </c>
      <c r="O835" t="str">
        <f t="shared" si="13"/>
        <v>Adult</v>
      </c>
    </row>
    <row r="836" spans="1:15">
      <c r="A836" t="s">
        <v>604</v>
      </c>
      <c r="B836" t="s">
        <v>64</v>
      </c>
      <c r="C836" t="s">
        <v>30</v>
      </c>
      <c r="D836" t="s">
        <v>27</v>
      </c>
      <c r="E836" s="2">
        <v>60</v>
      </c>
      <c r="F836" t="s">
        <v>17</v>
      </c>
      <c r="G836" t="s">
        <v>31</v>
      </c>
      <c r="H836" s="2">
        <v>74</v>
      </c>
      <c r="I836" s="3">
        <v>3785</v>
      </c>
      <c r="J836" s="4">
        <v>20.2</v>
      </c>
      <c r="K836" s="2">
        <v>101</v>
      </c>
      <c r="L836" s="2">
        <v>3</v>
      </c>
      <c r="M836" s="3">
        <v>21981</v>
      </c>
      <c r="N836" t="str" cm="1">
        <f t="array" ref="N836">_xlfn.IFS(Table1_3[[#This Row],[Patient Satisfaction Score]]&gt;=83,"High",H836&lt;=75,"Low",TRUE,"Moderate")</f>
        <v>Low</v>
      </c>
      <c r="O836" t="str">
        <f t="shared" si="13"/>
        <v>Adult</v>
      </c>
    </row>
    <row r="837" spans="1:15">
      <c r="A837" t="s">
        <v>870</v>
      </c>
      <c r="B837" t="s">
        <v>109</v>
      </c>
      <c r="C837" t="s">
        <v>30</v>
      </c>
      <c r="D837" t="s">
        <v>16</v>
      </c>
      <c r="E837" s="2">
        <v>60</v>
      </c>
      <c r="F837" t="s">
        <v>17</v>
      </c>
      <c r="G837" t="s">
        <v>18</v>
      </c>
      <c r="H837" s="2">
        <v>71</v>
      </c>
      <c r="I837" s="3">
        <v>2555</v>
      </c>
      <c r="J837" s="4">
        <v>25.07</v>
      </c>
      <c r="K837" s="2">
        <v>105</v>
      </c>
      <c r="L837" s="2">
        <v>3</v>
      </c>
      <c r="M837" s="3">
        <v>11892</v>
      </c>
      <c r="N837" t="str" cm="1">
        <f t="array" ref="N837">_xlfn.IFS(Table1_3[[#This Row],[Patient Satisfaction Score]]&gt;=83,"High",H837&lt;=75,"Low",TRUE,"Moderate")</f>
        <v>Low</v>
      </c>
      <c r="O837" t="str">
        <f t="shared" si="13"/>
        <v>Adult</v>
      </c>
    </row>
    <row r="838" spans="1:15">
      <c r="A838" t="s">
        <v>451</v>
      </c>
      <c r="B838" t="s">
        <v>80</v>
      </c>
      <c r="C838" t="s">
        <v>15</v>
      </c>
      <c r="D838" t="s">
        <v>27</v>
      </c>
      <c r="E838" s="2">
        <v>60</v>
      </c>
      <c r="F838" t="s">
        <v>22</v>
      </c>
      <c r="G838" t="s">
        <v>40</v>
      </c>
      <c r="H838" s="2">
        <v>80</v>
      </c>
      <c r="I838" s="3">
        <v>5398</v>
      </c>
      <c r="J838" s="4">
        <v>16.23</v>
      </c>
      <c r="K838" s="2">
        <v>97</v>
      </c>
      <c r="L838" s="2">
        <v>5</v>
      </c>
      <c r="M838" s="3">
        <v>27518</v>
      </c>
      <c r="N838" t="str" cm="1">
        <f t="array" ref="N838">_xlfn.IFS(Table1_3[[#This Row],[Patient Satisfaction Score]]&gt;=83,"High",H838&lt;=75,"Low",TRUE,"Moderate")</f>
        <v>Moderate</v>
      </c>
      <c r="O838" t="str">
        <f t="shared" si="13"/>
        <v>Adult</v>
      </c>
    </row>
    <row r="839" spans="1:15">
      <c r="A839" t="s">
        <v>715</v>
      </c>
      <c r="B839" t="s">
        <v>88</v>
      </c>
      <c r="C839" t="s">
        <v>15</v>
      </c>
      <c r="D839" t="s">
        <v>27</v>
      </c>
      <c r="E839" s="2">
        <v>60</v>
      </c>
      <c r="F839" t="s">
        <v>34</v>
      </c>
      <c r="G839" t="s">
        <v>23</v>
      </c>
      <c r="H839" s="2">
        <v>74</v>
      </c>
      <c r="I839" s="3">
        <v>8862</v>
      </c>
      <c r="J839" s="4">
        <v>21.28</v>
      </c>
      <c r="K839" s="2">
        <v>95</v>
      </c>
      <c r="L839" s="2">
        <v>3</v>
      </c>
      <c r="M839" s="3">
        <v>52628</v>
      </c>
      <c r="N839" t="str" cm="1">
        <f t="array" ref="N839">_xlfn.IFS(Table1_3[[#This Row],[Patient Satisfaction Score]]&gt;=83,"High",H839&lt;=75,"Low",TRUE,"Moderate")</f>
        <v>Low</v>
      </c>
      <c r="O839" t="str">
        <f t="shared" si="13"/>
        <v>Adult</v>
      </c>
    </row>
    <row r="840" spans="1:15">
      <c r="A840" t="s">
        <v>827</v>
      </c>
      <c r="B840" t="s">
        <v>54</v>
      </c>
      <c r="C840" t="s">
        <v>15</v>
      </c>
      <c r="D840" t="s">
        <v>27</v>
      </c>
      <c r="E840" s="2">
        <v>60</v>
      </c>
      <c r="F840" t="s">
        <v>34</v>
      </c>
      <c r="G840" t="s">
        <v>31</v>
      </c>
      <c r="H840" s="2">
        <v>71</v>
      </c>
      <c r="I840" s="3">
        <v>6857</v>
      </c>
      <c r="J840" s="4">
        <v>19.96</v>
      </c>
      <c r="K840" s="2">
        <v>61</v>
      </c>
      <c r="L840" s="2">
        <v>4</v>
      </c>
      <c r="M840" s="3">
        <v>36461</v>
      </c>
      <c r="N840" t="str" cm="1">
        <f t="array" ref="N840">_xlfn.IFS(Table1_3[[#This Row],[Patient Satisfaction Score]]&gt;=83,"High",H840&lt;=75,"Low",TRUE,"Moderate")</f>
        <v>Low</v>
      </c>
      <c r="O840" t="str">
        <f t="shared" si="13"/>
        <v>Adult</v>
      </c>
    </row>
    <row r="841" spans="1:15">
      <c r="A841" t="s">
        <v>1010</v>
      </c>
      <c r="B841" t="s">
        <v>122</v>
      </c>
      <c r="C841" t="s">
        <v>48</v>
      </c>
      <c r="D841" t="s">
        <v>72</v>
      </c>
      <c r="E841" s="2">
        <v>61</v>
      </c>
      <c r="F841" t="s">
        <v>17</v>
      </c>
      <c r="G841" t="s">
        <v>49</v>
      </c>
      <c r="H841" s="2">
        <v>70</v>
      </c>
      <c r="I841" s="3">
        <v>3669</v>
      </c>
      <c r="J841" s="4">
        <v>11.98</v>
      </c>
      <c r="K841" s="2">
        <v>90</v>
      </c>
      <c r="L841" s="2">
        <v>3</v>
      </c>
      <c r="M841" s="3">
        <v>18560</v>
      </c>
      <c r="N841" t="str" cm="1">
        <f t="array" ref="N841">_xlfn.IFS(Table1_3[[#This Row],[Patient Satisfaction Score]]&gt;=83,"High",H841&lt;=75,"Low",TRUE,"Moderate")</f>
        <v>Low</v>
      </c>
      <c r="O841" t="str">
        <f t="shared" si="13"/>
        <v>Adult</v>
      </c>
    </row>
    <row r="842" spans="1:15">
      <c r="A842" t="s">
        <v>921</v>
      </c>
      <c r="B842" t="s">
        <v>51</v>
      </c>
      <c r="C842" t="s">
        <v>52</v>
      </c>
      <c r="D842" t="s">
        <v>27</v>
      </c>
      <c r="E842" s="2">
        <v>61</v>
      </c>
      <c r="F842" t="s">
        <v>22</v>
      </c>
      <c r="G842" t="s">
        <v>40</v>
      </c>
      <c r="H842" s="2">
        <v>89</v>
      </c>
      <c r="I842" s="3">
        <v>9085</v>
      </c>
      <c r="J842" s="4">
        <v>14.21</v>
      </c>
      <c r="K842" s="2">
        <v>54</v>
      </c>
      <c r="L842" s="2">
        <v>4</v>
      </c>
      <c r="M842" s="3">
        <v>38271</v>
      </c>
      <c r="N842" t="str" cm="1">
        <f t="array" ref="N842">_xlfn.IFS(Table1_3[[#This Row],[Patient Satisfaction Score]]&gt;=83,"High",H842&lt;=75,"Low",TRUE,"Moderate")</f>
        <v>High</v>
      </c>
      <c r="O842" t="str">
        <f t="shared" si="13"/>
        <v>Adult</v>
      </c>
    </row>
    <row r="843" spans="1:15">
      <c r="A843" t="s">
        <v>995</v>
      </c>
      <c r="B843" t="s">
        <v>62</v>
      </c>
      <c r="C843" t="s">
        <v>52</v>
      </c>
      <c r="D843" t="s">
        <v>16</v>
      </c>
      <c r="E843" s="2">
        <v>61</v>
      </c>
      <c r="F843" t="s">
        <v>22</v>
      </c>
      <c r="G843" t="s">
        <v>23</v>
      </c>
      <c r="H843" s="2">
        <v>78</v>
      </c>
      <c r="I843" s="3">
        <v>6530</v>
      </c>
      <c r="J843" s="4">
        <v>16.559999999999999</v>
      </c>
      <c r="K843" s="2">
        <v>98</v>
      </c>
      <c r="L843" s="2">
        <v>3</v>
      </c>
      <c r="M843" s="3">
        <v>21346</v>
      </c>
      <c r="N843" t="str" cm="1">
        <f t="array" ref="N843">_xlfn.IFS(Table1_3[[#This Row],[Patient Satisfaction Score]]&gt;=83,"High",H843&lt;=75,"Low",TRUE,"Moderate")</f>
        <v>Moderate</v>
      </c>
      <c r="O843" t="str">
        <f t="shared" si="13"/>
        <v>Adult</v>
      </c>
    </row>
    <row r="844" spans="1:15">
      <c r="A844" t="s">
        <v>429</v>
      </c>
      <c r="B844" t="s">
        <v>20</v>
      </c>
      <c r="C844" t="s">
        <v>21</v>
      </c>
      <c r="D844" t="s">
        <v>27</v>
      </c>
      <c r="E844" s="2">
        <v>61</v>
      </c>
      <c r="F844" t="s">
        <v>22</v>
      </c>
      <c r="G844" t="s">
        <v>31</v>
      </c>
      <c r="H844" s="2">
        <v>86</v>
      </c>
      <c r="I844" s="3">
        <v>4400</v>
      </c>
      <c r="J844" s="4">
        <v>6.86</v>
      </c>
      <c r="K844" s="2">
        <v>69</v>
      </c>
      <c r="L844" s="2">
        <v>4</v>
      </c>
      <c r="M844" s="3">
        <v>11985</v>
      </c>
      <c r="N844" t="str" cm="1">
        <f t="array" ref="N844">_xlfn.IFS(Table1_3[[#This Row],[Patient Satisfaction Score]]&gt;=83,"High",H844&lt;=75,"Low",TRUE,"Moderate")</f>
        <v>High</v>
      </c>
      <c r="O844" t="str">
        <f t="shared" si="13"/>
        <v>Adult</v>
      </c>
    </row>
    <row r="845" spans="1:15">
      <c r="A845" t="s">
        <v>607</v>
      </c>
      <c r="B845" t="s">
        <v>20</v>
      </c>
      <c r="C845" t="s">
        <v>21</v>
      </c>
      <c r="D845" t="s">
        <v>27</v>
      </c>
      <c r="E845" s="2">
        <v>61</v>
      </c>
      <c r="F845" t="s">
        <v>34</v>
      </c>
      <c r="G845" t="s">
        <v>70</v>
      </c>
      <c r="H845" s="2">
        <v>83</v>
      </c>
      <c r="I845" s="3">
        <v>7022</v>
      </c>
      <c r="J845" s="4">
        <v>12.11</v>
      </c>
      <c r="K845" s="2">
        <v>81</v>
      </c>
      <c r="L845" s="2">
        <v>5</v>
      </c>
      <c r="M845" s="3">
        <v>23756</v>
      </c>
      <c r="N845" t="str" cm="1">
        <f t="array" ref="N845">_xlfn.IFS(Table1_3[[#This Row],[Patient Satisfaction Score]]&gt;=83,"High",H845&lt;=75,"Low",TRUE,"Moderate")</f>
        <v>High</v>
      </c>
      <c r="O845" t="str">
        <f t="shared" si="13"/>
        <v>Adult</v>
      </c>
    </row>
    <row r="846" spans="1:15">
      <c r="A846" t="s">
        <v>245</v>
      </c>
      <c r="B846" t="s">
        <v>64</v>
      </c>
      <c r="C846" t="s">
        <v>30</v>
      </c>
      <c r="D846" t="s">
        <v>16</v>
      </c>
      <c r="E846" s="2">
        <v>61</v>
      </c>
      <c r="F846" t="s">
        <v>17</v>
      </c>
      <c r="G846" t="s">
        <v>70</v>
      </c>
      <c r="H846" s="2">
        <v>77</v>
      </c>
      <c r="I846" s="3">
        <v>4773</v>
      </c>
      <c r="J846" s="4">
        <v>14.69</v>
      </c>
      <c r="K846" s="2">
        <v>98</v>
      </c>
      <c r="L846" s="2">
        <v>4</v>
      </c>
      <c r="M846" s="3">
        <v>19479</v>
      </c>
      <c r="N846" t="str" cm="1">
        <f t="array" ref="N846">_xlfn.IFS(Table1_3[[#This Row],[Patient Satisfaction Score]]&gt;=83,"High",H846&lt;=75,"Low",TRUE,"Moderate")</f>
        <v>Moderate</v>
      </c>
      <c r="O846" t="str">
        <f t="shared" si="13"/>
        <v>Adult</v>
      </c>
    </row>
    <row r="847" spans="1:15">
      <c r="A847" t="s">
        <v>198</v>
      </c>
      <c r="B847" t="s">
        <v>54</v>
      </c>
      <c r="C847" t="s">
        <v>15</v>
      </c>
      <c r="D847" t="s">
        <v>72</v>
      </c>
      <c r="E847" s="2">
        <v>61</v>
      </c>
      <c r="F847" t="s">
        <v>17</v>
      </c>
      <c r="G847" t="s">
        <v>49</v>
      </c>
      <c r="H847" s="2">
        <v>80</v>
      </c>
      <c r="I847" s="3">
        <v>8493</v>
      </c>
      <c r="J847" s="4">
        <v>20.68</v>
      </c>
      <c r="K847" s="2">
        <v>95</v>
      </c>
      <c r="L847" s="2">
        <v>4</v>
      </c>
      <c r="M847" s="3">
        <v>25947</v>
      </c>
      <c r="N847" t="str" cm="1">
        <f t="array" ref="N847">_xlfn.IFS(Table1_3[[#This Row],[Patient Satisfaction Score]]&gt;=83,"High",H847&lt;=75,"Low",TRUE,"Moderate")</f>
        <v>Moderate</v>
      </c>
      <c r="O847" t="str">
        <f t="shared" si="13"/>
        <v>Adult</v>
      </c>
    </row>
    <row r="848" spans="1:15">
      <c r="A848" t="s">
        <v>726</v>
      </c>
      <c r="B848" t="s">
        <v>78</v>
      </c>
      <c r="C848" t="s">
        <v>15</v>
      </c>
      <c r="D848" t="s">
        <v>27</v>
      </c>
      <c r="E848" s="2">
        <v>61</v>
      </c>
      <c r="F848" t="s">
        <v>34</v>
      </c>
      <c r="G848" t="s">
        <v>18</v>
      </c>
      <c r="H848" s="2">
        <v>67</v>
      </c>
      <c r="I848" s="3">
        <v>6354</v>
      </c>
      <c r="J848" s="4">
        <v>19.03</v>
      </c>
      <c r="K848" s="2">
        <v>95</v>
      </c>
      <c r="L848" s="2">
        <v>4</v>
      </c>
      <c r="M848" s="3">
        <v>37189</v>
      </c>
      <c r="N848" t="str" cm="1">
        <f t="array" ref="N848">_xlfn.IFS(Table1_3[[#This Row],[Patient Satisfaction Score]]&gt;=83,"High",H848&lt;=75,"Low",TRUE,"Moderate")</f>
        <v>Low</v>
      </c>
      <c r="O848" t="str">
        <f t="shared" si="13"/>
        <v>Adult</v>
      </c>
    </row>
    <row r="849" spans="1:15">
      <c r="A849" t="s">
        <v>752</v>
      </c>
      <c r="B849" t="s">
        <v>78</v>
      </c>
      <c r="C849" t="s">
        <v>15</v>
      </c>
      <c r="D849" t="s">
        <v>16</v>
      </c>
      <c r="E849" s="2">
        <v>61</v>
      </c>
      <c r="F849" t="s">
        <v>17</v>
      </c>
      <c r="G849" t="s">
        <v>23</v>
      </c>
      <c r="H849" s="2">
        <v>77</v>
      </c>
      <c r="I849" s="3">
        <v>6684</v>
      </c>
      <c r="J849" s="4">
        <v>21.56</v>
      </c>
      <c r="K849" s="2">
        <v>87</v>
      </c>
      <c r="L849" s="2">
        <v>4</v>
      </c>
      <c r="M849" s="3">
        <v>28228</v>
      </c>
      <c r="N849" t="str" cm="1">
        <f t="array" ref="N849">_xlfn.IFS(Table1_3[[#This Row],[Patient Satisfaction Score]]&gt;=83,"High",H849&lt;=75,"Low",TRUE,"Moderate")</f>
        <v>Moderate</v>
      </c>
      <c r="O849" t="str">
        <f t="shared" si="13"/>
        <v>Adult</v>
      </c>
    </row>
    <row r="850" spans="1:15">
      <c r="A850" t="s">
        <v>115</v>
      </c>
      <c r="B850" t="s">
        <v>20</v>
      </c>
      <c r="C850" t="s">
        <v>21</v>
      </c>
      <c r="D850" t="s">
        <v>72</v>
      </c>
      <c r="E850" s="2">
        <v>62</v>
      </c>
      <c r="F850" t="s">
        <v>17</v>
      </c>
      <c r="G850" t="s">
        <v>18</v>
      </c>
      <c r="H850" s="2">
        <v>73</v>
      </c>
      <c r="I850" s="3">
        <v>9346</v>
      </c>
      <c r="J850" s="4">
        <v>11.77</v>
      </c>
      <c r="K850" s="2">
        <v>93</v>
      </c>
      <c r="L850" s="2">
        <v>3</v>
      </c>
      <c r="M850" s="3">
        <v>38533</v>
      </c>
      <c r="N850" t="str" cm="1">
        <f t="array" ref="N850">_xlfn.IFS(Table1_3[[#This Row],[Patient Satisfaction Score]]&gt;=83,"High",H850&lt;=75,"Low",TRUE,"Moderate")</f>
        <v>Low</v>
      </c>
      <c r="O850" t="str">
        <f t="shared" si="13"/>
        <v>Adult</v>
      </c>
    </row>
    <row r="851" spans="1:15">
      <c r="A851" t="s">
        <v>536</v>
      </c>
      <c r="B851" t="s">
        <v>129</v>
      </c>
      <c r="C851" t="s">
        <v>21</v>
      </c>
      <c r="D851" t="s">
        <v>27</v>
      </c>
      <c r="E851" s="2">
        <v>62</v>
      </c>
      <c r="F851" t="s">
        <v>22</v>
      </c>
      <c r="G851" t="s">
        <v>70</v>
      </c>
      <c r="H851" s="2">
        <v>82</v>
      </c>
      <c r="I851" s="3">
        <v>5967</v>
      </c>
      <c r="J851" s="4">
        <v>17.850000000000001</v>
      </c>
      <c r="K851" s="2">
        <v>126</v>
      </c>
      <c r="L851" s="2">
        <v>4</v>
      </c>
      <c r="M851" s="3">
        <v>23505</v>
      </c>
      <c r="N851" t="str" cm="1">
        <f t="array" ref="N851">_xlfn.IFS(Table1_3[[#This Row],[Patient Satisfaction Score]]&gt;=83,"High",H851&lt;=75,"Low",TRUE,"Moderate")</f>
        <v>Moderate</v>
      </c>
      <c r="O851" t="str">
        <f t="shared" si="13"/>
        <v>Adult</v>
      </c>
    </row>
    <row r="852" spans="1:15">
      <c r="A852" t="s">
        <v>548</v>
      </c>
      <c r="B852" t="s">
        <v>36</v>
      </c>
      <c r="C852" t="s">
        <v>21</v>
      </c>
      <c r="D852" t="s">
        <v>16</v>
      </c>
      <c r="E852" s="2">
        <v>62</v>
      </c>
      <c r="F852" t="s">
        <v>17</v>
      </c>
      <c r="G852" t="s">
        <v>40</v>
      </c>
      <c r="H852" s="2">
        <v>78</v>
      </c>
      <c r="I852" s="3">
        <v>5308</v>
      </c>
      <c r="J852" s="4">
        <v>20.420000000000002</v>
      </c>
      <c r="K852" s="2">
        <v>104</v>
      </c>
      <c r="L852" s="2">
        <v>4</v>
      </c>
      <c r="M852" s="3">
        <v>31060</v>
      </c>
      <c r="N852" t="str" cm="1">
        <f t="array" ref="N852">_xlfn.IFS(Table1_3[[#This Row],[Patient Satisfaction Score]]&gt;=83,"High",H852&lt;=75,"Low",TRUE,"Moderate")</f>
        <v>Moderate</v>
      </c>
      <c r="O852" t="str">
        <f t="shared" si="13"/>
        <v>Adult</v>
      </c>
    </row>
    <row r="853" spans="1:15">
      <c r="A853" t="s">
        <v>649</v>
      </c>
      <c r="B853" t="s">
        <v>129</v>
      </c>
      <c r="C853" t="s">
        <v>21</v>
      </c>
      <c r="D853" t="s">
        <v>16</v>
      </c>
      <c r="E853" s="2">
        <v>62</v>
      </c>
      <c r="F853" t="s">
        <v>22</v>
      </c>
      <c r="G853" t="s">
        <v>23</v>
      </c>
      <c r="H853" s="2">
        <v>76</v>
      </c>
      <c r="I853" s="3">
        <v>6626</v>
      </c>
      <c r="J853" s="4">
        <v>14.42</v>
      </c>
      <c r="K853" s="2">
        <v>82</v>
      </c>
      <c r="L853" s="2">
        <v>4</v>
      </c>
      <c r="M853" s="3">
        <v>26545</v>
      </c>
      <c r="N853" t="str" cm="1">
        <f t="array" ref="N853">_xlfn.IFS(Table1_3[[#This Row],[Patient Satisfaction Score]]&gt;=83,"High",H853&lt;=75,"Low",TRUE,"Moderate")</f>
        <v>Moderate</v>
      </c>
      <c r="O853" t="str">
        <f t="shared" si="13"/>
        <v>Adult</v>
      </c>
    </row>
    <row r="854" spans="1:15">
      <c r="A854" t="s">
        <v>685</v>
      </c>
      <c r="B854" t="s">
        <v>36</v>
      </c>
      <c r="C854" t="s">
        <v>21</v>
      </c>
      <c r="D854" t="s">
        <v>27</v>
      </c>
      <c r="E854" s="2">
        <v>62</v>
      </c>
      <c r="F854" t="s">
        <v>34</v>
      </c>
      <c r="G854" t="s">
        <v>23</v>
      </c>
      <c r="H854" s="2">
        <v>79</v>
      </c>
      <c r="I854" s="3">
        <v>6101</v>
      </c>
      <c r="J854" s="4">
        <v>17.940000000000001</v>
      </c>
      <c r="K854" s="2">
        <v>84</v>
      </c>
      <c r="L854" s="2">
        <v>4</v>
      </c>
      <c r="M854" s="3">
        <v>35795</v>
      </c>
      <c r="N854" t="str" cm="1">
        <f t="array" ref="N854">_xlfn.IFS(Table1_3[[#This Row],[Patient Satisfaction Score]]&gt;=83,"High",H854&lt;=75,"Low",TRUE,"Moderate")</f>
        <v>Moderate</v>
      </c>
      <c r="O854" t="str">
        <f t="shared" si="13"/>
        <v>Adult</v>
      </c>
    </row>
    <row r="855" spans="1:15">
      <c r="A855" t="s">
        <v>132</v>
      </c>
      <c r="B855" t="s">
        <v>56</v>
      </c>
      <c r="C855" t="s">
        <v>45</v>
      </c>
      <c r="D855" t="s">
        <v>16</v>
      </c>
      <c r="E855" s="2">
        <v>62</v>
      </c>
      <c r="F855" t="s">
        <v>17</v>
      </c>
      <c r="G855" t="s">
        <v>23</v>
      </c>
      <c r="H855" s="2">
        <v>70</v>
      </c>
      <c r="I855" s="3">
        <v>9051</v>
      </c>
      <c r="J855" s="4">
        <v>20.87</v>
      </c>
      <c r="K855" s="2">
        <v>75</v>
      </c>
      <c r="L855" s="2">
        <v>4</v>
      </c>
      <c r="M855" s="3">
        <v>36800</v>
      </c>
      <c r="N855" t="str" cm="1">
        <f t="array" ref="N855">_xlfn.IFS(Table1_3[[#This Row],[Patient Satisfaction Score]]&gt;=83,"High",H855&lt;=75,"Low",TRUE,"Moderate")</f>
        <v>Low</v>
      </c>
      <c r="O855" t="str">
        <f t="shared" si="13"/>
        <v>Adult</v>
      </c>
    </row>
    <row r="856" spans="1:15">
      <c r="A856" t="s">
        <v>1006</v>
      </c>
      <c r="B856" t="s">
        <v>168</v>
      </c>
      <c r="C856" t="s">
        <v>45</v>
      </c>
      <c r="D856" t="s">
        <v>16</v>
      </c>
      <c r="E856" s="2">
        <v>62</v>
      </c>
      <c r="F856" t="s">
        <v>17</v>
      </c>
      <c r="G856" t="s">
        <v>31</v>
      </c>
      <c r="H856" s="2">
        <v>77</v>
      </c>
      <c r="I856" s="3">
        <v>8077</v>
      </c>
      <c r="J856" s="4">
        <v>19.73</v>
      </c>
      <c r="K856" s="2">
        <v>117</v>
      </c>
      <c r="L856" s="2">
        <v>5</v>
      </c>
      <c r="M856" s="3">
        <v>30644</v>
      </c>
      <c r="N856" t="str" cm="1">
        <f t="array" ref="N856">_xlfn.IFS(Table1_3[[#This Row],[Patient Satisfaction Score]]&gt;=83,"High",H856&lt;=75,"Low",TRUE,"Moderate")</f>
        <v>Moderate</v>
      </c>
      <c r="O856" t="str">
        <f t="shared" si="13"/>
        <v>Adult</v>
      </c>
    </row>
    <row r="857" spans="1:15">
      <c r="A857" t="s">
        <v>1029</v>
      </c>
      <c r="B857" t="s">
        <v>68</v>
      </c>
      <c r="C857" t="s">
        <v>45</v>
      </c>
      <c r="D857" t="s">
        <v>16</v>
      </c>
      <c r="E857" s="2">
        <v>62</v>
      </c>
      <c r="F857" t="s">
        <v>22</v>
      </c>
      <c r="G857" t="s">
        <v>23</v>
      </c>
      <c r="H857" s="2">
        <v>79</v>
      </c>
      <c r="I857" s="3">
        <v>8644</v>
      </c>
      <c r="J857" s="4">
        <v>21.67</v>
      </c>
      <c r="K857" s="2">
        <v>60</v>
      </c>
      <c r="L857" s="2">
        <v>4</v>
      </c>
      <c r="M857" s="3">
        <v>42582</v>
      </c>
      <c r="N857" t="str" cm="1">
        <f t="array" ref="N857">_xlfn.IFS(Table1_3[[#This Row],[Patient Satisfaction Score]]&gt;=83,"High",H857&lt;=75,"Low",TRUE,"Moderate")</f>
        <v>Moderate</v>
      </c>
      <c r="O857" t="str">
        <f t="shared" si="13"/>
        <v>Adult</v>
      </c>
    </row>
    <row r="858" spans="1:15">
      <c r="A858" t="s">
        <v>316</v>
      </c>
      <c r="B858" t="s">
        <v>64</v>
      </c>
      <c r="C858" t="s">
        <v>30</v>
      </c>
      <c r="D858" t="s">
        <v>16</v>
      </c>
      <c r="E858" s="2">
        <v>62</v>
      </c>
      <c r="F858" t="s">
        <v>17</v>
      </c>
      <c r="G858" t="s">
        <v>49</v>
      </c>
      <c r="H858" s="2">
        <v>67</v>
      </c>
      <c r="I858" s="3">
        <v>3588</v>
      </c>
      <c r="J858" s="4">
        <v>25.76</v>
      </c>
      <c r="K858" s="2">
        <v>83</v>
      </c>
      <c r="L858" s="2">
        <v>3</v>
      </c>
      <c r="M858" s="3">
        <v>9386</v>
      </c>
      <c r="N858" t="str" cm="1">
        <f t="array" ref="N858">_xlfn.IFS(Table1_3[[#This Row],[Patient Satisfaction Score]]&gt;=83,"High",H858&lt;=75,"Low",TRUE,"Moderate")</f>
        <v>Low</v>
      </c>
      <c r="O858" t="str">
        <f t="shared" si="13"/>
        <v>Adult</v>
      </c>
    </row>
    <row r="859" spans="1:15">
      <c r="A859" t="s">
        <v>961</v>
      </c>
      <c r="B859" t="s">
        <v>88</v>
      </c>
      <c r="C859" t="s">
        <v>15</v>
      </c>
      <c r="D859" t="s">
        <v>27</v>
      </c>
      <c r="E859" s="2">
        <v>62</v>
      </c>
      <c r="F859" t="s">
        <v>22</v>
      </c>
      <c r="G859" t="s">
        <v>40</v>
      </c>
      <c r="H859" s="2">
        <v>85</v>
      </c>
      <c r="I859" s="3">
        <v>8050</v>
      </c>
      <c r="J859" s="4">
        <v>17.559999999999999</v>
      </c>
      <c r="K859" s="2">
        <v>58</v>
      </c>
      <c r="L859" s="2">
        <v>4</v>
      </c>
      <c r="M859" s="3">
        <v>35941</v>
      </c>
      <c r="N859" t="str" cm="1">
        <f t="array" ref="N859">_xlfn.IFS(Table1_3[[#This Row],[Patient Satisfaction Score]]&gt;=83,"High",H859&lt;=75,"Low",TRUE,"Moderate")</f>
        <v>High</v>
      </c>
      <c r="O859" t="str">
        <f t="shared" si="13"/>
        <v>Adult</v>
      </c>
    </row>
    <row r="860" spans="1:15">
      <c r="A860" t="s">
        <v>436</v>
      </c>
      <c r="B860" t="s">
        <v>150</v>
      </c>
      <c r="C860" t="s">
        <v>48</v>
      </c>
      <c r="D860" t="s">
        <v>16</v>
      </c>
      <c r="E860" s="2">
        <v>63</v>
      </c>
      <c r="F860" t="s">
        <v>17</v>
      </c>
      <c r="G860" t="s">
        <v>49</v>
      </c>
      <c r="H860" s="2">
        <v>88</v>
      </c>
      <c r="I860" s="3">
        <v>6504</v>
      </c>
      <c r="J860" s="4">
        <v>14.43</v>
      </c>
      <c r="K860" s="2">
        <v>84</v>
      </c>
      <c r="L860" s="2">
        <v>4</v>
      </c>
      <c r="M860" s="3">
        <v>19910</v>
      </c>
      <c r="N860" t="str" cm="1">
        <f t="array" ref="N860">_xlfn.IFS(Table1_3[[#This Row],[Patient Satisfaction Score]]&gt;=83,"High",H860&lt;=75,"Low",TRUE,"Moderate")</f>
        <v>High</v>
      </c>
      <c r="O860" t="str">
        <f t="shared" si="13"/>
        <v>Adult</v>
      </c>
    </row>
    <row r="861" spans="1:15">
      <c r="A861" t="s">
        <v>539</v>
      </c>
      <c r="B861" t="s">
        <v>185</v>
      </c>
      <c r="C861" t="s">
        <v>52</v>
      </c>
      <c r="D861" t="s">
        <v>27</v>
      </c>
      <c r="E861" s="2">
        <v>63</v>
      </c>
      <c r="F861" t="s">
        <v>34</v>
      </c>
      <c r="G861" t="s">
        <v>18</v>
      </c>
      <c r="H861" s="2">
        <v>63</v>
      </c>
      <c r="I861" s="3">
        <v>10597</v>
      </c>
      <c r="J861" s="4">
        <v>17.670000000000002</v>
      </c>
      <c r="K861" s="2">
        <v>113</v>
      </c>
      <c r="L861" s="2">
        <v>4</v>
      </c>
      <c r="M861" s="3">
        <v>36726</v>
      </c>
      <c r="N861" t="str" cm="1">
        <f t="array" ref="N861">_xlfn.IFS(Table1_3[[#This Row],[Patient Satisfaction Score]]&gt;=83,"High",H861&lt;=75,"Low",TRUE,"Moderate")</f>
        <v>Low</v>
      </c>
      <c r="O861" t="str">
        <f t="shared" si="13"/>
        <v>Adult</v>
      </c>
    </row>
    <row r="862" spans="1:15">
      <c r="A862" t="s">
        <v>1065</v>
      </c>
      <c r="B862" t="s">
        <v>62</v>
      </c>
      <c r="C862" t="s">
        <v>52</v>
      </c>
      <c r="D862" t="s">
        <v>27</v>
      </c>
      <c r="E862" s="2">
        <v>63</v>
      </c>
      <c r="F862" t="s">
        <v>34</v>
      </c>
      <c r="G862" t="s">
        <v>49</v>
      </c>
      <c r="H862" s="2">
        <v>78</v>
      </c>
      <c r="I862" s="3">
        <v>7996</v>
      </c>
      <c r="J862" s="4">
        <v>13.95</v>
      </c>
      <c r="K862" s="2">
        <v>88</v>
      </c>
      <c r="L862" s="2">
        <v>4</v>
      </c>
      <c r="M862" s="3">
        <v>35181</v>
      </c>
      <c r="N862" t="str" cm="1">
        <f t="array" ref="N862">_xlfn.IFS(Table1_3[[#This Row],[Patient Satisfaction Score]]&gt;=83,"High",H862&lt;=75,"Low",TRUE,"Moderate")</f>
        <v>Moderate</v>
      </c>
      <c r="O862" t="str">
        <f t="shared" si="13"/>
        <v>Adult</v>
      </c>
    </row>
    <row r="863" spans="1:15">
      <c r="A863" t="s">
        <v>556</v>
      </c>
      <c r="B863" t="s">
        <v>109</v>
      </c>
      <c r="C863" t="s">
        <v>30</v>
      </c>
      <c r="D863" t="s">
        <v>27</v>
      </c>
      <c r="E863" s="2">
        <v>63</v>
      </c>
      <c r="F863" t="s">
        <v>22</v>
      </c>
      <c r="G863" t="s">
        <v>31</v>
      </c>
      <c r="H863" s="2">
        <v>82</v>
      </c>
      <c r="I863" s="3">
        <v>4612</v>
      </c>
      <c r="J863" s="4">
        <v>20.3</v>
      </c>
      <c r="K863" s="2">
        <v>79</v>
      </c>
      <c r="L863" s="2">
        <v>4</v>
      </c>
      <c r="M863" s="3">
        <v>19055</v>
      </c>
      <c r="N863" t="str" cm="1">
        <f t="array" ref="N863">_xlfn.IFS(Table1_3[[#This Row],[Patient Satisfaction Score]]&gt;=83,"High",H863&lt;=75,"Low",TRUE,"Moderate")</f>
        <v>Moderate</v>
      </c>
      <c r="O863" t="str">
        <f t="shared" si="13"/>
        <v>Adult</v>
      </c>
    </row>
    <row r="864" spans="1:15">
      <c r="A864" t="s">
        <v>504</v>
      </c>
      <c r="B864" t="s">
        <v>78</v>
      </c>
      <c r="C864" t="s">
        <v>15</v>
      </c>
      <c r="D864" t="s">
        <v>27</v>
      </c>
      <c r="E864" s="2">
        <v>63</v>
      </c>
      <c r="F864" t="s">
        <v>22</v>
      </c>
      <c r="G864" t="s">
        <v>31</v>
      </c>
      <c r="H864" s="2">
        <v>81</v>
      </c>
      <c r="I864" s="3">
        <v>8769</v>
      </c>
      <c r="J864" s="4">
        <v>12.61</v>
      </c>
      <c r="K864" s="2">
        <v>87</v>
      </c>
      <c r="L864" s="2">
        <v>4</v>
      </c>
      <c r="M864" s="3">
        <v>47119</v>
      </c>
      <c r="N864" t="str" cm="1">
        <f t="array" ref="N864">_xlfn.IFS(Table1_3[[#This Row],[Patient Satisfaction Score]]&gt;=83,"High",H864&lt;=75,"Low",TRUE,"Moderate")</f>
        <v>Moderate</v>
      </c>
      <c r="O864" t="str">
        <f t="shared" si="13"/>
        <v>Adult</v>
      </c>
    </row>
    <row r="865" spans="1:15">
      <c r="A865" t="s">
        <v>623</v>
      </c>
      <c r="B865" t="s">
        <v>14</v>
      </c>
      <c r="C865" t="s">
        <v>15</v>
      </c>
      <c r="D865" t="s">
        <v>16</v>
      </c>
      <c r="E865" s="2">
        <v>63</v>
      </c>
      <c r="F865" t="s">
        <v>22</v>
      </c>
      <c r="G865" t="s">
        <v>31</v>
      </c>
      <c r="H865" s="2">
        <v>72</v>
      </c>
      <c r="I865" s="3">
        <v>6977</v>
      </c>
      <c r="J865" s="4">
        <v>19.66</v>
      </c>
      <c r="K865" s="2">
        <v>78</v>
      </c>
      <c r="L865" s="2">
        <v>3</v>
      </c>
      <c r="M865" s="3">
        <v>40724</v>
      </c>
      <c r="N865" t="str" cm="1">
        <f t="array" ref="N865">_xlfn.IFS(Table1_3[[#This Row],[Patient Satisfaction Score]]&gt;=83,"High",H865&lt;=75,"Low",TRUE,"Moderate")</f>
        <v>Low</v>
      </c>
      <c r="O865" t="str">
        <f t="shared" si="13"/>
        <v>Adult</v>
      </c>
    </row>
    <row r="866" spans="1:15">
      <c r="A866" t="s">
        <v>578</v>
      </c>
      <c r="B866" t="s">
        <v>33</v>
      </c>
      <c r="C866" t="s">
        <v>26</v>
      </c>
      <c r="D866" t="s">
        <v>27</v>
      </c>
      <c r="E866" s="2">
        <v>64</v>
      </c>
      <c r="F866" t="s">
        <v>17</v>
      </c>
      <c r="G866" t="s">
        <v>49</v>
      </c>
      <c r="H866" s="2">
        <v>88</v>
      </c>
      <c r="I866" s="3">
        <v>3076</v>
      </c>
      <c r="J866" s="4">
        <v>10.55</v>
      </c>
      <c r="K866" s="2">
        <v>5</v>
      </c>
      <c r="L866" s="2">
        <v>3</v>
      </c>
      <c r="M866" s="3">
        <v>12162</v>
      </c>
      <c r="N866" t="str" cm="1">
        <f t="array" ref="N866">_xlfn.IFS(Table1_3[[#This Row],[Patient Satisfaction Score]]&gt;=83,"High",H866&lt;=75,"Low",TRUE,"Moderate")</f>
        <v>High</v>
      </c>
      <c r="O866" t="str">
        <f t="shared" si="13"/>
        <v>Adult</v>
      </c>
    </row>
    <row r="867" spans="1:15">
      <c r="A867" t="s">
        <v>873</v>
      </c>
      <c r="B867" t="s">
        <v>122</v>
      </c>
      <c r="C867" t="s">
        <v>48</v>
      </c>
      <c r="D867" t="s">
        <v>16</v>
      </c>
      <c r="E867" s="2">
        <v>64</v>
      </c>
      <c r="F867" t="s">
        <v>22</v>
      </c>
      <c r="G867" t="s">
        <v>49</v>
      </c>
      <c r="H867" s="2">
        <v>80</v>
      </c>
      <c r="I867" s="3">
        <v>6467</v>
      </c>
      <c r="J867" s="4">
        <v>15.3</v>
      </c>
      <c r="K867" s="2">
        <v>63</v>
      </c>
      <c r="L867" s="2">
        <v>4</v>
      </c>
      <c r="M867" s="3">
        <v>33444</v>
      </c>
      <c r="N867" t="str" cm="1">
        <f t="array" ref="N867">_xlfn.IFS(Table1_3[[#This Row],[Patient Satisfaction Score]]&gt;=83,"High",H867&lt;=75,"Low",TRUE,"Moderate")</f>
        <v>Moderate</v>
      </c>
      <c r="O867" t="str">
        <f t="shared" si="13"/>
        <v>Adult</v>
      </c>
    </row>
    <row r="868" spans="1:15">
      <c r="A868" t="s">
        <v>998</v>
      </c>
      <c r="B868" t="s">
        <v>47</v>
      </c>
      <c r="C868" t="s">
        <v>48</v>
      </c>
      <c r="D868" t="s">
        <v>16</v>
      </c>
      <c r="E868" s="2">
        <v>64</v>
      </c>
      <c r="F868" t="s">
        <v>22</v>
      </c>
      <c r="G868" t="s">
        <v>70</v>
      </c>
      <c r="H868" s="2">
        <v>71</v>
      </c>
      <c r="I868" s="3">
        <v>3663</v>
      </c>
      <c r="J868" s="4">
        <v>15.91</v>
      </c>
      <c r="K868" s="2">
        <v>97</v>
      </c>
      <c r="L868" s="2">
        <v>4</v>
      </c>
      <c r="M868" s="3">
        <v>18048</v>
      </c>
      <c r="N868" t="str" cm="1">
        <f t="array" ref="N868">_xlfn.IFS(Table1_3[[#This Row],[Patient Satisfaction Score]]&gt;=83,"High",H868&lt;=75,"Low",TRUE,"Moderate")</f>
        <v>Low</v>
      </c>
      <c r="O868" t="str">
        <f t="shared" si="13"/>
        <v>Adult</v>
      </c>
    </row>
    <row r="869" spans="1:15">
      <c r="A869" t="s">
        <v>1000</v>
      </c>
      <c r="B869" t="s">
        <v>135</v>
      </c>
      <c r="C869" t="s">
        <v>48</v>
      </c>
      <c r="D869" t="s">
        <v>27</v>
      </c>
      <c r="E869" s="2">
        <v>64</v>
      </c>
      <c r="F869" t="s">
        <v>22</v>
      </c>
      <c r="G869" t="s">
        <v>23</v>
      </c>
      <c r="H869" s="2">
        <v>78</v>
      </c>
      <c r="I869" s="3">
        <v>7480</v>
      </c>
      <c r="J869" s="4">
        <v>11.97</v>
      </c>
      <c r="K869" s="2">
        <v>72</v>
      </c>
      <c r="L869" s="2">
        <v>4</v>
      </c>
      <c r="M869" s="3">
        <v>24723</v>
      </c>
      <c r="N869" t="str" cm="1">
        <f t="array" ref="N869">_xlfn.IFS(Table1_3[[#This Row],[Patient Satisfaction Score]]&gt;=83,"High",H869&lt;=75,"Low",TRUE,"Moderate")</f>
        <v>Moderate</v>
      </c>
      <c r="O869" t="str">
        <f t="shared" si="13"/>
        <v>Adult</v>
      </c>
    </row>
    <row r="870" spans="1:15">
      <c r="A870" t="s">
        <v>634</v>
      </c>
      <c r="B870" t="s">
        <v>143</v>
      </c>
      <c r="C870" t="s">
        <v>21</v>
      </c>
      <c r="D870" t="s">
        <v>16</v>
      </c>
      <c r="E870" s="2">
        <v>64</v>
      </c>
      <c r="F870" t="s">
        <v>22</v>
      </c>
      <c r="G870" t="s">
        <v>18</v>
      </c>
      <c r="H870" s="2">
        <v>84</v>
      </c>
      <c r="I870" s="3">
        <v>8591</v>
      </c>
      <c r="J870" s="4">
        <v>18.309999999999999</v>
      </c>
      <c r="K870" s="2">
        <v>62</v>
      </c>
      <c r="L870" s="2">
        <v>4</v>
      </c>
      <c r="M870" s="3">
        <v>27614</v>
      </c>
      <c r="N870" t="str" cm="1">
        <f t="array" ref="N870">_xlfn.IFS(Table1_3[[#This Row],[Patient Satisfaction Score]]&gt;=83,"High",H870&lt;=75,"Low",TRUE,"Moderate")</f>
        <v>High</v>
      </c>
      <c r="O870" t="str">
        <f t="shared" si="13"/>
        <v>Adult</v>
      </c>
    </row>
    <row r="871" spans="1:15">
      <c r="A871" t="s">
        <v>171</v>
      </c>
      <c r="B871" t="s">
        <v>74</v>
      </c>
      <c r="C871" t="s">
        <v>45</v>
      </c>
      <c r="D871" t="s">
        <v>16</v>
      </c>
      <c r="E871" s="2">
        <v>64</v>
      </c>
      <c r="F871" t="s">
        <v>17</v>
      </c>
      <c r="G871" t="s">
        <v>70</v>
      </c>
      <c r="H871" s="2">
        <v>83</v>
      </c>
      <c r="I871" s="3">
        <v>8395</v>
      </c>
      <c r="J871" s="4">
        <v>22.38</v>
      </c>
      <c r="K871" s="2">
        <v>94</v>
      </c>
      <c r="L871" s="2">
        <v>4</v>
      </c>
      <c r="M871" s="3">
        <v>28564</v>
      </c>
      <c r="N871" t="str" cm="1">
        <f t="array" ref="N871">_xlfn.IFS(Table1_3[[#This Row],[Patient Satisfaction Score]]&gt;=83,"High",H871&lt;=75,"Low",TRUE,"Moderate")</f>
        <v>High</v>
      </c>
      <c r="O871" t="str">
        <f t="shared" si="13"/>
        <v>Adult</v>
      </c>
    </row>
    <row r="872" spans="1:15">
      <c r="A872" t="s">
        <v>370</v>
      </c>
      <c r="B872" t="s">
        <v>44</v>
      </c>
      <c r="C872" t="s">
        <v>45</v>
      </c>
      <c r="D872" t="s">
        <v>16</v>
      </c>
      <c r="E872" s="2">
        <v>64</v>
      </c>
      <c r="F872" t="s">
        <v>34</v>
      </c>
      <c r="G872" t="s">
        <v>49</v>
      </c>
      <c r="H872" s="2">
        <v>68</v>
      </c>
      <c r="I872" s="3">
        <v>9159</v>
      </c>
      <c r="J872" s="4">
        <v>17.79</v>
      </c>
      <c r="K872" s="2">
        <v>119</v>
      </c>
      <c r="L872" s="2">
        <v>3</v>
      </c>
      <c r="M872" s="3">
        <v>47960</v>
      </c>
      <c r="N872" t="str" cm="1">
        <f t="array" ref="N872">_xlfn.IFS(Table1_3[[#This Row],[Patient Satisfaction Score]]&gt;=83,"High",H872&lt;=75,"Low",TRUE,"Moderate")</f>
        <v>Low</v>
      </c>
      <c r="O872" t="str">
        <f t="shared" si="13"/>
        <v>Adult</v>
      </c>
    </row>
    <row r="873" spans="1:15">
      <c r="A873" t="s">
        <v>469</v>
      </c>
      <c r="B873" t="s">
        <v>56</v>
      </c>
      <c r="C873" t="s">
        <v>45</v>
      </c>
      <c r="D873" t="s">
        <v>16</v>
      </c>
      <c r="E873" s="2">
        <v>64</v>
      </c>
      <c r="F873" t="s">
        <v>17</v>
      </c>
      <c r="G873" t="s">
        <v>70</v>
      </c>
      <c r="H873" s="2">
        <v>75</v>
      </c>
      <c r="I873" s="3">
        <v>9941</v>
      </c>
      <c r="J873" s="4">
        <v>22.32</v>
      </c>
      <c r="K873" s="2">
        <v>104</v>
      </c>
      <c r="L873" s="2">
        <v>4</v>
      </c>
      <c r="M873" s="3">
        <v>52785</v>
      </c>
      <c r="N873" t="str" cm="1">
        <f t="array" ref="N873">_xlfn.IFS(Table1_3[[#This Row],[Patient Satisfaction Score]]&gt;=83,"High",H873&lt;=75,"Low",TRUE,"Moderate")</f>
        <v>Low</v>
      </c>
      <c r="O873" t="str">
        <f t="shared" si="13"/>
        <v>Adult</v>
      </c>
    </row>
    <row r="874" spans="1:15">
      <c r="A874" t="s">
        <v>528</v>
      </c>
      <c r="B874" t="s">
        <v>68</v>
      </c>
      <c r="C874" t="s">
        <v>45</v>
      </c>
      <c r="D874" t="s">
        <v>16</v>
      </c>
      <c r="E874" s="2">
        <v>64</v>
      </c>
      <c r="F874" t="s">
        <v>34</v>
      </c>
      <c r="G874" t="s">
        <v>49</v>
      </c>
      <c r="H874" s="2">
        <v>82</v>
      </c>
      <c r="I874" s="3">
        <v>9852</v>
      </c>
      <c r="J874" s="4">
        <v>15.93</v>
      </c>
      <c r="K874" s="2">
        <v>74</v>
      </c>
      <c r="L874" s="2">
        <v>3</v>
      </c>
      <c r="M874" s="3">
        <v>26373</v>
      </c>
      <c r="N874" t="str" cm="1">
        <f t="array" ref="N874">_xlfn.IFS(Table1_3[[#This Row],[Patient Satisfaction Score]]&gt;=83,"High",H874&lt;=75,"Low",TRUE,"Moderate")</f>
        <v>Moderate</v>
      </c>
      <c r="O874" t="str">
        <f t="shared" si="13"/>
        <v>Adult</v>
      </c>
    </row>
    <row r="875" spans="1:15">
      <c r="A875" t="s">
        <v>840</v>
      </c>
      <c r="B875" t="s">
        <v>68</v>
      </c>
      <c r="C875" t="s">
        <v>45</v>
      </c>
      <c r="D875" t="s">
        <v>16</v>
      </c>
      <c r="E875" s="2">
        <v>64</v>
      </c>
      <c r="F875" t="s">
        <v>22</v>
      </c>
      <c r="G875" t="s">
        <v>23</v>
      </c>
      <c r="H875" s="2">
        <v>82</v>
      </c>
      <c r="I875" s="3">
        <v>7920</v>
      </c>
      <c r="J875" s="4">
        <v>10.76</v>
      </c>
      <c r="K875" s="2">
        <v>94</v>
      </c>
      <c r="L875" s="2">
        <v>4</v>
      </c>
      <c r="M875" s="3">
        <v>22260</v>
      </c>
      <c r="N875" t="str" cm="1">
        <f t="array" ref="N875">_xlfn.IFS(Table1_3[[#This Row],[Patient Satisfaction Score]]&gt;=83,"High",H875&lt;=75,"Low",TRUE,"Moderate")</f>
        <v>Moderate</v>
      </c>
      <c r="O875" t="str">
        <f t="shared" si="13"/>
        <v>Adult</v>
      </c>
    </row>
    <row r="876" spans="1:15">
      <c r="A876" t="s">
        <v>108</v>
      </c>
      <c r="B876" t="s">
        <v>109</v>
      </c>
      <c r="C876" t="s">
        <v>30</v>
      </c>
      <c r="D876" t="s">
        <v>16</v>
      </c>
      <c r="E876" s="2">
        <v>64</v>
      </c>
      <c r="F876" t="s">
        <v>17</v>
      </c>
      <c r="G876" t="s">
        <v>18</v>
      </c>
      <c r="H876" s="2">
        <v>75</v>
      </c>
      <c r="I876" s="3">
        <v>2922</v>
      </c>
      <c r="J876" s="4">
        <v>16.71</v>
      </c>
      <c r="K876" s="2">
        <v>107</v>
      </c>
      <c r="L876" s="2">
        <v>4</v>
      </c>
      <c r="M876" s="3">
        <v>13627</v>
      </c>
      <c r="N876" t="str" cm="1">
        <f t="array" ref="N876">_xlfn.IFS(Table1_3[[#This Row],[Patient Satisfaction Score]]&gt;=83,"High",H876&lt;=75,"Low",TRUE,"Moderate")</f>
        <v>Low</v>
      </c>
      <c r="O876" t="str">
        <f t="shared" si="13"/>
        <v>Adult</v>
      </c>
    </row>
    <row r="877" spans="1:15">
      <c r="A877" t="s">
        <v>973</v>
      </c>
      <c r="B877" t="s">
        <v>109</v>
      </c>
      <c r="C877" t="s">
        <v>30</v>
      </c>
      <c r="D877" t="s">
        <v>27</v>
      </c>
      <c r="E877" s="2">
        <v>64</v>
      </c>
      <c r="F877" t="s">
        <v>22</v>
      </c>
      <c r="G877" t="s">
        <v>23</v>
      </c>
      <c r="H877" s="2">
        <v>63</v>
      </c>
      <c r="I877" s="3">
        <v>2490</v>
      </c>
      <c r="J877" s="4">
        <v>21.31</v>
      </c>
      <c r="K877" s="2">
        <v>135</v>
      </c>
      <c r="L877" s="2">
        <v>3</v>
      </c>
      <c r="M877" s="3">
        <v>12491</v>
      </c>
      <c r="N877" t="str" cm="1">
        <f t="array" ref="N877">_xlfn.IFS(Table1_3[[#This Row],[Patient Satisfaction Score]]&gt;=83,"High",H877&lt;=75,"Low",TRUE,"Moderate")</f>
        <v>Low</v>
      </c>
      <c r="O877" t="str">
        <f t="shared" si="13"/>
        <v>Adult</v>
      </c>
    </row>
    <row r="878" spans="1:15">
      <c r="A878" t="s">
        <v>190</v>
      </c>
      <c r="B878" t="s">
        <v>88</v>
      </c>
      <c r="C878" t="s">
        <v>15</v>
      </c>
      <c r="D878" t="s">
        <v>27</v>
      </c>
      <c r="E878" s="2">
        <v>64</v>
      </c>
      <c r="F878" t="s">
        <v>34</v>
      </c>
      <c r="G878" t="s">
        <v>18</v>
      </c>
      <c r="H878" s="2">
        <v>70</v>
      </c>
      <c r="I878" s="3">
        <v>6930</v>
      </c>
      <c r="J878" s="4">
        <v>18.7</v>
      </c>
      <c r="K878" s="2">
        <v>80</v>
      </c>
      <c r="L878" s="2">
        <v>4</v>
      </c>
      <c r="M878" s="3">
        <v>41365</v>
      </c>
      <c r="N878" t="str" cm="1">
        <f t="array" ref="N878">_xlfn.IFS(Table1_3[[#This Row],[Patient Satisfaction Score]]&gt;=83,"High",H878&lt;=75,"Low",TRUE,"Moderate")</f>
        <v>Low</v>
      </c>
      <c r="O878" t="str">
        <f t="shared" si="13"/>
        <v>Adult</v>
      </c>
    </row>
    <row r="879" spans="1:15">
      <c r="A879" t="s">
        <v>622</v>
      </c>
      <c r="B879" t="s">
        <v>137</v>
      </c>
      <c r="C879" t="s">
        <v>26</v>
      </c>
      <c r="D879" t="s">
        <v>27</v>
      </c>
      <c r="E879" s="2">
        <v>65</v>
      </c>
      <c r="F879" t="s">
        <v>34</v>
      </c>
      <c r="G879" t="s">
        <v>31</v>
      </c>
      <c r="H879" s="2">
        <v>81</v>
      </c>
      <c r="I879" s="3">
        <v>2108</v>
      </c>
      <c r="J879" s="4">
        <v>1.96</v>
      </c>
      <c r="K879" s="2">
        <v>35</v>
      </c>
      <c r="L879" s="2">
        <v>4</v>
      </c>
      <c r="M879" s="3">
        <v>8349</v>
      </c>
      <c r="N879" t="str" cm="1">
        <f t="array" ref="N879">_xlfn.IFS(Table1_3[[#This Row],[Patient Satisfaction Score]]&gt;=83,"High",H879&lt;=75,"Low",TRUE,"Moderate")</f>
        <v>Moderate</v>
      </c>
      <c r="O879" t="str">
        <f t="shared" si="13"/>
        <v>Adult</v>
      </c>
    </row>
    <row r="880" spans="1:15">
      <c r="A880" t="s">
        <v>216</v>
      </c>
      <c r="B880" t="s">
        <v>135</v>
      </c>
      <c r="C880" t="s">
        <v>48</v>
      </c>
      <c r="D880" t="s">
        <v>27</v>
      </c>
      <c r="E880" s="2">
        <v>65</v>
      </c>
      <c r="F880" t="s">
        <v>17</v>
      </c>
      <c r="G880" t="s">
        <v>40</v>
      </c>
      <c r="H880" s="2">
        <v>91</v>
      </c>
      <c r="I880" s="3">
        <v>7580</v>
      </c>
      <c r="J880" s="4">
        <v>12.79</v>
      </c>
      <c r="K880" s="2">
        <v>64</v>
      </c>
      <c r="L880" s="2">
        <v>4</v>
      </c>
      <c r="M880" s="3">
        <v>32915</v>
      </c>
      <c r="N880" t="str" cm="1">
        <f t="array" ref="N880">_xlfn.IFS(Table1_3[[#This Row],[Patient Satisfaction Score]]&gt;=83,"High",H880&lt;=75,"Low",TRUE,"Moderate")</f>
        <v>High</v>
      </c>
      <c r="O880" t="str">
        <f t="shared" si="13"/>
        <v>Adult</v>
      </c>
    </row>
    <row r="881" spans="1:15">
      <c r="A881" t="s">
        <v>614</v>
      </c>
      <c r="B881" t="s">
        <v>122</v>
      </c>
      <c r="C881" t="s">
        <v>48</v>
      </c>
      <c r="D881" t="s">
        <v>72</v>
      </c>
      <c r="E881" s="2">
        <v>65</v>
      </c>
      <c r="F881" t="s">
        <v>17</v>
      </c>
      <c r="G881" t="s">
        <v>40</v>
      </c>
      <c r="H881" s="2">
        <v>75</v>
      </c>
      <c r="I881" s="3">
        <v>9891</v>
      </c>
      <c r="J881" s="4">
        <v>21.23</v>
      </c>
      <c r="K881" s="2">
        <v>71</v>
      </c>
      <c r="L881" s="2">
        <v>4</v>
      </c>
      <c r="M881" s="3">
        <v>47684</v>
      </c>
      <c r="N881" t="str" cm="1">
        <f t="array" ref="N881">_xlfn.IFS(Table1_3[[#This Row],[Patient Satisfaction Score]]&gt;=83,"High",H881&lt;=75,"Low",TRUE,"Moderate")</f>
        <v>Low</v>
      </c>
      <c r="O881" t="str">
        <f t="shared" si="13"/>
        <v>Adult</v>
      </c>
    </row>
    <row r="882" spans="1:15">
      <c r="A882" t="s">
        <v>238</v>
      </c>
      <c r="B882" t="s">
        <v>185</v>
      </c>
      <c r="C882" t="s">
        <v>52</v>
      </c>
      <c r="D882" t="s">
        <v>27</v>
      </c>
      <c r="E882" s="2">
        <v>65</v>
      </c>
      <c r="F882" t="s">
        <v>17</v>
      </c>
      <c r="G882" t="s">
        <v>31</v>
      </c>
      <c r="H882" s="2">
        <v>74</v>
      </c>
      <c r="I882" s="3">
        <v>10214</v>
      </c>
      <c r="J882" s="4">
        <v>16.260000000000002</v>
      </c>
      <c r="K882" s="2">
        <v>128</v>
      </c>
      <c r="L882" s="2">
        <v>4</v>
      </c>
      <c r="M882" s="3">
        <v>59694</v>
      </c>
      <c r="N882" t="str" cm="1">
        <f t="array" ref="N882">_xlfn.IFS(Table1_3[[#This Row],[Patient Satisfaction Score]]&gt;=83,"High",H882&lt;=75,"Low",TRUE,"Moderate")</f>
        <v>Low</v>
      </c>
      <c r="O882" t="str">
        <f t="shared" si="13"/>
        <v>Adult</v>
      </c>
    </row>
    <row r="883" spans="1:15">
      <c r="A883" t="s">
        <v>1058</v>
      </c>
      <c r="B883" t="s">
        <v>185</v>
      </c>
      <c r="C883" t="s">
        <v>52</v>
      </c>
      <c r="D883" t="s">
        <v>16</v>
      </c>
      <c r="E883" s="2">
        <v>65</v>
      </c>
      <c r="F883" t="s">
        <v>22</v>
      </c>
      <c r="G883" t="s">
        <v>23</v>
      </c>
      <c r="H883" s="2">
        <v>79</v>
      </c>
      <c r="I883" s="3">
        <v>10791</v>
      </c>
      <c r="J883" s="4">
        <v>17.440000000000001</v>
      </c>
      <c r="K883" s="2">
        <v>78</v>
      </c>
      <c r="L883" s="2">
        <v>4</v>
      </c>
      <c r="M883" s="3">
        <v>42011</v>
      </c>
      <c r="N883" t="str" cm="1">
        <f t="array" ref="N883">_xlfn.IFS(Table1_3[[#This Row],[Patient Satisfaction Score]]&gt;=83,"High",H883&lt;=75,"Low",TRUE,"Moderate")</f>
        <v>Moderate</v>
      </c>
      <c r="O883" t="str">
        <f t="shared" si="13"/>
        <v>Adult</v>
      </c>
    </row>
    <row r="884" spans="1:15">
      <c r="A884" t="s">
        <v>441</v>
      </c>
      <c r="B884" t="s">
        <v>129</v>
      </c>
      <c r="C884" t="s">
        <v>21</v>
      </c>
      <c r="D884" t="s">
        <v>16</v>
      </c>
      <c r="E884" s="2">
        <v>65</v>
      </c>
      <c r="F884" t="s">
        <v>17</v>
      </c>
      <c r="G884" t="s">
        <v>18</v>
      </c>
      <c r="H884" s="2">
        <v>74</v>
      </c>
      <c r="I884" s="3">
        <v>7213</v>
      </c>
      <c r="J884" s="4">
        <v>23.88</v>
      </c>
      <c r="K884" s="2">
        <v>85</v>
      </c>
      <c r="L884" s="2">
        <v>3</v>
      </c>
      <c r="M884" s="3">
        <v>20991</v>
      </c>
      <c r="N884" t="str" cm="1">
        <f t="array" ref="N884">_xlfn.IFS(Table1_3[[#This Row],[Patient Satisfaction Score]]&gt;=83,"High",H884&lt;=75,"Low",TRUE,"Moderate")</f>
        <v>Low</v>
      </c>
      <c r="O884" t="str">
        <f t="shared" si="13"/>
        <v>Adult</v>
      </c>
    </row>
    <row r="885" spans="1:15">
      <c r="A885" t="s">
        <v>522</v>
      </c>
      <c r="B885" t="s">
        <v>44</v>
      </c>
      <c r="C885" t="s">
        <v>45</v>
      </c>
      <c r="D885" t="s">
        <v>16</v>
      </c>
      <c r="E885" s="2">
        <v>65</v>
      </c>
      <c r="F885" t="s">
        <v>17</v>
      </c>
      <c r="G885" t="s">
        <v>18</v>
      </c>
      <c r="H885" s="2">
        <v>69</v>
      </c>
      <c r="I885" s="3">
        <v>8766</v>
      </c>
      <c r="J885" s="4">
        <v>19.32</v>
      </c>
      <c r="K885" s="2">
        <v>106</v>
      </c>
      <c r="L885" s="2">
        <v>4</v>
      </c>
      <c r="M885" s="3">
        <v>52299</v>
      </c>
      <c r="N885" t="str" cm="1">
        <f t="array" ref="N885">_xlfn.IFS(Table1_3[[#This Row],[Patient Satisfaction Score]]&gt;=83,"High",H885&lt;=75,"Low",TRUE,"Moderate")</f>
        <v>Low</v>
      </c>
      <c r="O885" t="str">
        <f t="shared" si="13"/>
        <v>Adult</v>
      </c>
    </row>
    <row r="886" spans="1:15">
      <c r="A886" t="s">
        <v>116</v>
      </c>
      <c r="B886" t="s">
        <v>78</v>
      </c>
      <c r="C886" t="s">
        <v>15</v>
      </c>
      <c r="D886" t="s">
        <v>27</v>
      </c>
      <c r="E886" s="2">
        <v>65</v>
      </c>
      <c r="F886" t="s">
        <v>17</v>
      </c>
      <c r="G886" t="s">
        <v>70</v>
      </c>
      <c r="H886" s="2">
        <v>83</v>
      </c>
      <c r="I886" s="3">
        <v>4322</v>
      </c>
      <c r="J886" s="4">
        <v>17.45</v>
      </c>
      <c r="K886" s="2">
        <v>48</v>
      </c>
      <c r="L886" s="2">
        <v>5</v>
      </c>
      <c r="M886" s="3">
        <v>13264</v>
      </c>
      <c r="N886" t="str" cm="1">
        <f t="array" ref="N886">_xlfn.IFS(Table1_3[[#This Row],[Patient Satisfaction Score]]&gt;=83,"High",H886&lt;=75,"Low",TRUE,"Moderate")</f>
        <v>High</v>
      </c>
      <c r="O886" t="str">
        <f t="shared" si="13"/>
        <v>Adult</v>
      </c>
    </row>
    <row r="887" spans="1:15">
      <c r="A887" t="s">
        <v>233</v>
      </c>
      <c r="B887" t="s">
        <v>54</v>
      </c>
      <c r="C887" t="s">
        <v>15</v>
      </c>
      <c r="D887" t="s">
        <v>16</v>
      </c>
      <c r="E887" s="2">
        <v>65</v>
      </c>
      <c r="F887" t="s">
        <v>34</v>
      </c>
      <c r="G887" t="s">
        <v>31</v>
      </c>
      <c r="H887" s="2">
        <v>77</v>
      </c>
      <c r="I887" s="3">
        <v>7476</v>
      </c>
      <c r="J887" s="4">
        <v>21.74</v>
      </c>
      <c r="K887" s="2">
        <v>79</v>
      </c>
      <c r="L887" s="2">
        <v>4</v>
      </c>
      <c r="M887" s="3">
        <v>29264</v>
      </c>
      <c r="N887" t="str" cm="1">
        <f t="array" ref="N887">_xlfn.IFS(Table1_3[[#This Row],[Patient Satisfaction Score]]&gt;=83,"High",H887&lt;=75,"Low",TRUE,"Moderate")</f>
        <v>Moderate</v>
      </c>
      <c r="O887" t="str">
        <f t="shared" si="13"/>
        <v>Adult</v>
      </c>
    </row>
    <row r="888" spans="1:15">
      <c r="A888" t="s">
        <v>806</v>
      </c>
      <c r="B888" t="s">
        <v>80</v>
      </c>
      <c r="C888" t="s">
        <v>15</v>
      </c>
      <c r="D888" t="s">
        <v>16</v>
      </c>
      <c r="E888" s="2">
        <v>65</v>
      </c>
      <c r="F888" t="s">
        <v>34</v>
      </c>
      <c r="G888" t="s">
        <v>49</v>
      </c>
      <c r="H888" s="2">
        <v>84</v>
      </c>
      <c r="I888" s="3">
        <v>5972</v>
      </c>
      <c r="J888" s="4">
        <v>15.43</v>
      </c>
      <c r="K888" s="2">
        <v>94</v>
      </c>
      <c r="L888" s="2">
        <v>4</v>
      </c>
      <c r="M888" s="3">
        <v>15083</v>
      </c>
      <c r="N888" t="str" cm="1">
        <f t="array" ref="N888">_xlfn.IFS(Table1_3[[#This Row],[Patient Satisfaction Score]]&gt;=83,"High",H888&lt;=75,"Low",TRUE,"Moderate")</f>
        <v>High</v>
      </c>
      <c r="O888" t="str">
        <f t="shared" si="13"/>
        <v>Adult</v>
      </c>
    </row>
    <row r="889" spans="1:15">
      <c r="A889" t="s">
        <v>735</v>
      </c>
      <c r="B889" t="s">
        <v>25</v>
      </c>
      <c r="C889" t="s">
        <v>26</v>
      </c>
      <c r="D889" t="s">
        <v>27</v>
      </c>
      <c r="E889" s="2">
        <v>66</v>
      </c>
      <c r="F889" t="s">
        <v>22</v>
      </c>
      <c r="G889" t="s">
        <v>23</v>
      </c>
      <c r="H889" s="2">
        <v>82</v>
      </c>
      <c r="I889" s="3">
        <v>1954</v>
      </c>
      <c r="J889" s="4">
        <v>8.18</v>
      </c>
      <c r="K889" s="2">
        <v>68</v>
      </c>
      <c r="L889" s="2">
        <v>4</v>
      </c>
      <c r="M889" s="3">
        <v>10224</v>
      </c>
      <c r="N889" t="str" cm="1">
        <f t="array" ref="N889">_xlfn.IFS(Table1_3[[#This Row],[Patient Satisfaction Score]]&gt;=83,"High",H889&lt;=75,"Low",TRUE,"Moderate")</f>
        <v>Moderate</v>
      </c>
      <c r="O889" t="str">
        <f t="shared" si="13"/>
        <v>Adult</v>
      </c>
    </row>
    <row r="890" spans="1:15">
      <c r="A890" t="s">
        <v>955</v>
      </c>
      <c r="B890" t="s">
        <v>137</v>
      </c>
      <c r="C890" t="s">
        <v>26</v>
      </c>
      <c r="D890" t="s">
        <v>16</v>
      </c>
      <c r="E890" s="2">
        <v>66</v>
      </c>
      <c r="F890" t="s">
        <v>17</v>
      </c>
      <c r="G890" t="s">
        <v>40</v>
      </c>
      <c r="H890" s="2">
        <v>88</v>
      </c>
      <c r="I890" s="3">
        <v>1911</v>
      </c>
      <c r="J890" s="4">
        <v>5.91</v>
      </c>
      <c r="K890" s="2">
        <v>41</v>
      </c>
      <c r="L890" s="2">
        <v>5</v>
      </c>
      <c r="M890" s="3">
        <v>9129</v>
      </c>
      <c r="N890" t="str" cm="1">
        <f t="array" ref="N890">_xlfn.IFS(Table1_3[[#This Row],[Patient Satisfaction Score]]&gt;=83,"High",H890&lt;=75,"Low",TRUE,"Moderate")</f>
        <v>High</v>
      </c>
      <c r="O890" t="str">
        <f t="shared" si="13"/>
        <v>Adult</v>
      </c>
    </row>
    <row r="891" spans="1:15">
      <c r="A891" t="s">
        <v>219</v>
      </c>
      <c r="B891" t="s">
        <v>135</v>
      </c>
      <c r="C891" t="s">
        <v>48</v>
      </c>
      <c r="D891" t="s">
        <v>27</v>
      </c>
      <c r="E891" s="2">
        <v>66</v>
      </c>
      <c r="F891" t="s">
        <v>17</v>
      </c>
      <c r="G891" t="s">
        <v>40</v>
      </c>
      <c r="H891" s="2">
        <v>69</v>
      </c>
      <c r="I891" s="3">
        <v>7119</v>
      </c>
      <c r="J891" s="4">
        <v>15.49</v>
      </c>
      <c r="K891" s="2">
        <v>72</v>
      </c>
      <c r="L891" s="2">
        <v>3</v>
      </c>
      <c r="M891" s="3">
        <v>27042</v>
      </c>
      <c r="N891" t="str" cm="1">
        <f t="array" ref="N891">_xlfn.IFS(Table1_3[[#This Row],[Patient Satisfaction Score]]&gt;=83,"High",H891&lt;=75,"Low",TRUE,"Moderate")</f>
        <v>Low</v>
      </c>
      <c r="O891" t="str">
        <f t="shared" si="13"/>
        <v>Adult</v>
      </c>
    </row>
    <row r="892" spans="1:15">
      <c r="A892" t="s">
        <v>407</v>
      </c>
      <c r="B892" t="s">
        <v>122</v>
      </c>
      <c r="C892" t="s">
        <v>48</v>
      </c>
      <c r="D892" t="s">
        <v>27</v>
      </c>
      <c r="E892" s="2">
        <v>66</v>
      </c>
      <c r="F892" t="s">
        <v>34</v>
      </c>
      <c r="G892" t="s">
        <v>18</v>
      </c>
      <c r="H892" s="2">
        <v>65</v>
      </c>
      <c r="I892" s="3">
        <v>6760</v>
      </c>
      <c r="J892" s="4">
        <v>12.35</v>
      </c>
      <c r="K892" s="2">
        <v>93</v>
      </c>
      <c r="L892" s="2">
        <v>3</v>
      </c>
      <c r="M892" s="3">
        <v>20757</v>
      </c>
      <c r="N892" t="str" cm="1">
        <f t="array" ref="N892">_xlfn.IFS(Table1_3[[#This Row],[Patient Satisfaction Score]]&gt;=83,"High",H892&lt;=75,"Low",TRUE,"Moderate")</f>
        <v>Low</v>
      </c>
      <c r="O892" t="str">
        <f t="shared" si="13"/>
        <v>Adult</v>
      </c>
    </row>
    <row r="893" spans="1:15">
      <c r="A893" t="s">
        <v>124</v>
      </c>
      <c r="B893" t="s">
        <v>95</v>
      </c>
      <c r="C893" t="s">
        <v>52</v>
      </c>
      <c r="D893" t="s">
        <v>27</v>
      </c>
      <c r="E893" s="2">
        <v>66</v>
      </c>
      <c r="F893" t="s">
        <v>34</v>
      </c>
      <c r="G893" t="s">
        <v>23</v>
      </c>
      <c r="H893" s="2">
        <v>85</v>
      </c>
      <c r="I893" s="3">
        <v>6106</v>
      </c>
      <c r="J893" s="4">
        <v>5.84</v>
      </c>
      <c r="K893" s="2">
        <v>44</v>
      </c>
      <c r="L893" s="2">
        <v>5</v>
      </c>
      <c r="M893" s="3">
        <v>26249</v>
      </c>
      <c r="N893" t="str" cm="1">
        <f t="array" ref="N893">_xlfn.IFS(Table1_3[[#This Row],[Patient Satisfaction Score]]&gt;=83,"High",H893&lt;=75,"Low",TRUE,"Moderate")</f>
        <v>High</v>
      </c>
      <c r="O893" t="str">
        <f t="shared" si="13"/>
        <v>Adult</v>
      </c>
    </row>
    <row r="894" spans="1:15">
      <c r="A894" t="s">
        <v>863</v>
      </c>
      <c r="B894" t="s">
        <v>129</v>
      </c>
      <c r="C894" t="s">
        <v>21</v>
      </c>
      <c r="D894" t="s">
        <v>16</v>
      </c>
      <c r="E894" s="2">
        <v>66</v>
      </c>
      <c r="F894" t="s">
        <v>17</v>
      </c>
      <c r="G894" t="s">
        <v>23</v>
      </c>
      <c r="H894" s="2">
        <v>77</v>
      </c>
      <c r="I894" s="3">
        <v>7093</v>
      </c>
      <c r="J894" s="4">
        <v>14</v>
      </c>
      <c r="K894" s="2">
        <v>60</v>
      </c>
      <c r="L894" s="2">
        <v>4</v>
      </c>
      <c r="M894" s="3">
        <v>40299</v>
      </c>
      <c r="N894" t="str" cm="1">
        <f t="array" ref="N894">_xlfn.IFS(Table1_3[[#This Row],[Patient Satisfaction Score]]&gt;=83,"High",H894&lt;=75,"Low",TRUE,"Moderate")</f>
        <v>Moderate</v>
      </c>
      <c r="O894" t="str">
        <f t="shared" si="13"/>
        <v>Adult</v>
      </c>
    </row>
    <row r="895" spans="1:15">
      <c r="A895" t="s">
        <v>541</v>
      </c>
      <c r="B895" t="s">
        <v>97</v>
      </c>
      <c r="C895" t="s">
        <v>30</v>
      </c>
      <c r="D895" t="s">
        <v>27</v>
      </c>
      <c r="E895" s="2">
        <v>66</v>
      </c>
      <c r="F895" t="s">
        <v>17</v>
      </c>
      <c r="G895" t="s">
        <v>49</v>
      </c>
      <c r="H895" s="2">
        <v>75</v>
      </c>
      <c r="I895" s="3">
        <v>3299</v>
      </c>
      <c r="J895" s="4">
        <v>9.5399999999999991</v>
      </c>
      <c r="K895" s="2">
        <v>116</v>
      </c>
      <c r="L895" s="2">
        <v>4</v>
      </c>
      <c r="M895" s="3">
        <v>13620</v>
      </c>
      <c r="N895" t="str" cm="1">
        <f t="array" ref="N895">_xlfn.IFS(Table1_3[[#This Row],[Patient Satisfaction Score]]&gt;=83,"High",H895&lt;=75,"Low",TRUE,"Moderate")</f>
        <v>Low</v>
      </c>
      <c r="O895" t="str">
        <f t="shared" si="13"/>
        <v>Adult</v>
      </c>
    </row>
    <row r="896" spans="1:15">
      <c r="A896" t="s">
        <v>750</v>
      </c>
      <c r="B896" t="s">
        <v>109</v>
      </c>
      <c r="C896" t="s">
        <v>30</v>
      </c>
      <c r="D896" t="s">
        <v>16</v>
      </c>
      <c r="E896" s="2">
        <v>66</v>
      </c>
      <c r="F896" t="s">
        <v>17</v>
      </c>
      <c r="G896" t="s">
        <v>18</v>
      </c>
      <c r="H896" s="2">
        <v>74</v>
      </c>
      <c r="I896" s="3">
        <v>2418</v>
      </c>
      <c r="J896" s="4">
        <v>15.84</v>
      </c>
      <c r="K896" s="2">
        <v>118</v>
      </c>
      <c r="L896" s="2">
        <v>4</v>
      </c>
      <c r="M896" s="3">
        <v>9837</v>
      </c>
      <c r="N896" t="str" cm="1">
        <f t="array" ref="N896">_xlfn.IFS(Table1_3[[#This Row],[Patient Satisfaction Score]]&gt;=83,"High",H896&lt;=75,"Low",TRUE,"Moderate")</f>
        <v>Low</v>
      </c>
      <c r="O896" t="str">
        <f t="shared" si="13"/>
        <v>Adult</v>
      </c>
    </row>
    <row r="897" spans="1:15">
      <c r="A897" t="s">
        <v>859</v>
      </c>
      <c r="B897" t="s">
        <v>29</v>
      </c>
      <c r="C897" t="s">
        <v>30</v>
      </c>
      <c r="D897" t="s">
        <v>16</v>
      </c>
      <c r="E897" s="2">
        <v>66</v>
      </c>
      <c r="F897" t="s">
        <v>22</v>
      </c>
      <c r="G897" t="s">
        <v>23</v>
      </c>
      <c r="H897" s="2">
        <v>69</v>
      </c>
      <c r="I897" s="3">
        <v>3421</v>
      </c>
      <c r="J897" s="4">
        <v>23.77</v>
      </c>
      <c r="K897" s="2">
        <v>95</v>
      </c>
      <c r="L897" s="2">
        <v>3</v>
      </c>
      <c r="M897" s="3">
        <v>19717</v>
      </c>
      <c r="N897" t="str" cm="1">
        <f t="array" ref="N897">_xlfn.IFS(Table1_3[[#This Row],[Patient Satisfaction Score]]&gt;=83,"High",H897&lt;=75,"Low",TRUE,"Moderate")</f>
        <v>Low</v>
      </c>
      <c r="O897" t="str">
        <f t="shared" si="13"/>
        <v>Adult</v>
      </c>
    </row>
    <row r="898" spans="1:15">
      <c r="A898" t="s">
        <v>232</v>
      </c>
      <c r="B898" t="s">
        <v>25</v>
      </c>
      <c r="C898" t="s">
        <v>26</v>
      </c>
      <c r="D898" t="s">
        <v>16</v>
      </c>
      <c r="E898" s="2">
        <v>67</v>
      </c>
      <c r="F898" t="s">
        <v>17</v>
      </c>
      <c r="G898" t="s">
        <v>49</v>
      </c>
      <c r="H898" s="2">
        <v>94</v>
      </c>
      <c r="I898" s="3">
        <v>2819</v>
      </c>
      <c r="J898" s="4">
        <v>0.43</v>
      </c>
      <c r="K898" s="2">
        <v>68</v>
      </c>
      <c r="L898" s="2">
        <v>4</v>
      </c>
      <c r="M898" s="3">
        <v>8099</v>
      </c>
      <c r="N898" t="str" cm="1">
        <f t="array" ref="N898">_xlfn.IFS(Table1_3[[#This Row],[Patient Satisfaction Score]]&gt;=83,"High",H898&lt;=75,"Low",TRUE,"Moderate")</f>
        <v>High</v>
      </c>
      <c r="O898" t="str">
        <f t="shared" ref="O898:O961" si="14">IF(E898&lt;19,"Pediatric","Adult")</f>
        <v>Adult</v>
      </c>
    </row>
    <row r="899" spans="1:15">
      <c r="A899" t="s">
        <v>224</v>
      </c>
      <c r="B899" t="s">
        <v>129</v>
      </c>
      <c r="C899" t="s">
        <v>21</v>
      </c>
      <c r="D899" t="s">
        <v>27</v>
      </c>
      <c r="E899" s="2">
        <v>67</v>
      </c>
      <c r="F899" t="s">
        <v>17</v>
      </c>
      <c r="G899" t="s">
        <v>49</v>
      </c>
      <c r="H899" s="2">
        <v>76</v>
      </c>
      <c r="I899" s="3">
        <v>6028</v>
      </c>
      <c r="J899" s="4">
        <v>10.52</v>
      </c>
      <c r="K899" s="2">
        <v>55</v>
      </c>
      <c r="L899" s="2">
        <v>4</v>
      </c>
      <c r="M899" s="3">
        <v>31388</v>
      </c>
      <c r="N899" t="str" cm="1">
        <f t="array" ref="N899">_xlfn.IFS(Table1_3[[#This Row],[Patient Satisfaction Score]]&gt;=83,"High",H899&lt;=75,"Low",TRUE,"Moderate")</f>
        <v>Moderate</v>
      </c>
      <c r="O899" t="str">
        <f t="shared" si="14"/>
        <v>Adult</v>
      </c>
    </row>
    <row r="900" spans="1:15">
      <c r="A900" t="s">
        <v>502</v>
      </c>
      <c r="B900" t="s">
        <v>36</v>
      </c>
      <c r="C900" t="s">
        <v>21</v>
      </c>
      <c r="D900" t="s">
        <v>16</v>
      </c>
      <c r="E900" s="2">
        <v>67</v>
      </c>
      <c r="F900" t="s">
        <v>34</v>
      </c>
      <c r="G900" t="s">
        <v>70</v>
      </c>
      <c r="H900" s="2">
        <v>78</v>
      </c>
      <c r="I900" s="3">
        <v>5428</v>
      </c>
      <c r="J900" s="4">
        <v>12.57</v>
      </c>
      <c r="K900" s="2">
        <v>67</v>
      </c>
      <c r="L900" s="2">
        <v>3</v>
      </c>
      <c r="M900" s="3">
        <v>21738</v>
      </c>
      <c r="N900" t="str" cm="1">
        <f t="array" ref="N900">_xlfn.IFS(Table1_3[[#This Row],[Patient Satisfaction Score]]&gt;=83,"High",H900&lt;=75,"Low",TRUE,"Moderate")</f>
        <v>Moderate</v>
      </c>
      <c r="O900" t="str">
        <f t="shared" si="14"/>
        <v>Adult</v>
      </c>
    </row>
    <row r="901" spans="1:15">
      <c r="A901" t="s">
        <v>205</v>
      </c>
      <c r="B901" t="s">
        <v>68</v>
      </c>
      <c r="C901" t="s">
        <v>45</v>
      </c>
      <c r="D901" t="s">
        <v>27</v>
      </c>
      <c r="E901" s="2">
        <v>67</v>
      </c>
      <c r="F901" t="s">
        <v>22</v>
      </c>
      <c r="G901" t="s">
        <v>49</v>
      </c>
      <c r="H901" s="2">
        <v>73</v>
      </c>
      <c r="I901" s="3">
        <v>8599</v>
      </c>
      <c r="J901" s="4">
        <v>12.41</v>
      </c>
      <c r="K901" s="2">
        <v>121</v>
      </c>
      <c r="L901" s="2">
        <v>4</v>
      </c>
      <c r="M901" s="3">
        <v>40714</v>
      </c>
      <c r="N901" t="str" cm="1">
        <f t="array" ref="N901">_xlfn.IFS(Table1_3[[#This Row],[Patient Satisfaction Score]]&gt;=83,"High",H901&lt;=75,"Low",TRUE,"Moderate")</f>
        <v>Low</v>
      </c>
      <c r="O901" t="str">
        <f t="shared" si="14"/>
        <v>Adult</v>
      </c>
    </row>
    <row r="902" spans="1:15">
      <c r="A902" t="s">
        <v>357</v>
      </c>
      <c r="B902" t="s">
        <v>56</v>
      </c>
      <c r="C902" t="s">
        <v>45</v>
      </c>
      <c r="D902" t="s">
        <v>27</v>
      </c>
      <c r="E902" s="2">
        <v>67</v>
      </c>
      <c r="F902" t="s">
        <v>17</v>
      </c>
      <c r="G902" t="s">
        <v>18</v>
      </c>
      <c r="H902" s="2">
        <v>75</v>
      </c>
      <c r="I902" s="3">
        <v>7390</v>
      </c>
      <c r="J902" s="4">
        <v>14.26</v>
      </c>
      <c r="K902" s="2">
        <v>84</v>
      </c>
      <c r="L902" s="2">
        <v>4</v>
      </c>
      <c r="M902" s="3">
        <v>18845</v>
      </c>
      <c r="N902" t="str" cm="1">
        <f t="array" ref="N902">_xlfn.IFS(Table1_3[[#This Row],[Patient Satisfaction Score]]&gt;=83,"High",H902&lt;=75,"Low",TRUE,"Moderate")</f>
        <v>Low</v>
      </c>
      <c r="O902" t="str">
        <f t="shared" si="14"/>
        <v>Adult</v>
      </c>
    </row>
    <row r="903" spans="1:15">
      <c r="A903" t="s">
        <v>230</v>
      </c>
      <c r="B903" t="s">
        <v>54</v>
      </c>
      <c r="C903" t="s">
        <v>15</v>
      </c>
      <c r="D903" t="s">
        <v>27</v>
      </c>
      <c r="E903" s="2">
        <v>67</v>
      </c>
      <c r="F903" t="s">
        <v>34</v>
      </c>
      <c r="G903" t="s">
        <v>49</v>
      </c>
      <c r="H903" s="2">
        <v>78</v>
      </c>
      <c r="I903" s="3">
        <v>7857</v>
      </c>
      <c r="J903" s="4">
        <v>11.79</v>
      </c>
      <c r="K903" s="2">
        <v>64</v>
      </c>
      <c r="L903" s="2">
        <v>5</v>
      </c>
      <c r="M903" s="3">
        <v>43515</v>
      </c>
      <c r="N903" t="str" cm="1">
        <f t="array" ref="N903">_xlfn.IFS(Table1_3[[#This Row],[Patient Satisfaction Score]]&gt;=83,"High",H903&lt;=75,"Low",TRUE,"Moderate")</f>
        <v>Moderate</v>
      </c>
      <c r="O903" t="str">
        <f t="shared" si="14"/>
        <v>Adult</v>
      </c>
    </row>
    <row r="904" spans="1:15">
      <c r="A904" t="s">
        <v>355</v>
      </c>
      <c r="B904" t="s">
        <v>137</v>
      </c>
      <c r="C904" t="s">
        <v>26</v>
      </c>
      <c r="D904" t="s">
        <v>27</v>
      </c>
      <c r="E904" s="2">
        <v>68</v>
      </c>
      <c r="F904" t="s">
        <v>22</v>
      </c>
      <c r="G904" t="s">
        <v>70</v>
      </c>
      <c r="H904" s="2">
        <v>97</v>
      </c>
      <c r="I904" s="3">
        <v>2432</v>
      </c>
      <c r="J904" s="4">
        <v>9.01</v>
      </c>
      <c r="K904" s="2">
        <v>40</v>
      </c>
      <c r="L904" s="2">
        <v>5</v>
      </c>
      <c r="M904" s="3">
        <v>13965</v>
      </c>
      <c r="N904" t="str" cm="1">
        <f t="array" ref="N904">_xlfn.IFS(Table1_3[[#This Row],[Patient Satisfaction Score]]&gt;=83,"High",H904&lt;=75,"Low",TRUE,"Moderate")</f>
        <v>High</v>
      </c>
      <c r="O904" t="str">
        <f t="shared" si="14"/>
        <v>Adult</v>
      </c>
    </row>
    <row r="905" spans="1:15">
      <c r="A905" t="s">
        <v>1001</v>
      </c>
      <c r="B905" t="s">
        <v>25</v>
      </c>
      <c r="C905" t="s">
        <v>26</v>
      </c>
      <c r="D905" t="s">
        <v>16</v>
      </c>
      <c r="E905" s="2">
        <v>68</v>
      </c>
      <c r="F905" t="s">
        <v>22</v>
      </c>
      <c r="G905" t="s">
        <v>18</v>
      </c>
      <c r="H905" s="2">
        <v>88</v>
      </c>
      <c r="I905" s="3">
        <v>2569</v>
      </c>
      <c r="J905" s="4">
        <v>0</v>
      </c>
      <c r="K905" s="2">
        <v>38</v>
      </c>
      <c r="L905" s="2">
        <v>5</v>
      </c>
      <c r="M905" s="3">
        <v>12196</v>
      </c>
      <c r="N905" t="str" cm="1">
        <f t="array" ref="N905">_xlfn.IFS(Table1_3[[#This Row],[Patient Satisfaction Score]]&gt;=83,"High",H905&lt;=75,"Low",TRUE,"Moderate")</f>
        <v>High</v>
      </c>
      <c r="O905" t="str">
        <f t="shared" si="14"/>
        <v>Adult</v>
      </c>
    </row>
    <row r="906" spans="1:15">
      <c r="A906" t="s">
        <v>46</v>
      </c>
      <c r="B906" t="s">
        <v>47</v>
      </c>
      <c r="C906" t="s">
        <v>48</v>
      </c>
      <c r="D906" t="s">
        <v>16</v>
      </c>
      <c r="E906" s="2">
        <v>68</v>
      </c>
      <c r="F906" t="s">
        <v>34</v>
      </c>
      <c r="G906" t="s">
        <v>49</v>
      </c>
      <c r="H906" s="2">
        <v>76</v>
      </c>
      <c r="I906" s="3">
        <v>7001</v>
      </c>
      <c r="J906" s="4">
        <v>13.19</v>
      </c>
      <c r="K906" s="2">
        <v>57</v>
      </c>
      <c r="L906" s="2">
        <v>4</v>
      </c>
      <c r="M906" s="3">
        <v>34979</v>
      </c>
      <c r="N906" t="str" cm="1">
        <f t="array" ref="N906">_xlfn.IFS(Table1_3[[#This Row],[Patient Satisfaction Score]]&gt;=83,"High",H906&lt;=75,"Low",TRUE,"Moderate")</f>
        <v>Moderate</v>
      </c>
      <c r="O906" t="str">
        <f t="shared" si="14"/>
        <v>Adult</v>
      </c>
    </row>
    <row r="907" spans="1:15">
      <c r="A907" t="s">
        <v>419</v>
      </c>
      <c r="B907" t="s">
        <v>150</v>
      </c>
      <c r="C907" t="s">
        <v>48</v>
      </c>
      <c r="D907" t="s">
        <v>16</v>
      </c>
      <c r="E907" s="2">
        <v>68</v>
      </c>
      <c r="F907" t="s">
        <v>17</v>
      </c>
      <c r="G907" t="s">
        <v>31</v>
      </c>
      <c r="H907" s="2">
        <v>79</v>
      </c>
      <c r="I907" s="3">
        <v>4110</v>
      </c>
      <c r="J907" s="4">
        <v>15.7</v>
      </c>
      <c r="K907" s="2">
        <v>95</v>
      </c>
      <c r="L907" s="2">
        <v>3</v>
      </c>
      <c r="M907" s="3">
        <v>22733</v>
      </c>
      <c r="N907" t="str" cm="1">
        <f t="array" ref="N907">_xlfn.IFS(Table1_3[[#This Row],[Patient Satisfaction Score]]&gt;=83,"High",H907&lt;=75,"Low",TRUE,"Moderate")</f>
        <v>Moderate</v>
      </c>
      <c r="O907" t="str">
        <f t="shared" si="14"/>
        <v>Adult</v>
      </c>
    </row>
    <row r="908" spans="1:15">
      <c r="A908" t="s">
        <v>547</v>
      </c>
      <c r="B908" t="s">
        <v>185</v>
      </c>
      <c r="C908" t="s">
        <v>52</v>
      </c>
      <c r="D908" t="s">
        <v>27</v>
      </c>
      <c r="E908" s="2">
        <v>68</v>
      </c>
      <c r="F908" t="s">
        <v>17</v>
      </c>
      <c r="G908" t="s">
        <v>49</v>
      </c>
      <c r="H908" s="2">
        <v>76</v>
      </c>
      <c r="I908" s="3">
        <v>4847</v>
      </c>
      <c r="J908" s="4">
        <v>16.829999999999998</v>
      </c>
      <c r="K908" s="2">
        <v>55</v>
      </c>
      <c r="L908" s="2">
        <v>4</v>
      </c>
      <c r="M908" s="3">
        <v>18937</v>
      </c>
      <c r="N908" t="str" cm="1">
        <f t="array" ref="N908">_xlfn.IFS(Table1_3[[#This Row],[Patient Satisfaction Score]]&gt;=83,"High",H908&lt;=75,"Low",TRUE,"Moderate")</f>
        <v>Moderate</v>
      </c>
      <c r="O908" t="str">
        <f t="shared" si="14"/>
        <v>Adult</v>
      </c>
    </row>
    <row r="909" spans="1:15">
      <c r="A909" t="s">
        <v>555</v>
      </c>
      <c r="B909" t="s">
        <v>51</v>
      </c>
      <c r="C909" t="s">
        <v>52</v>
      </c>
      <c r="D909" t="s">
        <v>27</v>
      </c>
      <c r="E909" s="2">
        <v>68</v>
      </c>
      <c r="F909" t="s">
        <v>22</v>
      </c>
      <c r="G909" t="s">
        <v>49</v>
      </c>
      <c r="H909" s="2">
        <v>85</v>
      </c>
      <c r="I909" s="3">
        <v>9051</v>
      </c>
      <c r="J909" s="4">
        <v>8.92</v>
      </c>
      <c r="K909" s="2">
        <v>125</v>
      </c>
      <c r="L909" s="2">
        <v>4</v>
      </c>
      <c r="M909" s="3">
        <v>30620</v>
      </c>
      <c r="N909" t="str" cm="1">
        <f t="array" ref="N909">_xlfn.IFS(Table1_3[[#This Row],[Patient Satisfaction Score]]&gt;=83,"High",H909&lt;=75,"Low",TRUE,"Moderate")</f>
        <v>High</v>
      </c>
      <c r="O909" t="str">
        <f t="shared" si="14"/>
        <v>Adult</v>
      </c>
    </row>
    <row r="910" spans="1:15">
      <c r="A910" t="s">
        <v>724</v>
      </c>
      <c r="B910" t="s">
        <v>95</v>
      </c>
      <c r="C910" t="s">
        <v>52</v>
      </c>
      <c r="D910" t="s">
        <v>72</v>
      </c>
      <c r="E910" s="2">
        <v>68</v>
      </c>
      <c r="F910" t="s">
        <v>34</v>
      </c>
      <c r="G910" t="s">
        <v>23</v>
      </c>
      <c r="H910" s="2">
        <v>68</v>
      </c>
      <c r="I910" s="3">
        <v>9348</v>
      </c>
      <c r="J910" s="4">
        <v>18.649999999999999</v>
      </c>
      <c r="K910" s="2">
        <v>116</v>
      </c>
      <c r="L910" s="2">
        <v>3</v>
      </c>
      <c r="M910" s="3">
        <v>27496</v>
      </c>
      <c r="N910" t="str" cm="1">
        <f t="array" ref="N910">_xlfn.IFS(Table1_3[[#This Row],[Patient Satisfaction Score]]&gt;=83,"High",H910&lt;=75,"Low",TRUE,"Moderate")</f>
        <v>Low</v>
      </c>
      <c r="O910" t="str">
        <f t="shared" si="14"/>
        <v>Adult</v>
      </c>
    </row>
    <row r="911" spans="1:15">
      <c r="A911" t="s">
        <v>924</v>
      </c>
      <c r="B911" t="s">
        <v>51</v>
      </c>
      <c r="C911" t="s">
        <v>52</v>
      </c>
      <c r="D911" t="s">
        <v>16</v>
      </c>
      <c r="E911" s="2">
        <v>68</v>
      </c>
      <c r="F911" t="s">
        <v>34</v>
      </c>
      <c r="G911" t="s">
        <v>18</v>
      </c>
      <c r="H911" s="2">
        <v>92</v>
      </c>
      <c r="I911" s="3">
        <v>4313</v>
      </c>
      <c r="J911" s="4">
        <v>12.56</v>
      </c>
      <c r="K911" s="2">
        <v>82</v>
      </c>
      <c r="L911" s="2">
        <v>5</v>
      </c>
      <c r="M911" s="3">
        <v>13636</v>
      </c>
      <c r="N911" t="str" cm="1">
        <f t="array" ref="N911">_xlfn.IFS(Table1_3[[#This Row],[Patient Satisfaction Score]]&gt;=83,"High",H911&lt;=75,"Low",TRUE,"Moderate")</f>
        <v>High</v>
      </c>
      <c r="O911" t="str">
        <f t="shared" si="14"/>
        <v>Adult</v>
      </c>
    </row>
    <row r="912" spans="1:15">
      <c r="A912" t="s">
        <v>346</v>
      </c>
      <c r="B912" t="s">
        <v>168</v>
      </c>
      <c r="C912" t="s">
        <v>45</v>
      </c>
      <c r="D912" t="s">
        <v>27</v>
      </c>
      <c r="E912" s="2">
        <v>68</v>
      </c>
      <c r="F912" t="s">
        <v>22</v>
      </c>
      <c r="G912" t="s">
        <v>23</v>
      </c>
      <c r="H912" s="2">
        <v>65</v>
      </c>
      <c r="I912" s="3">
        <v>8806</v>
      </c>
      <c r="J912" s="4">
        <v>18.79</v>
      </c>
      <c r="K912" s="2">
        <v>102</v>
      </c>
      <c r="L912" s="2">
        <v>3</v>
      </c>
      <c r="M912" s="3">
        <v>38701</v>
      </c>
      <c r="N912" t="str" cm="1">
        <f t="array" ref="N912">_xlfn.IFS(Table1_3[[#This Row],[Patient Satisfaction Score]]&gt;=83,"High",H912&lt;=75,"Low",TRUE,"Moderate")</f>
        <v>Low</v>
      </c>
      <c r="O912" t="str">
        <f t="shared" si="14"/>
        <v>Adult</v>
      </c>
    </row>
    <row r="913" spans="1:15">
      <c r="A913" t="s">
        <v>632</v>
      </c>
      <c r="B913" t="s">
        <v>56</v>
      </c>
      <c r="C913" t="s">
        <v>45</v>
      </c>
      <c r="D913" t="s">
        <v>27</v>
      </c>
      <c r="E913" s="2">
        <v>68</v>
      </c>
      <c r="F913" t="s">
        <v>17</v>
      </c>
      <c r="G913" t="s">
        <v>31</v>
      </c>
      <c r="H913" s="2">
        <v>80</v>
      </c>
      <c r="I913" s="3">
        <v>8635</v>
      </c>
      <c r="J913" s="4">
        <v>14.89</v>
      </c>
      <c r="K913" s="2">
        <v>104</v>
      </c>
      <c r="L913" s="2">
        <v>3</v>
      </c>
      <c r="M913" s="3">
        <v>32345</v>
      </c>
      <c r="N913" t="str" cm="1">
        <f t="array" ref="N913">_xlfn.IFS(Table1_3[[#This Row],[Patient Satisfaction Score]]&gt;=83,"High",H913&lt;=75,"Low",TRUE,"Moderate")</f>
        <v>Moderate</v>
      </c>
      <c r="O913" t="str">
        <f t="shared" si="14"/>
        <v>Adult</v>
      </c>
    </row>
    <row r="914" spans="1:15">
      <c r="A914" t="s">
        <v>191</v>
      </c>
      <c r="B914" t="s">
        <v>64</v>
      </c>
      <c r="C914" t="s">
        <v>30</v>
      </c>
      <c r="D914" t="s">
        <v>27</v>
      </c>
      <c r="E914" s="2">
        <v>68</v>
      </c>
      <c r="F914" t="s">
        <v>17</v>
      </c>
      <c r="G914" t="s">
        <v>70</v>
      </c>
      <c r="H914" s="2">
        <v>66</v>
      </c>
      <c r="I914" s="3">
        <v>2401</v>
      </c>
      <c r="J914" s="4">
        <v>18.3</v>
      </c>
      <c r="K914" s="2">
        <v>142</v>
      </c>
      <c r="L914" s="2">
        <v>3</v>
      </c>
      <c r="M914" s="3">
        <v>7569</v>
      </c>
      <c r="N914" t="str" cm="1">
        <f t="array" ref="N914">_xlfn.IFS(Table1_3[[#This Row],[Patient Satisfaction Score]]&gt;=83,"High",H914&lt;=75,"Low",TRUE,"Moderate")</f>
        <v>Low</v>
      </c>
      <c r="O914" t="str">
        <f t="shared" si="14"/>
        <v>Adult</v>
      </c>
    </row>
    <row r="915" spans="1:15">
      <c r="A915" t="s">
        <v>880</v>
      </c>
      <c r="B915" t="s">
        <v>109</v>
      </c>
      <c r="C915" t="s">
        <v>30</v>
      </c>
      <c r="D915" t="s">
        <v>16</v>
      </c>
      <c r="E915" s="2">
        <v>68</v>
      </c>
      <c r="F915" t="s">
        <v>34</v>
      </c>
      <c r="G915" t="s">
        <v>70</v>
      </c>
      <c r="H915" s="2">
        <v>69</v>
      </c>
      <c r="I915" s="3">
        <v>3853</v>
      </c>
      <c r="J915" s="4">
        <v>20.51</v>
      </c>
      <c r="K915" s="2">
        <v>79</v>
      </c>
      <c r="L915" s="2">
        <v>3</v>
      </c>
      <c r="M915" s="3">
        <v>16827</v>
      </c>
      <c r="N915" t="str" cm="1">
        <f t="array" ref="N915">_xlfn.IFS(Table1_3[[#This Row],[Patient Satisfaction Score]]&gt;=83,"High",H915&lt;=75,"Low",TRUE,"Moderate")</f>
        <v>Low</v>
      </c>
      <c r="O915" t="str">
        <f t="shared" si="14"/>
        <v>Adult</v>
      </c>
    </row>
    <row r="916" spans="1:15">
      <c r="A916" t="s">
        <v>234</v>
      </c>
      <c r="B916" t="s">
        <v>54</v>
      </c>
      <c r="C916" t="s">
        <v>15</v>
      </c>
      <c r="D916" t="s">
        <v>27</v>
      </c>
      <c r="E916" s="2">
        <v>68</v>
      </c>
      <c r="F916" t="s">
        <v>22</v>
      </c>
      <c r="G916" t="s">
        <v>23</v>
      </c>
      <c r="H916" s="2">
        <v>77</v>
      </c>
      <c r="I916" s="3">
        <v>7836</v>
      </c>
      <c r="J916" s="4">
        <v>18.8</v>
      </c>
      <c r="K916" s="2">
        <v>60</v>
      </c>
      <c r="L916" s="2">
        <v>4</v>
      </c>
      <c r="M916" s="3">
        <v>42019</v>
      </c>
      <c r="N916" t="str" cm="1">
        <f t="array" ref="N916">_xlfn.IFS(Table1_3[[#This Row],[Patient Satisfaction Score]]&gt;=83,"High",H916&lt;=75,"Low",TRUE,"Moderate")</f>
        <v>Moderate</v>
      </c>
      <c r="O916" t="str">
        <f t="shared" si="14"/>
        <v>Adult</v>
      </c>
    </row>
    <row r="917" spans="1:15">
      <c r="A917" t="s">
        <v>907</v>
      </c>
      <c r="B917" t="s">
        <v>88</v>
      </c>
      <c r="C917" t="s">
        <v>15</v>
      </c>
      <c r="D917" t="s">
        <v>16</v>
      </c>
      <c r="E917" s="2">
        <v>68</v>
      </c>
      <c r="F917" t="s">
        <v>17</v>
      </c>
      <c r="G917" t="s">
        <v>70</v>
      </c>
      <c r="H917" s="2">
        <v>68</v>
      </c>
      <c r="I917" s="3">
        <v>7399</v>
      </c>
      <c r="J917" s="4">
        <v>16.559999999999999</v>
      </c>
      <c r="K917" s="2">
        <v>125</v>
      </c>
      <c r="L917" s="2">
        <v>3</v>
      </c>
      <c r="M917" s="3">
        <v>26325</v>
      </c>
      <c r="N917" t="str" cm="1">
        <f t="array" ref="N917">_xlfn.IFS(Table1_3[[#This Row],[Patient Satisfaction Score]]&gt;=83,"High",H917&lt;=75,"Low",TRUE,"Moderate")</f>
        <v>Low</v>
      </c>
      <c r="O917" t="str">
        <f t="shared" si="14"/>
        <v>Adult</v>
      </c>
    </row>
    <row r="918" spans="1:15">
      <c r="A918" t="s">
        <v>966</v>
      </c>
      <c r="B918" t="s">
        <v>25</v>
      </c>
      <c r="C918" t="s">
        <v>26</v>
      </c>
      <c r="D918" t="s">
        <v>27</v>
      </c>
      <c r="E918" s="2">
        <v>69</v>
      </c>
      <c r="F918" t="s">
        <v>22</v>
      </c>
      <c r="G918" t="s">
        <v>31</v>
      </c>
      <c r="H918" s="2">
        <v>86</v>
      </c>
      <c r="I918" s="3">
        <v>2452</v>
      </c>
      <c r="J918" s="4">
        <v>3.67</v>
      </c>
      <c r="K918" s="2">
        <v>47</v>
      </c>
      <c r="L918" s="2">
        <v>4</v>
      </c>
      <c r="M918" s="3">
        <v>6751</v>
      </c>
      <c r="N918" t="str" cm="1">
        <f t="array" ref="N918">_xlfn.IFS(Table1_3[[#This Row],[Patient Satisfaction Score]]&gt;=83,"High",H918&lt;=75,"Low",TRUE,"Moderate")</f>
        <v>High</v>
      </c>
      <c r="O918" t="str">
        <f t="shared" si="14"/>
        <v>Adult</v>
      </c>
    </row>
    <row r="919" spans="1:15">
      <c r="A919" t="s">
        <v>743</v>
      </c>
      <c r="B919" t="s">
        <v>122</v>
      </c>
      <c r="C919" t="s">
        <v>48</v>
      </c>
      <c r="D919" t="s">
        <v>27</v>
      </c>
      <c r="E919" s="2">
        <v>69</v>
      </c>
      <c r="F919" t="s">
        <v>17</v>
      </c>
      <c r="G919" t="s">
        <v>23</v>
      </c>
      <c r="H919" s="2">
        <v>77</v>
      </c>
      <c r="I919" s="3">
        <v>8131</v>
      </c>
      <c r="J919" s="4">
        <v>10.16</v>
      </c>
      <c r="K919" s="2">
        <v>74</v>
      </c>
      <c r="L919" s="2">
        <v>4</v>
      </c>
      <c r="M919" s="3">
        <v>30607</v>
      </c>
      <c r="N919" t="str" cm="1">
        <f t="array" ref="N919">_xlfn.IFS(Table1_3[[#This Row],[Patient Satisfaction Score]]&gt;=83,"High",H919&lt;=75,"Low",TRUE,"Moderate")</f>
        <v>Moderate</v>
      </c>
      <c r="O919" t="str">
        <f t="shared" si="14"/>
        <v>Adult</v>
      </c>
    </row>
    <row r="920" spans="1:15">
      <c r="A920" t="s">
        <v>401</v>
      </c>
      <c r="B920" t="s">
        <v>36</v>
      </c>
      <c r="C920" t="s">
        <v>21</v>
      </c>
      <c r="D920" t="s">
        <v>27</v>
      </c>
      <c r="E920" s="2">
        <v>69</v>
      </c>
      <c r="F920" t="s">
        <v>17</v>
      </c>
      <c r="G920" t="s">
        <v>23</v>
      </c>
      <c r="H920" s="2">
        <v>67</v>
      </c>
      <c r="I920" s="3">
        <v>6172</v>
      </c>
      <c r="J920" s="4">
        <v>19.53</v>
      </c>
      <c r="K920" s="2">
        <v>106</v>
      </c>
      <c r="L920" s="2">
        <v>3</v>
      </c>
      <c r="M920" s="3">
        <v>30824</v>
      </c>
      <c r="N920" t="str" cm="1">
        <f t="array" ref="N920">_xlfn.IFS(Table1_3[[#This Row],[Patient Satisfaction Score]]&gt;=83,"High",H920&lt;=75,"Low",TRUE,"Moderate")</f>
        <v>Low</v>
      </c>
      <c r="O920" t="str">
        <f t="shared" si="14"/>
        <v>Adult</v>
      </c>
    </row>
    <row r="921" spans="1:15">
      <c r="A921" t="s">
        <v>107</v>
      </c>
      <c r="B921" t="s">
        <v>44</v>
      </c>
      <c r="C921" t="s">
        <v>45</v>
      </c>
      <c r="D921" t="s">
        <v>27</v>
      </c>
      <c r="E921" s="2">
        <v>69</v>
      </c>
      <c r="F921" t="s">
        <v>22</v>
      </c>
      <c r="G921" t="s">
        <v>49</v>
      </c>
      <c r="H921" s="2">
        <v>73</v>
      </c>
      <c r="I921" s="3">
        <v>10387</v>
      </c>
      <c r="J921" s="4">
        <v>19.670000000000002</v>
      </c>
      <c r="K921" s="2">
        <v>71</v>
      </c>
      <c r="L921" s="2">
        <v>4</v>
      </c>
      <c r="M921" s="3">
        <v>45945</v>
      </c>
      <c r="N921" t="str" cm="1">
        <f t="array" ref="N921">_xlfn.IFS(Table1_3[[#This Row],[Patient Satisfaction Score]]&gt;=83,"High",H921&lt;=75,"Low",TRUE,"Moderate")</f>
        <v>Low</v>
      </c>
      <c r="O921" t="str">
        <f t="shared" si="14"/>
        <v>Adult</v>
      </c>
    </row>
    <row r="922" spans="1:15">
      <c r="A922" t="s">
        <v>209</v>
      </c>
      <c r="B922" t="s">
        <v>68</v>
      </c>
      <c r="C922" t="s">
        <v>45</v>
      </c>
      <c r="D922" t="s">
        <v>16</v>
      </c>
      <c r="E922" s="2">
        <v>69</v>
      </c>
      <c r="F922" t="s">
        <v>22</v>
      </c>
      <c r="G922" t="s">
        <v>49</v>
      </c>
      <c r="H922" s="2">
        <v>75</v>
      </c>
      <c r="I922" s="3">
        <v>7144</v>
      </c>
      <c r="J922" s="4">
        <v>16.8</v>
      </c>
      <c r="K922" s="2">
        <v>104</v>
      </c>
      <c r="L922" s="2">
        <v>3</v>
      </c>
      <c r="M922" s="3">
        <v>28619</v>
      </c>
      <c r="N922" t="str" cm="1">
        <f t="array" ref="N922">_xlfn.IFS(Table1_3[[#This Row],[Patient Satisfaction Score]]&gt;=83,"High",H922&lt;=75,"Low",TRUE,"Moderate")</f>
        <v>Low</v>
      </c>
      <c r="O922" t="str">
        <f t="shared" si="14"/>
        <v>Adult</v>
      </c>
    </row>
    <row r="923" spans="1:15">
      <c r="A923" t="s">
        <v>247</v>
      </c>
      <c r="B923" t="s">
        <v>74</v>
      </c>
      <c r="C923" t="s">
        <v>45</v>
      </c>
      <c r="D923" t="s">
        <v>27</v>
      </c>
      <c r="E923" s="2">
        <v>69</v>
      </c>
      <c r="F923" t="s">
        <v>34</v>
      </c>
      <c r="G923" t="s">
        <v>40</v>
      </c>
      <c r="H923" s="2">
        <v>77</v>
      </c>
      <c r="I923" s="3">
        <v>6233</v>
      </c>
      <c r="J923" s="4">
        <v>18.07</v>
      </c>
      <c r="K923" s="2">
        <v>127</v>
      </c>
      <c r="L923" s="2">
        <v>3</v>
      </c>
      <c r="M923" s="3">
        <v>26419</v>
      </c>
      <c r="N923" t="str" cm="1">
        <f t="array" ref="N923">_xlfn.IFS(Table1_3[[#This Row],[Patient Satisfaction Score]]&gt;=83,"High",H923&lt;=75,"Low",TRUE,"Moderate")</f>
        <v>Moderate</v>
      </c>
      <c r="O923" t="str">
        <f t="shared" si="14"/>
        <v>Adult</v>
      </c>
    </row>
    <row r="924" spans="1:15">
      <c r="A924" t="s">
        <v>587</v>
      </c>
      <c r="B924" t="s">
        <v>56</v>
      </c>
      <c r="C924" t="s">
        <v>45</v>
      </c>
      <c r="D924" t="s">
        <v>27</v>
      </c>
      <c r="E924" s="2">
        <v>69</v>
      </c>
      <c r="F924" t="s">
        <v>17</v>
      </c>
      <c r="G924" t="s">
        <v>31</v>
      </c>
      <c r="H924" s="2">
        <v>78</v>
      </c>
      <c r="I924" s="3">
        <v>6081</v>
      </c>
      <c r="J924" s="4">
        <v>18.73</v>
      </c>
      <c r="K924" s="2">
        <v>82</v>
      </c>
      <c r="L924" s="2">
        <v>5</v>
      </c>
      <c r="M924" s="3">
        <v>32149</v>
      </c>
      <c r="N924" t="str" cm="1">
        <f t="array" ref="N924">_xlfn.IFS(Table1_3[[#This Row],[Patient Satisfaction Score]]&gt;=83,"High",H924&lt;=75,"Low",TRUE,"Moderate")</f>
        <v>Moderate</v>
      </c>
      <c r="O924" t="str">
        <f t="shared" si="14"/>
        <v>Adult</v>
      </c>
    </row>
    <row r="925" spans="1:15">
      <c r="A925" t="s">
        <v>314</v>
      </c>
      <c r="B925" t="s">
        <v>64</v>
      </c>
      <c r="C925" t="s">
        <v>30</v>
      </c>
      <c r="D925" t="s">
        <v>16</v>
      </c>
      <c r="E925" s="2">
        <v>69</v>
      </c>
      <c r="F925" t="s">
        <v>17</v>
      </c>
      <c r="G925" t="s">
        <v>18</v>
      </c>
      <c r="H925" s="2">
        <v>71</v>
      </c>
      <c r="I925" s="3">
        <v>4198</v>
      </c>
      <c r="J925" s="4">
        <v>16.27</v>
      </c>
      <c r="K925" s="2">
        <v>140</v>
      </c>
      <c r="L925" s="2">
        <v>4</v>
      </c>
      <c r="M925" s="3">
        <v>19812</v>
      </c>
      <c r="N925" t="str" cm="1">
        <f t="array" ref="N925">_xlfn.IFS(Table1_3[[#This Row],[Patient Satisfaction Score]]&gt;=83,"High",H925&lt;=75,"Low",TRUE,"Moderate")</f>
        <v>Low</v>
      </c>
      <c r="O925" t="str">
        <f t="shared" si="14"/>
        <v>Adult</v>
      </c>
    </row>
    <row r="926" spans="1:15">
      <c r="A926" t="s">
        <v>529</v>
      </c>
      <c r="B926" t="s">
        <v>29</v>
      </c>
      <c r="C926" t="s">
        <v>30</v>
      </c>
      <c r="D926" t="s">
        <v>27</v>
      </c>
      <c r="E926" s="2">
        <v>69</v>
      </c>
      <c r="F926" t="s">
        <v>34</v>
      </c>
      <c r="G926" t="s">
        <v>31</v>
      </c>
      <c r="H926" s="2">
        <v>75</v>
      </c>
      <c r="I926" s="3">
        <v>3086</v>
      </c>
      <c r="J926" s="4">
        <v>20.62</v>
      </c>
      <c r="K926" s="2">
        <v>104</v>
      </c>
      <c r="L926" s="2">
        <v>4</v>
      </c>
      <c r="M926" s="3">
        <v>17764</v>
      </c>
      <c r="N926" t="str" cm="1">
        <f t="array" ref="N926">_xlfn.IFS(Table1_3[[#This Row],[Patient Satisfaction Score]]&gt;=83,"High",H926&lt;=75,"Low",TRUE,"Moderate")</f>
        <v>Low</v>
      </c>
      <c r="O926" t="str">
        <f t="shared" si="14"/>
        <v>Adult</v>
      </c>
    </row>
    <row r="927" spans="1:15">
      <c r="A927" t="s">
        <v>571</v>
      </c>
      <c r="B927" t="s">
        <v>29</v>
      </c>
      <c r="C927" t="s">
        <v>30</v>
      </c>
      <c r="D927" t="s">
        <v>27</v>
      </c>
      <c r="E927" s="2">
        <v>69</v>
      </c>
      <c r="F927" t="s">
        <v>17</v>
      </c>
      <c r="G927" t="s">
        <v>31</v>
      </c>
      <c r="H927" s="2">
        <v>68</v>
      </c>
      <c r="I927" s="3">
        <v>2434</v>
      </c>
      <c r="J927" s="4">
        <v>24.99</v>
      </c>
      <c r="K927" s="2">
        <v>121</v>
      </c>
      <c r="L927" s="2">
        <v>4</v>
      </c>
      <c r="M927" s="3">
        <v>11239</v>
      </c>
      <c r="N927" t="str" cm="1">
        <f t="array" ref="N927">_xlfn.IFS(Table1_3[[#This Row],[Patient Satisfaction Score]]&gt;=83,"High",H927&lt;=75,"Low",TRUE,"Moderate")</f>
        <v>Low</v>
      </c>
      <c r="O927" t="str">
        <f t="shared" si="14"/>
        <v>Adult</v>
      </c>
    </row>
    <row r="928" spans="1:15">
      <c r="A928" t="s">
        <v>446</v>
      </c>
      <c r="B928" t="s">
        <v>54</v>
      </c>
      <c r="C928" t="s">
        <v>15</v>
      </c>
      <c r="D928" t="s">
        <v>72</v>
      </c>
      <c r="E928" s="2">
        <v>69</v>
      </c>
      <c r="F928" t="s">
        <v>22</v>
      </c>
      <c r="G928" t="s">
        <v>23</v>
      </c>
      <c r="H928" s="2">
        <v>82</v>
      </c>
      <c r="I928" s="3">
        <v>6940</v>
      </c>
      <c r="J928" s="4">
        <v>16.23</v>
      </c>
      <c r="K928" s="2">
        <v>75</v>
      </c>
      <c r="L928" s="2">
        <v>3</v>
      </c>
      <c r="M928" s="3">
        <v>40864</v>
      </c>
      <c r="N928" t="str" cm="1">
        <f t="array" ref="N928">_xlfn.IFS(Table1_3[[#This Row],[Patient Satisfaction Score]]&gt;=83,"High",H928&lt;=75,"Low",TRUE,"Moderate")</f>
        <v>Moderate</v>
      </c>
      <c r="O928" t="str">
        <f t="shared" si="14"/>
        <v>Adult</v>
      </c>
    </row>
    <row r="929" spans="1:15">
      <c r="A929" t="s">
        <v>486</v>
      </c>
      <c r="B929" t="s">
        <v>54</v>
      </c>
      <c r="C929" t="s">
        <v>15</v>
      </c>
      <c r="D929" t="s">
        <v>27</v>
      </c>
      <c r="E929" s="2">
        <v>69</v>
      </c>
      <c r="F929" t="s">
        <v>34</v>
      </c>
      <c r="G929" t="s">
        <v>70</v>
      </c>
      <c r="H929" s="2">
        <v>84</v>
      </c>
      <c r="I929" s="3">
        <v>5994</v>
      </c>
      <c r="J929" s="4">
        <v>15.08</v>
      </c>
      <c r="K929" s="2">
        <v>74</v>
      </c>
      <c r="L929" s="2">
        <v>4</v>
      </c>
      <c r="M929" s="3">
        <v>31682</v>
      </c>
      <c r="N929" t="str" cm="1">
        <f t="array" ref="N929">_xlfn.IFS(Table1_3[[#This Row],[Patient Satisfaction Score]]&gt;=83,"High",H929&lt;=75,"Low",TRUE,"Moderate")</f>
        <v>High</v>
      </c>
      <c r="O929" t="str">
        <f t="shared" si="14"/>
        <v>Adult</v>
      </c>
    </row>
    <row r="930" spans="1:15">
      <c r="A930" t="s">
        <v>583</v>
      </c>
      <c r="B930" t="s">
        <v>88</v>
      </c>
      <c r="C930" t="s">
        <v>15</v>
      </c>
      <c r="D930" t="s">
        <v>27</v>
      </c>
      <c r="E930" s="2">
        <v>69</v>
      </c>
      <c r="F930" t="s">
        <v>22</v>
      </c>
      <c r="G930" t="s">
        <v>70</v>
      </c>
      <c r="H930" s="2">
        <v>76</v>
      </c>
      <c r="I930" s="3">
        <v>7475</v>
      </c>
      <c r="J930" s="4">
        <v>17.13</v>
      </c>
      <c r="K930" s="2">
        <v>90</v>
      </c>
      <c r="L930" s="2">
        <v>4</v>
      </c>
      <c r="M930" s="3">
        <v>22349</v>
      </c>
      <c r="N930" t="str" cm="1">
        <f t="array" ref="N930">_xlfn.IFS(Table1_3[[#This Row],[Patient Satisfaction Score]]&gt;=83,"High",H930&lt;=75,"Low",TRUE,"Moderate")</f>
        <v>Moderate</v>
      </c>
      <c r="O930" t="str">
        <f t="shared" si="14"/>
        <v>Adult</v>
      </c>
    </row>
    <row r="931" spans="1:15">
      <c r="A931" t="s">
        <v>673</v>
      </c>
      <c r="B931" t="s">
        <v>78</v>
      </c>
      <c r="C931" t="s">
        <v>15</v>
      </c>
      <c r="D931" t="s">
        <v>27</v>
      </c>
      <c r="E931" s="2">
        <v>69</v>
      </c>
      <c r="F931" t="s">
        <v>34</v>
      </c>
      <c r="G931" t="s">
        <v>18</v>
      </c>
      <c r="H931" s="2">
        <v>75</v>
      </c>
      <c r="I931" s="3">
        <v>8476</v>
      </c>
      <c r="J931" s="4">
        <v>15.25</v>
      </c>
      <c r="K931" s="2">
        <v>75</v>
      </c>
      <c r="L931" s="2">
        <v>3</v>
      </c>
      <c r="M931" s="3">
        <v>43623</v>
      </c>
      <c r="N931" t="str" cm="1">
        <f t="array" ref="N931">_xlfn.IFS(Table1_3[[#This Row],[Patient Satisfaction Score]]&gt;=83,"High",H931&lt;=75,"Low",TRUE,"Moderate")</f>
        <v>Low</v>
      </c>
      <c r="O931" t="str">
        <f t="shared" si="14"/>
        <v>Adult</v>
      </c>
    </row>
    <row r="932" spans="1:15">
      <c r="A932" t="s">
        <v>154</v>
      </c>
      <c r="B932" t="s">
        <v>137</v>
      </c>
      <c r="C932" t="s">
        <v>26</v>
      </c>
      <c r="D932" t="s">
        <v>27</v>
      </c>
      <c r="E932" s="2">
        <v>70</v>
      </c>
      <c r="F932" t="s">
        <v>17</v>
      </c>
      <c r="G932" t="s">
        <v>31</v>
      </c>
      <c r="H932" s="2">
        <v>94</v>
      </c>
      <c r="I932" s="3">
        <v>2286</v>
      </c>
      <c r="J932" s="4">
        <v>2.79</v>
      </c>
      <c r="K932" s="2">
        <v>36</v>
      </c>
      <c r="L932" s="2">
        <v>5</v>
      </c>
      <c r="M932" s="3">
        <v>10844</v>
      </c>
      <c r="N932" t="str" cm="1">
        <f t="array" ref="N932">_xlfn.IFS(Table1_3[[#This Row],[Patient Satisfaction Score]]&gt;=83,"High",H932&lt;=75,"Low",TRUE,"Moderate")</f>
        <v>High</v>
      </c>
      <c r="O932" t="str">
        <f t="shared" si="14"/>
        <v>Adult</v>
      </c>
    </row>
    <row r="933" spans="1:15">
      <c r="A933" t="s">
        <v>940</v>
      </c>
      <c r="B933" t="s">
        <v>135</v>
      </c>
      <c r="C933" t="s">
        <v>48</v>
      </c>
      <c r="D933" t="s">
        <v>16</v>
      </c>
      <c r="E933" s="2">
        <v>70</v>
      </c>
      <c r="F933" t="s">
        <v>22</v>
      </c>
      <c r="G933" t="s">
        <v>40</v>
      </c>
      <c r="H933" s="2">
        <v>84</v>
      </c>
      <c r="I933" s="3">
        <v>5718</v>
      </c>
      <c r="J933" s="4">
        <v>8.43</v>
      </c>
      <c r="K933" s="2">
        <v>83</v>
      </c>
      <c r="L933" s="2">
        <v>3</v>
      </c>
      <c r="M933" s="3">
        <v>31528</v>
      </c>
      <c r="N933" t="str" cm="1">
        <f t="array" ref="N933">_xlfn.IFS(Table1_3[[#This Row],[Patient Satisfaction Score]]&gt;=83,"High",H933&lt;=75,"Low",TRUE,"Moderate")</f>
        <v>High</v>
      </c>
      <c r="O933" t="str">
        <f t="shared" si="14"/>
        <v>Adult</v>
      </c>
    </row>
    <row r="934" spans="1:15">
      <c r="A934" t="s">
        <v>906</v>
      </c>
      <c r="B934" t="s">
        <v>62</v>
      </c>
      <c r="C934" t="s">
        <v>52</v>
      </c>
      <c r="D934" t="s">
        <v>16</v>
      </c>
      <c r="E934" s="2">
        <v>70</v>
      </c>
      <c r="F934" t="s">
        <v>22</v>
      </c>
      <c r="G934" t="s">
        <v>31</v>
      </c>
      <c r="H934" s="2">
        <v>80</v>
      </c>
      <c r="I934" s="3">
        <v>5970</v>
      </c>
      <c r="J934" s="4">
        <v>13.33</v>
      </c>
      <c r="K934" s="2">
        <v>70</v>
      </c>
      <c r="L934" s="2">
        <v>3</v>
      </c>
      <c r="M934" s="3">
        <v>18006</v>
      </c>
      <c r="N934" t="str" cm="1">
        <f t="array" ref="N934">_xlfn.IFS(Table1_3[[#This Row],[Patient Satisfaction Score]]&gt;=83,"High",H934&lt;=75,"Low",TRUE,"Moderate")</f>
        <v>Moderate</v>
      </c>
      <c r="O934" t="str">
        <f t="shared" si="14"/>
        <v>Adult</v>
      </c>
    </row>
    <row r="935" spans="1:15">
      <c r="A935" t="s">
        <v>584</v>
      </c>
      <c r="B935" t="s">
        <v>109</v>
      </c>
      <c r="C935" t="s">
        <v>30</v>
      </c>
      <c r="D935" t="s">
        <v>16</v>
      </c>
      <c r="E935" s="2">
        <v>70</v>
      </c>
      <c r="F935" t="s">
        <v>17</v>
      </c>
      <c r="G935" t="s">
        <v>70</v>
      </c>
      <c r="H935" s="2">
        <v>78</v>
      </c>
      <c r="I935" s="3">
        <v>3851</v>
      </c>
      <c r="J935" s="4">
        <v>8.0299999999999994</v>
      </c>
      <c r="K935" s="2">
        <v>65</v>
      </c>
      <c r="L935" s="2">
        <v>5</v>
      </c>
      <c r="M935" s="3">
        <v>11420</v>
      </c>
      <c r="N935" t="str" cm="1">
        <f t="array" ref="N935">_xlfn.IFS(Table1_3[[#This Row],[Patient Satisfaction Score]]&gt;=83,"High",H935&lt;=75,"Low",TRUE,"Moderate")</f>
        <v>Moderate</v>
      </c>
      <c r="O935" t="str">
        <f t="shared" si="14"/>
        <v>Adult</v>
      </c>
    </row>
    <row r="936" spans="1:15">
      <c r="A936" t="s">
        <v>610</v>
      </c>
      <c r="B936" t="s">
        <v>54</v>
      </c>
      <c r="C936" t="s">
        <v>15</v>
      </c>
      <c r="D936" t="s">
        <v>27</v>
      </c>
      <c r="E936" s="2">
        <v>70</v>
      </c>
      <c r="F936" t="s">
        <v>34</v>
      </c>
      <c r="G936" t="s">
        <v>40</v>
      </c>
      <c r="H936" s="2">
        <v>81</v>
      </c>
      <c r="I936" s="3">
        <v>7746</v>
      </c>
      <c r="J936" s="4">
        <v>19.36</v>
      </c>
      <c r="K936" s="2">
        <v>81</v>
      </c>
      <c r="L936" s="2">
        <v>4</v>
      </c>
      <c r="M936" s="3">
        <v>29205</v>
      </c>
      <c r="N936" t="str" cm="1">
        <f t="array" ref="N936">_xlfn.IFS(Table1_3[[#This Row],[Patient Satisfaction Score]]&gt;=83,"High",H936&lt;=75,"Low",TRUE,"Moderate")</f>
        <v>Moderate</v>
      </c>
      <c r="O936" t="str">
        <f t="shared" si="14"/>
        <v>Adult</v>
      </c>
    </row>
    <row r="937" spans="1:15">
      <c r="A937" t="s">
        <v>691</v>
      </c>
      <c r="B937" t="s">
        <v>14</v>
      </c>
      <c r="C937" t="s">
        <v>15</v>
      </c>
      <c r="D937" t="s">
        <v>27</v>
      </c>
      <c r="E937" s="2">
        <v>70</v>
      </c>
      <c r="F937" t="s">
        <v>17</v>
      </c>
      <c r="G937" t="s">
        <v>49</v>
      </c>
      <c r="H937" s="2">
        <v>76</v>
      </c>
      <c r="I937" s="3">
        <v>6445</v>
      </c>
      <c r="J937" s="4">
        <v>11.48</v>
      </c>
      <c r="K937" s="2">
        <v>72</v>
      </c>
      <c r="L937" s="2">
        <v>3</v>
      </c>
      <c r="M937" s="3">
        <v>33747</v>
      </c>
      <c r="N937" t="str" cm="1">
        <f t="array" ref="N937">_xlfn.IFS(Table1_3[[#This Row],[Patient Satisfaction Score]]&gt;=83,"High",H937&lt;=75,"Low",TRUE,"Moderate")</f>
        <v>Moderate</v>
      </c>
      <c r="O937" t="str">
        <f t="shared" si="14"/>
        <v>Adult</v>
      </c>
    </row>
    <row r="938" spans="1:15">
      <c r="A938" t="s">
        <v>670</v>
      </c>
      <c r="B938" t="s">
        <v>137</v>
      </c>
      <c r="C938" t="s">
        <v>26</v>
      </c>
      <c r="D938" t="s">
        <v>16</v>
      </c>
      <c r="E938" s="2">
        <v>71</v>
      </c>
      <c r="F938" t="s">
        <v>22</v>
      </c>
      <c r="G938" t="s">
        <v>40</v>
      </c>
      <c r="H938" s="2">
        <v>93</v>
      </c>
      <c r="I938" s="3">
        <v>2929</v>
      </c>
      <c r="J938" s="4">
        <v>5.32</v>
      </c>
      <c r="K938" s="2">
        <v>40</v>
      </c>
      <c r="L938" s="2">
        <v>4</v>
      </c>
      <c r="M938" s="3">
        <v>8693</v>
      </c>
      <c r="N938" t="str" cm="1">
        <f t="array" ref="N938">_xlfn.IFS(Table1_3[[#This Row],[Patient Satisfaction Score]]&gt;=83,"High",H938&lt;=75,"Low",TRUE,"Moderate")</f>
        <v>High</v>
      </c>
      <c r="O938" t="str">
        <f t="shared" si="14"/>
        <v>Adult</v>
      </c>
    </row>
    <row r="939" spans="1:15">
      <c r="A939" t="s">
        <v>1051</v>
      </c>
      <c r="B939" t="s">
        <v>135</v>
      </c>
      <c r="C939" t="s">
        <v>48</v>
      </c>
      <c r="D939" t="s">
        <v>27</v>
      </c>
      <c r="E939" s="2">
        <v>71</v>
      </c>
      <c r="F939" t="s">
        <v>22</v>
      </c>
      <c r="G939" t="s">
        <v>49</v>
      </c>
      <c r="H939" s="2">
        <v>77</v>
      </c>
      <c r="I939" s="3">
        <v>6172</v>
      </c>
      <c r="J939" s="4">
        <v>11.66</v>
      </c>
      <c r="K939" s="2">
        <v>100</v>
      </c>
      <c r="L939" s="2">
        <v>4</v>
      </c>
      <c r="M939" s="3">
        <v>31972</v>
      </c>
      <c r="N939" t="str" cm="1">
        <f t="array" ref="N939">_xlfn.IFS(Table1_3[[#This Row],[Patient Satisfaction Score]]&gt;=83,"High",H939&lt;=75,"Low",TRUE,"Moderate")</f>
        <v>Moderate</v>
      </c>
      <c r="O939" t="str">
        <f t="shared" si="14"/>
        <v>Adult</v>
      </c>
    </row>
    <row r="940" spans="1:15">
      <c r="A940" t="s">
        <v>197</v>
      </c>
      <c r="B940" t="s">
        <v>185</v>
      </c>
      <c r="C940" t="s">
        <v>52</v>
      </c>
      <c r="D940" t="s">
        <v>16</v>
      </c>
      <c r="E940" s="2">
        <v>71</v>
      </c>
      <c r="F940" t="s">
        <v>34</v>
      </c>
      <c r="G940" t="s">
        <v>18</v>
      </c>
      <c r="H940" s="2">
        <v>81</v>
      </c>
      <c r="I940" s="3">
        <v>5376</v>
      </c>
      <c r="J940" s="4">
        <v>15.85</v>
      </c>
      <c r="K940" s="2">
        <v>57</v>
      </c>
      <c r="L940" s="2">
        <v>4</v>
      </c>
      <c r="M940" s="3">
        <v>25829</v>
      </c>
      <c r="N940" t="str" cm="1">
        <f t="array" ref="N940">_xlfn.IFS(Table1_3[[#This Row],[Patient Satisfaction Score]]&gt;=83,"High",H940&lt;=75,"Low",TRUE,"Moderate")</f>
        <v>Moderate</v>
      </c>
      <c r="O940" t="str">
        <f t="shared" si="14"/>
        <v>Adult</v>
      </c>
    </row>
    <row r="941" spans="1:15">
      <c r="A941" t="s">
        <v>312</v>
      </c>
      <c r="B941" t="s">
        <v>51</v>
      </c>
      <c r="C941" t="s">
        <v>52</v>
      </c>
      <c r="D941" t="s">
        <v>16</v>
      </c>
      <c r="E941" s="2">
        <v>71</v>
      </c>
      <c r="F941" t="s">
        <v>22</v>
      </c>
      <c r="G941" t="s">
        <v>18</v>
      </c>
      <c r="H941" s="2">
        <v>86</v>
      </c>
      <c r="I941" s="3">
        <v>4605</v>
      </c>
      <c r="J941" s="4">
        <v>11.57</v>
      </c>
      <c r="K941" s="2">
        <v>77</v>
      </c>
      <c r="L941" s="2">
        <v>4</v>
      </c>
      <c r="M941" s="3">
        <v>16915</v>
      </c>
      <c r="N941" t="str" cm="1">
        <f t="array" ref="N941">_xlfn.IFS(Table1_3[[#This Row],[Patient Satisfaction Score]]&gt;=83,"High",H941&lt;=75,"Low",TRUE,"Moderate")</f>
        <v>High</v>
      </c>
      <c r="O941" t="str">
        <f t="shared" si="14"/>
        <v>Adult</v>
      </c>
    </row>
    <row r="942" spans="1:15">
      <c r="A942" t="s">
        <v>253</v>
      </c>
      <c r="B942" t="s">
        <v>168</v>
      </c>
      <c r="C942" t="s">
        <v>45</v>
      </c>
      <c r="D942" t="s">
        <v>16</v>
      </c>
      <c r="E942" s="2">
        <v>71</v>
      </c>
      <c r="F942" t="s">
        <v>17</v>
      </c>
      <c r="G942" t="s">
        <v>40</v>
      </c>
      <c r="H942" s="2">
        <v>81</v>
      </c>
      <c r="I942" s="3">
        <v>8038</v>
      </c>
      <c r="J942" s="4">
        <v>11.37</v>
      </c>
      <c r="K942" s="2">
        <v>70</v>
      </c>
      <c r="L942" s="2">
        <v>4</v>
      </c>
      <c r="M942" s="3">
        <v>43783</v>
      </c>
      <c r="N942" t="str" cm="1">
        <f t="array" ref="N942">_xlfn.IFS(Table1_3[[#This Row],[Patient Satisfaction Score]]&gt;=83,"High",H942&lt;=75,"Low",TRUE,"Moderate")</f>
        <v>Moderate</v>
      </c>
      <c r="O942" t="str">
        <f t="shared" si="14"/>
        <v>Adult</v>
      </c>
    </row>
    <row r="943" spans="1:15">
      <c r="A943" t="s">
        <v>595</v>
      </c>
      <c r="B943" t="s">
        <v>68</v>
      </c>
      <c r="C943" t="s">
        <v>45</v>
      </c>
      <c r="D943" t="s">
        <v>27</v>
      </c>
      <c r="E943" s="2">
        <v>71</v>
      </c>
      <c r="F943" t="s">
        <v>34</v>
      </c>
      <c r="G943" t="s">
        <v>70</v>
      </c>
      <c r="H943" s="2">
        <v>79</v>
      </c>
      <c r="I943" s="3">
        <v>8806</v>
      </c>
      <c r="J943" s="4">
        <v>21</v>
      </c>
      <c r="K943" s="2">
        <v>118</v>
      </c>
      <c r="L943" s="2">
        <v>4</v>
      </c>
      <c r="M943" s="3">
        <v>42944</v>
      </c>
      <c r="N943" t="str" cm="1">
        <f t="array" ref="N943">_xlfn.IFS(Table1_3[[#This Row],[Patient Satisfaction Score]]&gt;=83,"High",H943&lt;=75,"Low",TRUE,"Moderate")</f>
        <v>Moderate</v>
      </c>
      <c r="O943" t="str">
        <f t="shared" si="14"/>
        <v>Adult</v>
      </c>
    </row>
    <row r="944" spans="1:15">
      <c r="A944" t="s">
        <v>631</v>
      </c>
      <c r="B944" t="s">
        <v>56</v>
      </c>
      <c r="C944" t="s">
        <v>45</v>
      </c>
      <c r="D944" t="s">
        <v>27</v>
      </c>
      <c r="E944" s="2">
        <v>71</v>
      </c>
      <c r="F944" t="s">
        <v>34</v>
      </c>
      <c r="G944" t="s">
        <v>31</v>
      </c>
      <c r="H944" s="2">
        <v>77</v>
      </c>
      <c r="I944" s="3">
        <v>11154</v>
      </c>
      <c r="J944" s="4">
        <v>11.1</v>
      </c>
      <c r="K944" s="2">
        <v>83</v>
      </c>
      <c r="L944" s="2">
        <v>4</v>
      </c>
      <c r="M944" s="3">
        <v>64506</v>
      </c>
      <c r="N944" t="str" cm="1">
        <f t="array" ref="N944">_xlfn.IFS(Table1_3[[#This Row],[Patient Satisfaction Score]]&gt;=83,"High",H944&lt;=75,"Low",TRUE,"Moderate")</f>
        <v>Moderate</v>
      </c>
      <c r="O944" t="str">
        <f t="shared" si="14"/>
        <v>Adult</v>
      </c>
    </row>
    <row r="945" spans="1:15">
      <c r="A945" t="s">
        <v>87</v>
      </c>
      <c r="B945" t="s">
        <v>88</v>
      </c>
      <c r="C945" t="s">
        <v>15</v>
      </c>
      <c r="D945" t="s">
        <v>16</v>
      </c>
      <c r="E945" s="2">
        <v>71</v>
      </c>
      <c r="F945" t="s">
        <v>22</v>
      </c>
      <c r="G945" t="s">
        <v>18</v>
      </c>
      <c r="H945" s="2">
        <v>68</v>
      </c>
      <c r="I945" s="3">
        <v>7325</v>
      </c>
      <c r="J945" s="4">
        <v>16.7</v>
      </c>
      <c r="K945" s="2">
        <v>104</v>
      </c>
      <c r="L945" s="2">
        <v>3</v>
      </c>
      <c r="M945" s="3">
        <v>20721</v>
      </c>
      <c r="N945" t="str" cm="1">
        <f t="array" ref="N945">_xlfn.IFS(Table1_3[[#This Row],[Patient Satisfaction Score]]&gt;=83,"High",H945&lt;=75,"Low",TRUE,"Moderate")</f>
        <v>Low</v>
      </c>
      <c r="O945" t="str">
        <f t="shared" si="14"/>
        <v>Adult</v>
      </c>
    </row>
    <row r="946" spans="1:15">
      <c r="A946" t="s">
        <v>585</v>
      </c>
      <c r="B946" t="s">
        <v>25</v>
      </c>
      <c r="C946" t="s">
        <v>26</v>
      </c>
      <c r="D946" t="s">
        <v>16</v>
      </c>
      <c r="E946" s="2">
        <v>72</v>
      </c>
      <c r="F946" t="s">
        <v>17</v>
      </c>
      <c r="G946" t="s">
        <v>49</v>
      </c>
      <c r="H946" s="2">
        <v>97</v>
      </c>
      <c r="I946" s="3">
        <v>1186</v>
      </c>
      <c r="J946" s="4">
        <v>2.91</v>
      </c>
      <c r="K946" s="2">
        <v>21</v>
      </c>
      <c r="L946" s="2">
        <v>4</v>
      </c>
      <c r="M946" s="3">
        <v>5354</v>
      </c>
      <c r="N946" t="str" cm="1">
        <f t="array" ref="N946">_xlfn.IFS(Table1_3[[#This Row],[Patient Satisfaction Score]]&gt;=83,"High",H946&lt;=75,"Low",TRUE,"Moderate")</f>
        <v>High</v>
      </c>
      <c r="O946" t="str">
        <f t="shared" si="14"/>
        <v>Adult</v>
      </c>
    </row>
    <row r="947" spans="1:15">
      <c r="A947" t="s">
        <v>57</v>
      </c>
      <c r="B947" t="s">
        <v>58</v>
      </c>
      <c r="C947" t="s">
        <v>48</v>
      </c>
      <c r="D947" t="s">
        <v>16</v>
      </c>
      <c r="E947" s="2">
        <v>72</v>
      </c>
      <c r="F947" t="s">
        <v>17</v>
      </c>
      <c r="G947" t="s">
        <v>49</v>
      </c>
      <c r="H947" s="2">
        <v>77</v>
      </c>
      <c r="I947" s="3">
        <v>5628</v>
      </c>
      <c r="J947" s="4">
        <v>14.69</v>
      </c>
      <c r="K947" s="2">
        <v>78</v>
      </c>
      <c r="L947" s="2">
        <v>4</v>
      </c>
      <c r="M947" s="3">
        <v>22483</v>
      </c>
      <c r="N947" t="str" cm="1">
        <f t="array" ref="N947">_xlfn.IFS(Table1_3[[#This Row],[Patient Satisfaction Score]]&gt;=83,"High",H947&lt;=75,"Low",TRUE,"Moderate")</f>
        <v>Moderate</v>
      </c>
      <c r="O947" t="str">
        <f t="shared" si="14"/>
        <v>Adult</v>
      </c>
    </row>
    <row r="948" spans="1:15">
      <c r="A948" t="s">
        <v>738</v>
      </c>
      <c r="B948" t="s">
        <v>150</v>
      </c>
      <c r="C948" t="s">
        <v>48</v>
      </c>
      <c r="D948" t="s">
        <v>16</v>
      </c>
      <c r="E948" s="2">
        <v>72</v>
      </c>
      <c r="F948" t="s">
        <v>34</v>
      </c>
      <c r="G948" t="s">
        <v>31</v>
      </c>
      <c r="H948" s="2">
        <v>79</v>
      </c>
      <c r="I948" s="3">
        <v>7047</v>
      </c>
      <c r="J948" s="4">
        <v>8.14</v>
      </c>
      <c r="K948" s="2">
        <v>91</v>
      </c>
      <c r="L948" s="2">
        <v>4</v>
      </c>
      <c r="M948" s="3">
        <v>33076</v>
      </c>
      <c r="N948" t="str" cm="1">
        <f t="array" ref="N948">_xlfn.IFS(Table1_3[[#This Row],[Patient Satisfaction Score]]&gt;=83,"High",H948&lt;=75,"Low",TRUE,"Moderate")</f>
        <v>Moderate</v>
      </c>
      <c r="O948" t="str">
        <f t="shared" si="14"/>
        <v>Adult</v>
      </c>
    </row>
    <row r="949" spans="1:15">
      <c r="A949" t="s">
        <v>862</v>
      </c>
      <c r="B949" t="s">
        <v>62</v>
      </c>
      <c r="C949" t="s">
        <v>52</v>
      </c>
      <c r="D949" t="s">
        <v>27</v>
      </c>
      <c r="E949" s="2">
        <v>72</v>
      </c>
      <c r="F949" t="s">
        <v>22</v>
      </c>
      <c r="G949" t="s">
        <v>70</v>
      </c>
      <c r="H949" s="2">
        <v>83</v>
      </c>
      <c r="I949" s="3">
        <v>5870</v>
      </c>
      <c r="J949" s="4">
        <v>5.29</v>
      </c>
      <c r="K949" s="2">
        <v>49</v>
      </c>
      <c r="L949" s="2">
        <v>4</v>
      </c>
      <c r="M949" s="3">
        <v>19333</v>
      </c>
      <c r="N949" t="str" cm="1">
        <f t="array" ref="N949">_xlfn.IFS(Table1_3[[#This Row],[Patient Satisfaction Score]]&gt;=83,"High",H949&lt;=75,"Low",TRUE,"Moderate")</f>
        <v>High</v>
      </c>
      <c r="O949" t="str">
        <f t="shared" si="14"/>
        <v>Adult</v>
      </c>
    </row>
    <row r="950" spans="1:15">
      <c r="A950" t="s">
        <v>73</v>
      </c>
      <c r="B950" t="s">
        <v>74</v>
      </c>
      <c r="C950" t="s">
        <v>45</v>
      </c>
      <c r="D950" t="s">
        <v>16</v>
      </c>
      <c r="E950" s="2">
        <v>72</v>
      </c>
      <c r="F950" t="s">
        <v>17</v>
      </c>
      <c r="G950" t="s">
        <v>18</v>
      </c>
      <c r="H950" s="2">
        <v>62</v>
      </c>
      <c r="I950" s="3">
        <v>8415</v>
      </c>
      <c r="J950" s="4">
        <v>16.18</v>
      </c>
      <c r="K950" s="2">
        <v>145</v>
      </c>
      <c r="L950" s="2">
        <v>4</v>
      </c>
      <c r="M950" s="3">
        <v>31322</v>
      </c>
      <c r="N950" t="str" cm="1">
        <f t="array" ref="N950">_xlfn.IFS(Table1_3[[#This Row],[Patient Satisfaction Score]]&gt;=83,"High",H950&lt;=75,"Low",TRUE,"Moderate")</f>
        <v>Low</v>
      </c>
      <c r="O950" t="str">
        <f t="shared" si="14"/>
        <v>Adult</v>
      </c>
    </row>
    <row r="951" spans="1:15">
      <c r="A951" t="s">
        <v>745</v>
      </c>
      <c r="B951" t="s">
        <v>97</v>
      </c>
      <c r="C951" t="s">
        <v>30</v>
      </c>
      <c r="D951" t="s">
        <v>16</v>
      </c>
      <c r="E951" s="2">
        <v>72</v>
      </c>
      <c r="F951" t="s">
        <v>34</v>
      </c>
      <c r="G951" t="s">
        <v>18</v>
      </c>
      <c r="H951" s="2">
        <v>81</v>
      </c>
      <c r="I951" s="3">
        <v>4148</v>
      </c>
      <c r="J951" s="4">
        <v>18.91</v>
      </c>
      <c r="K951" s="2">
        <v>103</v>
      </c>
      <c r="L951" s="2">
        <v>3</v>
      </c>
      <c r="M951" s="3">
        <v>19516</v>
      </c>
      <c r="N951" t="str" cm="1">
        <f t="array" ref="N951">_xlfn.IFS(Table1_3[[#This Row],[Patient Satisfaction Score]]&gt;=83,"High",H951&lt;=75,"Low",TRUE,"Moderate")</f>
        <v>Moderate</v>
      </c>
      <c r="O951" t="str">
        <f t="shared" si="14"/>
        <v>Adult</v>
      </c>
    </row>
    <row r="952" spans="1:15">
      <c r="A952" t="s">
        <v>665</v>
      </c>
      <c r="B952" t="s">
        <v>54</v>
      </c>
      <c r="C952" t="s">
        <v>15</v>
      </c>
      <c r="D952" t="s">
        <v>72</v>
      </c>
      <c r="E952" s="2">
        <v>72</v>
      </c>
      <c r="F952" t="s">
        <v>34</v>
      </c>
      <c r="G952" t="s">
        <v>23</v>
      </c>
      <c r="H952" s="2">
        <v>82</v>
      </c>
      <c r="I952" s="3">
        <v>7329</v>
      </c>
      <c r="J952" s="4">
        <v>13.84</v>
      </c>
      <c r="K952" s="2">
        <v>52</v>
      </c>
      <c r="L952" s="2">
        <v>4</v>
      </c>
      <c r="M952" s="3">
        <v>21557</v>
      </c>
      <c r="N952" t="str" cm="1">
        <f t="array" ref="N952">_xlfn.IFS(Table1_3[[#This Row],[Patient Satisfaction Score]]&gt;=83,"High",H952&lt;=75,"Low",TRUE,"Moderate")</f>
        <v>Moderate</v>
      </c>
      <c r="O952" t="str">
        <f t="shared" si="14"/>
        <v>Adult</v>
      </c>
    </row>
    <row r="953" spans="1:15">
      <c r="A953" t="s">
        <v>1059</v>
      </c>
      <c r="B953" t="s">
        <v>135</v>
      </c>
      <c r="C953" t="s">
        <v>48</v>
      </c>
      <c r="D953" t="s">
        <v>27</v>
      </c>
      <c r="E953" s="2">
        <v>73</v>
      </c>
      <c r="F953" t="s">
        <v>17</v>
      </c>
      <c r="G953" t="s">
        <v>49</v>
      </c>
      <c r="H953" s="2">
        <v>84</v>
      </c>
      <c r="I953" s="3">
        <v>4341</v>
      </c>
      <c r="J953" s="4">
        <v>5.76</v>
      </c>
      <c r="K953" s="2">
        <v>76</v>
      </c>
      <c r="L953" s="2">
        <v>4</v>
      </c>
      <c r="M953" s="3">
        <v>17130</v>
      </c>
      <c r="N953" t="str" cm="1">
        <f t="array" ref="N953">_xlfn.IFS(Table1_3[[#This Row],[Patient Satisfaction Score]]&gt;=83,"High",H953&lt;=75,"Low",TRUE,"Moderate")</f>
        <v>High</v>
      </c>
      <c r="O953" t="str">
        <f t="shared" si="14"/>
        <v>Adult</v>
      </c>
    </row>
    <row r="954" spans="1:15">
      <c r="A954" t="s">
        <v>184</v>
      </c>
      <c r="B954" t="s">
        <v>185</v>
      </c>
      <c r="C954" t="s">
        <v>52</v>
      </c>
      <c r="D954" t="s">
        <v>27</v>
      </c>
      <c r="E954" s="2">
        <v>73</v>
      </c>
      <c r="F954" t="s">
        <v>34</v>
      </c>
      <c r="G954" t="s">
        <v>70</v>
      </c>
      <c r="H954" s="2">
        <v>82</v>
      </c>
      <c r="I954" s="3">
        <v>9650</v>
      </c>
      <c r="J954" s="4">
        <v>8.06</v>
      </c>
      <c r="K954" s="2">
        <v>83</v>
      </c>
      <c r="L954" s="2">
        <v>4</v>
      </c>
      <c r="M954" s="3">
        <v>31993</v>
      </c>
      <c r="N954" t="str" cm="1">
        <f t="array" ref="N954">_xlfn.IFS(Table1_3[[#This Row],[Patient Satisfaction Score]]&gt;=83,"High",H954&lt;=75,"Low",TRUE,"Moderate")</f>
        <v>Moderate</v>
      </c>
      <c r="O954" t="str">
        <f t="shared" si="14"/>
        <v>Adult</v>
      </c>
    </row>
    <row r="955" spans="1:15">
      <c r="A955" t="s">
        <v>67</v>
      </c>
      <c r="B955" t="s">
        <v>68</v>
      </c>
      <c r="C955" t="s">
        <v>45</v>
      </c>
      <c r="D955" t="s">
        <v>27</v>
      </c>
      <c r="E955" s="2">
        <v>73</v>
      </c>
      <c r="F955" t="s">
        <v>17</v>
      </c>
      <c r="G955" t="s">
        <v>31</v>
      </c>
      <c r="H955" s="2">
        <v>69</v>
      </c>
      <c r="I955" s="3">
        <v>10056</v>
      </c>
      <c r="J955" s="4">
        <v>25.76</v>
      </c>
      <c r="K955" s="2">
        <v>66</v>
      </c>
      <c r="L955" s="2">
        <v>3</v>
      </c>
      <c r="M955" s="3">
        <v>26575</v>
      </c>
      <c r="N955" t="str" cm="1">
        <f t="array" ref="N955">_xlfn.IFS(Table1_3[[#This Row],[Patient Satisfaction Score]]&gt;=83,"High",H955&lt;=75,"Low",TRUE,"Moderate")</f>
        <v>Low</v>
      </c>
      <c r="O955" t="str">
        <f t="shared" si="14"/>
        <v>Adult</v>
      </c>
    </row>
    <row r="956" spans="1:15">
      <c r="A956" t="s">
        <v>996</v>
      </c>
      <c r="B956" t="s">
        <v>14</v>
      </c>
      <c r="C956" t="s">
        <v>15</v>
      </c>
      <c r="D956" t="s">
        <v>16</v>
      </c>
      <c r="E956" s="2">
        <v>73</v>
      </c>
      <c r="F956" t="s">
        <v>22</v>
      </c>
      <c r="G956" t="s">
        <v>23</v>
      </c>
      <c r="H956" s="2">
        <v>77</v>
      </c>
      <c r="I956" s="3">
        <v>6661</v>
      </c>
      <c r="J956" s="4">
        <v>21.87</v>
      </c>
      <c r="K956" s="2">
        <v>78</v>
      </c>
      <c r="L956" s="2">
        <v>4</v>
      </c>
      <c r="M956" s="3">
        <v>31917</v>
      </c>
      <c r="N956" t="str" cm="1">
        <f t="array" ref="N956">_xlfn.IFS(Table1_3[[#This Row],[Patient Satisfaction Score]]&gt;=83,"High",H956&lt;=75,"Low",TRUE,"Moderate")</f>
        <v>Moderate</v>
      </c>
      <c r="O956" t="str">
        <f t="shared" si="14"/>
        <v>Adult</v>
      </c>
    </row>
    <row r="957" spans="1:15">
      <c r="A957" t="s">
        <v>692</v>
      </c>
      <c r="B957" t="s">
        <v>25</v>
      </c>
      <c r="C957" t="s">
        <v>26</v>
      </c>
      <c r="D957" t="s">
        <v>72</v>
      </c>
      <c r="E957" s="2">
        <v>74</v>
      </c>
      <c r="F957" t="s">
        <v>34</v>
      </c>
      <c r="G957" t="s">
        <v>18</v>
      </c>
      <c r="H957" s="2">
        <v>82</v>
      </c>
      <c r="I957" s="3">
        <v>1579</v>
      </c>
      <c r="J957" s="4">
        <v>8.57</v>
      </c>
      <c r="K957" s="2">
        <v>43</v>
      </c>
      <c r="L957" s="2">
        <v>4</v>
      </c>
      <c r="M957" s="3">
        <v>5187</v>
      </c>
      <c r="N957" t="str" cm="1">
        <f t="array" ref="N957">_xlfn.IFS(Table1_3[[#This Row],[Patient Satisfaction Score]]&gt;=83,"High",H957&lt;=75,"Low",TRUE,"Moderate")</f>
        <v>Moderate</v>
      </c>
      <c r="O957" t="str">
        <f t="shared" si="14"/>
        <v>Adult</v>
      </c>
    </row>
    <row r="958" spans="1:15">
      <c r="A958" t="s">
        <v>275</v>
      </c>
      <c r="B958" t="s">
        <v>135</v>
      </c>
      <c r="C958" t="s">
        <v>48</v>
      </c>
      <c r="D958" t="s">
        <v>16</v>
      </c>
      <c r="E958" s="2">
        <v>74</v>
      </c>
      <c r="F958" t="s">
        <v>34</v>
      </c>
      <c r="G958" t="s">
        <v>23</v>
      </c>
      <c r="H958" s="2">
        <v>70</v>
      </c>
      <c r="I958" s="3">
        <v>6894</v>
      </c>
      <c r="J958" s="4">
        <v>14.37</v>
      </c>
      <c r="K958" s="2">
        <v>110</v>
      </c>
      <c r="L958" s="2">
        <v>4</v>
      </c>
      <c r="M958" s="3">
        <v>25397</v>
      </c>
      <c r="N958" t="str" cm="1">
        <f t="array" ref="N958">_xlfn.IFS(Table1_3[[#This Row],[Patient Satisfaction Score]]&gt;=83,"High",H958&lt;=75,"Low",TRUE,"Moderate")</f>
        <v>Low</v>
      </c>
      <c r="O958" t="str">
        <f t="shared" si="14"/>
        <v>Adult</v>
      </c>
    </row>
    <row r="959" spans="1:15">
      <c r="A959" t="s">
        <v>666</v>
      </c>
      <c r="B959" t="s">
        <v>135</v>
      </c>
      <c r="C959" t="s">
        <v>48</v>
      </c>
      <c r="D959" t="s">
        <v>16</v>
      </c>
      <c r="E959" s="2">
        <v>74</v>
      </c>
      <c r="F959" t="s">
        <v>17</v>
      </c>
      <c r="G959" t="s">
        <v>18</v>
      </c>
      <c r="H959" s="2">
        <v>83</v>
      </c>
      <c r="I959" s="3">
        <v>7154</v>
      </c>
      <c r="J959" s="4">
        <v>11.05</v>
      </c>
      <c r="K959" s="2">
        <v>83</v>
      </c>
      <c r="L959" s="2">
        <v>4</v>
      </c>
      <c r="M959" s="3">
        <v>33496</v>
      </c>
      <c r="N959" t="str" cm="1">
        <f t="array" ref="N959">_xlfn.IFS(Table1_3[[#This Row],[Patient Satisfaction Score]]&gt;=83,"High",H959&lt;=75,"Low",TRUE,"Moderate")</f>
        <v>High</v>
      </c>
      <c r="O959" t="str">
        <f t="shared" si="14"/>
        <v>Adult</v>
      </c>
    </row>
    <row r="960" spans="1:15">
      <c r="A960" t="s">
        <v>390</v>
      </c>
      <c r="B960" t="s">
        <v>95</v>
      </c>
      <c r="C960" t="s">
        <v>52</v>
      </c>
      <c r="D960" t="s">
        <v>27</v>
      </c>
      <c r="E960" s="2">
        <v>74</v>
      </c>
      <c r="F960" t="s">
        <v>34</v>
      </c>
      <c r="G960" t="s">
        <v>18</v>
      </c>
      <c r="H960" s="2">
        <v>71</v>
      </c>
      <c r="I960" s="3">
        <v>7499</v>
      </c>
      <c r="J960" s="4">
        <v>14</v>
      </c>
      <c r="K960" s="2">
        <v>87</v>
      </c>
      <c r="L960" s="2">
        <v>4</v>
      </c>
      <c r="M960" s="3">
        <v>27190</v>
      </c>
      <c r="N960" t="str" cm="1">
        <f t="array" ref="N960">_xlfn.IFS(Table1_3[[#This Row],[Patient Satisfaction Score]]&gt;=83,"High",H960&lt;=75,"Low",TRUE,"Moderate")</f>
        <v>Low</v>
      </c>
      <c r="O960" t="str">
        <f t="shared" si="14"/>
        <v>Adult</v>
      </c>
    </row>
    <row r="961" spans="1:15">
      <c r="A961" t="s">
        <v>484</v>
      </c>
      <c r="B961" t="s">
        <v>51</v>
      </c>
      <c r="C961" t="s">
        <v>52</v>
      </c>
      <c r="D961" t="s">
        <v>16</v>
      </c>
      <c r="E961" s="2">
        <v>74</v>
      </c>
      <c r="F961" t="s">
        <v>17</v>
      </c>
      <c r="G961" t="s">
        <v>49</v>
      </c>
      <c r="H961" s="2">
        <v>80</v>
      </c>
      <c r="I961" s="3">
        <v>8346</v>
      </c>
      <c r="J961" s="4">
        <v>9.61</v>
      </c>
      <c r="K961" s="2">
        <v>56</v>
      </c>
      <c r="L961" s="2">
        <v>4</v>
      </c>
      <c r="M961" s="3">
        <v>27253</v>
      </c>
      <c r="N961" t="str" cm="1">
        <f t="array" ref="N961">_xlfn.IFS(Table1_3[[#This Row],[Patient Satisfaction Score]]&gt;=83,"High",H961&lt;=75,"Low",TRUE,"Moderate")</f>
        <v>Moderate</v>
      </c>
      <c r="O961" t="str">
        <f t="shared" si="14"/>
        <v>Adult</v>
      </c>
    </row>
    <row r="962" spans="1:15">
      <c r="A962" t="s">
        <v>361</v>
      </c>
      <c r="B962" t="s">
        <v>143</v>
      </c>
      <c r="C962" t="s">
        <v>21</v>
      </c>
      <c r="D962" t="s">
        <v>27</v>
      </c>
      <c r="E962" s="2">
        <v>74</v>
      </c>
      <c r="F962" t="s">
        <v>34</v>
      </c>
      <c r="G962" t="s">
        <v>18</v>
      </c>
      <c r="H962" s="2">
        <v>75</v>
      </c>
      <c r="I962" s="3">
        <v>6267</v>
      </c>
      <c r="J962" s="4">
        <v>15.33</v>
      </c>
      <c r="K962" s="2">
        <v>90</v>
      </c>
      <c r="L962" s="2">
        <v>3</v>
      </c>
      <c r="M962" s="3">
        <v>22144</v>
      </c>
      <c r="N962" t="str" cm="1">
        <f t="array" ref="N962">_xlfn.IFS(Table1_3[[#This Row],[Patient Satisfaction Score]]&gt;=83,"High",H962&lt;=75,"Low",TRUE,"Moderate")</f>
        <v>Low</v>
      </c>
      <c r="O962" t="str">
        <f t="shared" ref="O962:O1001" si="15">IF(E962&lt;19,"Pediatric","Adult")</f>
        <v>Adult</v>
      </c>
    </row>
    <row r="963" spans="1:15">
      <c r="A963" t="s">
        <v>758</v>
      </c>
      <c r="B963" t="s">
        <v>68</v>
      </c>
      <c r="C963" t="s">
        <v>45</v>
      </c>
      <c r="D963" t="s">
        <v>27</v>
      </c>
      <c r="E963" s="2">
        <v>74</v>
      </c>
      <c r="F963" t="s">
        <v>22</v>
      </c>
      <c r="G963" t="s">
        <v>49</v>
      </c>
      <c r="H963" s="2">
        <v>71</v>
      </c>
      <c r="I963" s="3">
        <v>7133</v>
      </c>
      <c r="J963" s="4">
        <v>19.66</v>
      </c>
      <c r="K963" s="2">
        <v>81</v>
      </c>
      <c r="L963" s="2">
        <v>3</v>
      </c>
      <c r="M963" s="3">
        <v>28096</v>
      </c>
      <c r="N963" t="str" cm="1">
        <f t="array" ref="N963">_xlfn.IFS(Table1_3[[#This Row],[Patient Satisfaction Score]]&gt;=83,"High",H963&lt;=75,"Low",TRUE,"Moderate")</f>
        <v>Low</v>
      </c>
      <c r="O963" t="str">
        <f t="shared" si="15"/>
        <v>Adult</v>
      </c>
    </row>
    <row r="964" spans="1:15">
      <c r="A964" t="s">
        <v>136</v>
      </c>
      <c r="B964" t="s">
        <v>137</v>
      </c>
      <c r="C964" t="s">
        <v>26</v>
      </c>
      <c r="D964" t="s">
        <v>27</v>
      </c>
      <c r="E964" s="2">
        <v>75</v>
      </c>
      <c r="F964" t="s">
        <v>17</v>
      </c>
      <c r="G964" t="s">
        <v>31</v>
      </c>
      <c r="H964" s="2">
        <v>82</v>
      </c>
      <c r="I964" s="3">
        <v>1981</v>
      </c>
      <c r="J964" s="4">
        <v>4.24</v>
      </c>
      <c r="K964" s="2">
        <v>55</v>
      </c>
      <c r="L964" s="2">
        <v>4</v>
      </c>
      <c r="M964" s="3">
        <v>9430</v>
      </c>
      <c r="N964" t="str" cm="1">
        <f t="array" ref="N964">_xlfn.IFS(Table1_3[[#This Row],[Patient Satisfaction Score]]&gt;=83,"High",H964&lt;=75,"Low",TRUE,"Moderate")</f>
        <v>Moderate</v>
      </c>
      <c r="O964" t="str">
        <f t="shared" si="15"/>
        <v>Adult</v>
      </c>
    </row>
    <row r="965" spans="1:15">
      <c r="A965" t="s">
        <v>375</v>
      </c>
      <c r="B965" t="s">
        <v>25</v>
      </c>
      <c r="C965" t="s">
        <v>26</v>
      </c>
      <c r="D965" t="s">
        <v>16</v>
      </c>
      <c r="E965" s="2">
        <v>75</v>
      </c>
      <c r="F965" t="s">
        <v>17</v>
      </c>
      <c r="G965" t="s">
        <v>31</v>
      </c>
      <c r="H965" s="2">
        <v>85</v>
      </c>
      <c r="I965" s="3">
        <v>2596</v>
      </c>
      <c r="J965" s="4">
        <v>4.41</v>
      </c>
      <c r="K965" s="2">
        <v>29</v>
      </c>
      <c r="L965" s="2">
        <v>4</v>
      </c>
      <c r="M965" s="3">
        <v>7017</v>
      </c>
      <c r="N965" t="str" cm="1">
        <f t="array" ref="N965">_xlfn.IFS(Table1_3[[#This Row],[Patient Satisfaction Score]]&gt;=83,"High",H965&lt;=75,"Low",TRUE,"Moderate")</f>
        <v>High</v>
      </c>
      <c r="O965" t="str">
        <f t="shared" si="15"/>
        <v>Adult</v>
      </c>
    </row>
    <row r="966" spans="1:15">
      <c r="A966" t="s">
        <v>262</v>
      </c>
      <c r="B966" t="s">
        <v>58</v>
      </c>
      <c r="C966" t="s">
        <v>48</v>
      </c>
      <c r="D966" t="s">
        <v>27</v>
      </c>
      <c r="E966" s="2">
        <v>75</v>
      </c>
      <c r="F966" t="s">
        <v>34</v>
      </c>
      <c r="G966" t="s">
        <v>49</v>
      </c>
      <c r="H966" s="2">
        <v>74</v>
      </c>
      <c r="I966" s="3">
        <v>5743</v>
      </c>
      <c r="J966" s="4">
        <v>17.96</v>
      </c>
      <c r="K966" s="2">
        <v>99</v>
      </c>
      <c r="L966" s="2">
        <v>4</v>
      </c>
      <c r="M966" s="3">
        <v>34129</v>
      </c>
      <c r="N966" t="str" cm="1">
        <f t="array" ref="N966">_xlfn.IFS(Table1_3[[#This Row],[Patient Satisfaction Score]]&gt;=83,"High",H966&lt;=75,"Low",TRUE,"Moderate")</f>
        <v>Low</v>
      </c>
      <c r="O966" t="str">
        <f t="shared" si="15"/>
        <v>Adult</v>
      </c>
    </row>
    <row r="967" spans="1:15">
      <c r="A967" t="s">
        <v>647</v>
      </c>
      <c r="B967" t="s">
        <v>84</v>
      </c>
      <c r="C967" t="s">
        <v>21</v>
      </c>
      <c r="D967" t="s">
        <v>27</v>
      </c>
      <c r="E967" s="2">
        <v>75</v>
      </c>
      <c r="F967" t="s">
        <v>17</v>
      </c>
      <c r="G967" t="s">
        <v>70</v>
      </c>
      <c r="H967" s="2">
        <v>70</v>
      </c>
      <c r="I967" s="3">
        <v>4081</v>
      </c>
      <c r="J967" s="4">
        <v>18.46</v>
      </c>
      <c r="K967" s="2">
        <v>103</v>
      </c>
      <c r="L967" s="2">
        <v>4</v>
      </c>
      <c r="M967" s="3">
        <v>23020</v>
      </c>
      <c r="N967" t="str" cm="1">
        <f t="array" ref="N967">_xlfn.IFS(Table1_3[[#This Row],[Patient Satisfaction Score]]&gt;=83,"High",H967&lt;=75,"Low",TRUE,"Moderate")</f>
        <v>Low</v>
      </c>
      <c r="O967" t="str">
        <f t="shared" si="15"/>
        <v>Adult</v>
      </c>
    </row>
    <row r="968" spans="1:15">
      <c r="A968" t="s">
        <v>226</v>
      </c>
      <c r="B968" t="s">
        <v>29</v>
      </c>
      <c r="C968" t="s">
        <v>30</v>
      </c>
      <c r="D968" t="s">
        <v>27</v>
      </c>
      <c r="E968" s="2">
        <v>75</v>
      </c>
      <c r="F968" t="s">
        <v>34</v>
      </c>
      <c r="G968" t="s">
        <v>70</v>
      </c>
      <c r="H968" s="2">
        <v>69</v>
      </c>
      <c r="I968" s="3">
        <v>3255</v>
      </c>
      <c r="J968" s="4">
        <v>16.600000000000001</v>
      </c>
      <c r="K968" s="2">
        <v>127</v>
      </c>
      <c r="L968" s="2">
        <v>4</v>
      </c>
      <c r="M968" s="3">
        <v>17754</v>
      </c>
      <c r="N968" t="str" cm="1">
        <f t="array" ref="N968">_xlfn.IFS(Table1_3[[#This Row],[Patient Satisfaction Score]]&gt;=83,"High",H968&lt;=75,"Low",TRUE,"Moderate")</f>
        <v>Low</v>
      </c>
      <c r="O968" t="str">
        <f t="shared" si="15"/>
        <v>Adult</v>
      </c>
    </row>
    <row r="969" spans="1:15">
      <c r="A969" t="s">
        <v>341</v>
      </c>
      <c r="B969" t="s">
        <v>25</v>
      </c>
      <c r="C969" t="s">
        <v>26</v>
      </c>
      <c r="D969" t="s">
        <v>27</v>
      </c>
      <c r="E969" s="2">
        <v>76</v>
      </c>
      <c r="F969" t="s">
        <v>22</v>
      </c>
      <c r="G969" t="s">
        <v>23</v>
      </c>
      <c r="H969" s="2">
        <v>81</v>
      </c>
      <c r="I969" s="3">
        <v>2006</v>
      </c>
      <c r="J969" s="4">
        <v>10.93</v>
      </c>
      <c r="K969" s="2">
        <v>60</v>
      </c>
      <c r="L969" s="2">
        <v>4</v>
      </c>
      <c r="M969" s="3">
        <v>6016</v>
      </c>
      <c r="N969" t="str" cm="1">
        <f t="array" ref="N969">_xlfn.IFS(Table1_3[[#This Row],[Patient Satisfaction Score]]&gt;=83,"High",H969&lt;=75,"Low",TRUE,"Moderate")</f>
        <v>Moderate</v>
      </c>
      <c r="O969" t="str">
        <f t="shared" si="15"/>
        <v>Adult</v>
      </c>
    </row>
    <row r="970" spans="1:15">
      <c r="A970" t="s">
        <v>121</v>
      </c>
      <c r="B970" t="s">
        <v>122</v>
      </c>
      <c r="C970" t="s">
        <v>48</v>
      </c>
      <c r="D970" t="s">
        <v>27</v>
      </c>
      <c r="E970" s="2">
        <v>76</v>
      </c>
      <c r="F970" t="s">
        <v>17</v>
      </c>
      <c r="G970" t="s">
        <v>23</v>
      </c>
      <c r="H970" s="2">
        <v>90</v>
      </c>
      <c r="I970" s="3">
        <v>7415</v>
      </c>
      <c r="J970" s="4">
        <v>12.27</v>
      </c>
      <c r="K970" s="2">
        <v>77</v>
      </c>
      <c r="L970" s="2">
        <v>5</v>
      </c>
      <c r="M970" s="3">
        <v>41288</v>
      </c>
      <c r="N970" t="str" cm="1">
        <f t="array" ref="N970">_xlfn.IFS(Table1_3[[#This Row],[Patient Satisfaction Score]]&gt;=83,"High",H970&lt;=75,"Low",TRUE,"Moderate")</f>
        <v>High</v>
      </c>
      <c r="O970" t="str">
        <f t="shared" si="15"/>
        <v>Adult</v>
      </c>
    </row>
    <row r="971" spans="1:15">
      <c r="A971" t="s">
        <v>674</v>
      </c>
      <c r="B971" t="s">
        <v>56</v>
      </c>
      <c r="C971" t="s">
        <v>45</v>
      </c>
      <c r="D971" t="s">
        <v>27</v>
      </c>
      <c r="E971" s="2">
        <v>76</v>
      </c>
      <c r="F971" t="s">
        <v>34</v>
      </c>
      <c r="G971" t="s">
        <v>40</v>
      </c>
      <c r="H971" s="2">
        <v>78</v>
      </c>
      <c r="I971" s="3">
        <v>11933</v>
      </c>
      <c r="J971" s="4">
        <v>15.51</v>
      </c>
      <c r="K971" s="2">
        <v>64</v>
      </c>
      <c r="L971" s="2">
        <v>3</v>
      </c>
      <c r="M971" s="3">
        <v>36849</v>
      </c>
      <c r="N971" t="str" cm="1">
        <f t="array" ref="N971">_xlfn.IFS(Table1_3[[#This Row],[Patient Satisfaction Score]]&gt;=83,"High",H971&lt;=75,"Low",TRUE,"Moderate")</f>
        <v>Moderate</v>
      </c>
      <c r="O971" t="str">
        <f t="shared" si="15"/>
        <v>Adult</v>
      </c>
    </row>
    <row r="972" spans="1:15">
      <c r="A972" t="s">
        <v>533</v>
      </c>
      <c r="B972" t="s">
        <v>64</v>
      </c>
      <c r="C972" t="s">
        <v>30</v>
      </c>
      <c r="D972" t="s">
        <v>27</v>
      </c>
      <c r="E972" s="2">
        <v>76</v>
      </c>
      <c r="F972" t="s">
        <v>17</v>
      </c>
      <c r="G972" t="s">
        <v>31</v>
      </c>
      <c r="H972" s="2">
        <v>79</v>
      </c>
      <c r="I972" s="3">
        <v>3867</v>
      </c>
      <c r="J972" s="4">
        <v>13.45</v>
      </c>
      <c r="K972" s="2">
        <v>92</v>
      </c>
      <c r="L972" s="2">
        <v>4</v>
      </c>
      <c r="M972" s="3">
        <v>21790</v>
      </c>
      <c r="N972" t="str" cm="1">
        <f t="array" ref="N972">_xlfn.IFS(Table1_3[[#This Row],[Patient Satisfaction Score]]&gt;=83,"High",H972&lt;=75,"Low",TRUE,"Moderate")</f>
        <v>Moderate</v>
      </c>
      <c r="O972" t="str">
        <f t="shared" si="15"/>
        <v>Adult</v>
      </c>
    </row>
    <row r="973" spans="1:15">
      <c r="A973" t="s">
        <v>519</v>
      </c>
      <c r="B973" t="s">
        <v>58</v>
      </c>
      <c r="C973" t="s">
        <v>48</v>
      </c>
      <c r="D973" t="s">
        <v>16</v>
      </c>
      <c r="E973" s="2">
        <v>77</v>
      </c>
      <c r="F973" t="s">
        <v>34</v>
      </c>
      <c r="G973" t="s">
        <v>40</v>
      </c>
      <c r="H973" s="2">
        <v>81</v>
      </c>
      <c r="I973" s="3">
        <v>5641</v>
      </c>
      <c r="J973" s="4">
        <v>13.1</v>
      </c>
      <c r="K973" s="2">
        <v>64</v>
      </c>
      <c r="L973" s="2">
        <v>5</v>
      </c>
      <c r="M973" s="3">
        <v>30779</v>
      </c>
      <c r="N973" t="str" cm="1">
        <f t="array" ref="N973">_xlfn.IFS(Table1_3[[#This Row],[Patient Satisfaction Score]]&gt;=83,"High",H973&lt;=75,"Low",TRUE,"Moderate")</f>
        <v>Moderate</v>
      </c>
      <c r="O973" t="str">
        <f t="shared" si="15"/>
        <v>Adult</v>
      </c>
    </row>
    <row r="974" spans="1:15">
      <c r="A974" t="s">
        <v>846</v>
      </c>
      <c r="B974" t="s">
        <v>58</v>
      </c>
      <c r="C974" t="s">
        <v>48</v>
      </c>
      <c r="D974" t="s">
        <v>16</v>
      </c>
      <c r="E974" s="2">
        <v>77</v>
      </c>
      <c r="F974" t="s">
        <v>34</v>
      </c>
      <c r="G974" t="s">
        <v>40</v>
      </c>
      <c r="H974" s="2">
        <v>73</v>
      </c>
      <c r="I974" s="3">
        <v>4539</v>
      </c>
      <c r="J974" s="4">
        <v>17.45</v>
      </c>
      <c r="K974" s="2">
        <v>83</v>
      </c>
      <c r="L974" s="2">
        <v>4</v>
      </c>
      <c r="M974" s="3">
        <v>20422</v>
      </c>
      <c r="N974" t="str" cm="1">
        <f t="array" ref="N974">_xlfn.IFS(Table1_3[[#This Row],[Patient Satisfaction Score]]&gt;=83,"High",H974&lt;=75,"Low",TRUE,"Moderate")</f>
        <v>Low</v>
      </c>
      <c r="O974" t="str">
        <f t="shared" si="15"/>
        <v>Adult</v>
      </c>
    </row>
    <row r="975" spans="1:15">
      <c r="A975" t="s">
        <v>543</v>
      </c>
      <c r="B975" t="s">
        <v>51</v>
      </c>
      <c r="C975" t="s">
        <v>52</v>
      </c>
      <c r="D975" t="s">
        <v>27</v>
      </c>
      <c r="E975" s="2">
        <v>77</v>
      </c>
      <c r="F975" t="s">
        <v>17</v>
      </c>
      <c r="G975" t="s">
        <v>49</v>
      </c>
      <c r="H975" s="2">
        <v>74</v>
      </c>
      <c r="I975" s="3">
        <v>6763</v>
      </c>
      <c r="J975" s="4">
        <v>14</v>
      </c>
      <c r="K975" s="2">
        <v>119</v>
      </c>
      <c r="L975" s="2">
        <v>3</v>
      </c>
      <c r="M975" s="3">
        <v>24978</v>
      </c>
      <c r="N975" t="str" cm="1">
        <f t="array" ref="N975">_xlfn.IFS(Table1_3[[#This Row],[Patient Satisfaction Score]]&gt;=83,"High",H975&lt;=75,"Low",TRUE,"Moderate")</f>
        <v>Low</v>
      </c>
      <c r="O975" t="str">
        <f t="shared" si="15"/>
        <v>Adult</v>
      </c>
    </row>
    <row r="976" spans="1:15">
      <c r="A976" t="s">
        <v>285</v>
      </c>
      <c r="B976" t="s">
        <v>103</v>
      </c>
      <c r="C976" t="s">
        <v>26</v>
      </c>
      <c r="D976" t="s">
        <v>27</v>
      </c>
      <c r="E976" s="2">
        <v>78</v>
      </c>
      <c r="F976" t="s">
        <v>34</v>
      </c>
      <c r="G976" t="s">
        <v>49</v>
      </c>
      <c r="H976" s="2">
        <v>91</v>
      </c>
      <c r="I976" s="3">
        <v>3083</v>
      </c>
      <c r="J976" s="4">
        <v>2.71</v>
      </c>
      <c r="K976" s="2">
        <v>29</v>
      </c>
      <c r="L976" s="2">
        <v>4</v>
      </c>
      <c r="M976" s="3">
        <v>12897</v>
      </c>
      <c r="N976" t="str" cm="1">
        <f t="array" ref="N976">_xlfn.IFS(Table1_3[[#This Row],[Patient Satisfaction Score]]&gt;=83,"High",H976&lt;=75,"Low",TRUE,"Moderate")</f>
        <v>High</v>
      </c>
      <c r="O976" t="str">
        <f t="shared" si="15"/>
        <v>Adult</v>
      </c>
    </row>
    <row r="977" spans="1:15">
      <c r="A977" t="s">
        <v>950</v>
      </c>
      <c r="B977" t="s">
        <v>84</v>
      </c>
      <c r="C977" t="s">
        <v>21</v>
      </c>
      <c r="D977" t="s">
        <v>16</v>
      </c>
      <c r="E977" s="2">
        <v>78</v>
      </c>
      <c r="F977" t="s">
        <v>17</v>
      </c>
      <c r="G977" t="s">
        <v>40</v>
      </c>
      <c r="H977" s="2">
        <v>69</v>
      </c>
      <c r="I977" s="3">
        <v>6811</v>
      </c>
      <c r="J977" s="4">
        <v>16.95</v>
      </c>
      <c r="K977" s="2">
        <v>102</v>
      </c>
      <c r="L977" s="2">
        <v>4</v>
      </c>
      <c r="M977" s="3">
        <v>17058</v>
      </c>
      <c r="N977" t="str" cm="1">
        <f t="array" ref="N977">_xlfn.IFS(Table1_3[[#This Row],[Patient Satisfaction Score]]&gt;=83,"High",H977&lt;=75,"Low",TRUE,"Moderate")</f>
        <v>Low</v>
      </c>
      <c r="O977" t="str">
        <f t="shared" si="15"/>
        <v>Adult</v>
      </c>
    </row>
    <row r="978" spans="1:15">
      <c r="A978" t="s">
        <v>749</v>
      </c>
      <c r="B978" t="s">
        <v>88</v>
      </c>
      <c r="C978" t="s">
        <v>15</v>
      </c>
      <c r="D978" t="s">
        <v>27</v>
      </c>
      <c r="E978" s="2">
        <v>78</v>
      </c>
      <c r="F978" t="s">
        <v>17</v>
      </c>
      <c r="G978" t="s">
        <v>23</v>
      </c>
      <c r="H978" s="2">
        <v>72</v>
      </c>
      <c r="I978" s="3">
        <v>7940</v>
      </c>
      <c r="J978" s="4">
        <v>13.71</v>
      </c>
      <c r="K978" s="2">
        <v>76</v>
      </c>
      <c r="L978" s="2">
        <v>4</v>
      </c>
      <c r="M978" s="3">
        <v>26428</v>
      </c>
      <c r="N978" t="str" cm="1">
        <f t="array" ref="N978">_xlfn.IFS(Table1_3[[#This Row],[Patient Satisfaction Score]]&gt;=83,"High",H978&lt;=75,"Low",TRUE,"Moderate")</f>
        <v>Low</v>
      </c>
      <c r="O978" t="str">
        <f t="shared" si="15"/>
        <v>Adult</v>
      </c>
    </row>
    <row r="979" spans="1:15">
      <c r="A979" t="s">
        <v>885</v>
      </c>
      <c r="B979" t="s">
        <v>78</v>
      </c>
      <c r="C979" t="s">
        <v>15</v>
      </c>
      <c r="D979" t="s">
        <v>16</v>
      </c>
      <c r="E979" s="2">
        <v>78</v>
      </c>
      <c r="F979" t="s">
        <v>17</v>
      </c>
      <c r="G979" t="s">
        <v>40</v>
      </c>
      <c r="H979" s="2">
        <v>89</v>
      </c>
      <c r="I979" s="3">
        <v>8576</v>
      </c>
      <c r="J979" s="4">
        <v>18.600000000000001</v>
      </c>
      <c r="K979" s="2">
        <v>38</v>
      </c>
      <c r="L979" s="2">
        <v>4</v>
      </c>
      <c r="M979" s="3">
        <v>25960</v>
      </c>
      <c r="N979" t="str" cm="1">
        <f t="array" ref="N979">_xlfn.IFS(Table1_3[[#This Row],[Patient Satisfaction Score]]&gt;=83,"High",H979&lt;=75,"Low",TRUE,"Moderate")</f>
        <v>High</v>
      </c>
      <c r="O979" t="str">
        <f t="shared" si="15"/>
        <v>Adult</v>
      </c>
    </row>
    <row r="980" spans="1:15">
      <c r="A980" t="s">
        <v>1060</v>
      </c>
      <c r="B980" t="s">
        <v>78</v>
      </c>
      <c r="C980" t="s">
        <v>15</v>
      </c>
      <c r="D980" t="s">
        <v>27</v>
      </c>
      <c r="E980" s="2">
        <v>78</v>
      </c>
      <c r="F980" t="s">
        <v>17</v>
      </c>
      <c r="G980" t="s">
        <v>49</v>
      </c>
      <c r="H980" s="2">
        <v>83</v>
      </c>
      <c r="I980" s="3">
        <v>7206</v>
      </c>
      <c r="J980" s="4">
        <v>13.28</v>
      </c>
      <c r="K980" s="2">
        <v>67</v>
      </c>
      <c r="L980" s="2">
        <v>4</v>
      </c>
      <c r="M980" s="3">
        <v>22315</v>
      </c>
      <c r="N980" t="str" cm="1">
        <f t="array" ref="N980">_xlfn.IFS(Table1_3[[#This Row],[Patient Satisfaction Score]]&gt;=83,"High",H980&lt;=75,"Low",TRUE,"Moderate")</f>
        <v>High</v>
      </c>
      <c r="O980" t="str">
        <f t="shared" si="15"/>
        <v>Adult</v>
      </c>
    </row>
    <row r="981" spans="1:15">
      <c r="A981" t="s">
        <v>69</v>
      </c>
      <c r="B981" t="s">
        <v>47</v>
      </c>
      <c r="C981" t="s">
        <v>48</v>
      </c>
      <c r="D981" t="s">
        <v>27</v>
      </c>
      <c r="E981" s="2">
        <v>79</v>
      </c>
      <c r="F981" t="s">
        <v>22</v>
      </c>
      <c r="G981" t="s">
        <v>70</v>
      </c>
      <c r="H981" s="2">
        <v>81</v>
      </c>
      <c r="I981" s="3">
        <v>6010</v>
      </c>
      <c r="J981" s="4">
        <v>10.54</v>
      </c>
      <c r="K981" s="2">
        <v>92</v>
      </c>
      <c r="L981" s="2">
        <v>4</v>
      </c>
      <c r="M981" s="3">
        <v>18692</v>
      </c>
      <c r="N981" t="str" cm="1">
        <f t="array" ref="N981">_xlfn.IFS(Table1_3[[#This Row],[Patient Satisfaction Score]]&gt;=83,"High",H981&lt;=75,"Low",TRUE,"Moderate")</f>
        <v>Moderate</v>
      </c>
      <c r="O981" t="str">
        <f t="shared" si="15"/>
        <v>Adult</v>
      </c>
    </row>
    <row r="982" spans="1:15">
      <c r="A982" t="s">
        <v>481</v>
      </c>
      <c r="B982" t="s">
        <v>122</v>
      </c>
      <c r="C982" t="s">
        <v>48</v>
      </c>
      <c r="D982" t="s">
        <v>16</v>
      </c>
      <c r="E982" s="2">
        <v>79</v>
      </c>
      <c r="F982" t="s">
        <v>34</v>
      </c>
      <c r="G982" t="s">
        <v>40</v>
      </c>
      <c r="H982" s="2">
        <v>81</v>
      </c>
      <c r="I982" s="3">
        <v>2010</v>
      </c>
      <c r="J982" s="4">
        <v>6.12</v>
      </c>
      <c r="K982" s="2">
        <v>73</v>
      </c>
      <c r="L982" s="2">
        <v>4</v>
      </c>
      <c r="M982" s="3">
        <v>11073</v>
      </c>
      <c r="N982" t="str" cm="1">
        <f t="array" ref="N982">_xlfn.IFS(Table1_3[[#This Row],[Patient Satisfaction Score]]&gt;=83,"High",H982&lt;=75,"Low",TRUE,"Moderate")</f>
        <v>Moderate</v>
      </c>
      <c r="O982" t="str">
        <f t="shared" si="15"/>
        <v>Adult</v>
      </c>
    </row>
    <row r="983" spans="1:15">
      <c r="A983" t="s">
        <v>93</v>
      </c>
      <c r="B983" t="s">
        <v>60</v>
      </c>
      <c r="C983" t="s">
        <v>52</v>
      </c>
      <c r="D983" t="s">
        <v>27</v>
      </c>
      <c r="E983" s="2">
        <v>80</v>
      </c>
      <c r="F983" t="s">
        <v>17</v>
      </c>
      <c r="G983" t="s">
        <v>49</v>
      </c>
      <c r="H983" s="2">
        <v>86</v>
      </c>
      <c r="I983" s="3">
        <v>5982</v>
      </c>
      <c r="J983" s="4">
        <v>17.670000000000002</v>
      </c>
      <c r="K983" s="2">
        <v>88</v>
      </c>
      <c r="L983" s="2">
        <v>5</v>
      </c>
      <c r="M983" s="3">
        <v>23740</v>
      </c>
      <c r="N983" t="str" cm="1">
        <f t="array" ref="N983">_xlfn.IFS(Table1_3[[#This Row],[Patient Satisfaction Score]]&gt;=83,"High",H983&lt;=75,"Low",TRUE,"Moderate")</f>
        <v>High</v>
      </c>
      <c r="O983" t="str">
        <f t="shared" si="15"/>
        <v>Adult</v>
      </c>
    </row>
    <row r="984" spans="1:15">
      <c r="A984" t="s">
        <v>449</v>
      </c>
      <c r="B984" t="s">
        <v>129</v>
      </c>
      <c r="C984" t="s">
        <v>21</v>
      </c>
      <c r="D984" t="s">
        <v>27</v>
      </c>
      <c r="E984" s="2">
        <v>80</v>
      </c>
      <c r="F984" t="s">
        <v>34</v>
      </c>
      <c r="G984" t="s">
        <v>31</v>
      </c>
      <c r="H984" s="2">
        <v>74</v>
      </c>
      <c r="I984" s="3">
        <v>8176</v>
      </c>
      <c r="J984" s="4">
        <v>18.87</v>
      </c>
      <c r="K984" s="2">
        <v>84</v>
      </c>
      <c r="L984" s="2">
        <v>5</v>
      </c>
      <c r="M984" s="3">
        <v>20592</v>
      </c>
      <c r="N984" t="str" cm="1">
        <f t="array" ref="N984">_xlfn.IFS(Table1_3[[#This Row],[Patient Satisfaction Score]]&gt;=83,"High",H984&lt;=75,"Low",TRUE,"Moderate")</f>
        <v>Low</v>
      </c>
      <c r="O984" t="str">
        <f t="shared" si="15"/>
        <v>Adult</v>
      </c>
    </row>
    <row r="985" spans="1:15">
      <c r="A985" t="s">
        <v>838</v>
      </c>
      <c r="B985" t="s">
        <v>60</v>
      </c>
      <c r="C985" t="s">
        <v>52</v>
      </c>
      <c r="D985" t="s">
        <v>16</v>
      </c>
      <c r="E985" s="2">
        <v>81</v>
      </c>
      <c r="F985" t="s">
        <v>22</v>
      </c>
      <c r="G985" t="s">
        <v>18</v>
      </c>
      <c r="H985" s="2">
        <v>79</v>
      </c>
      <c r="I985" s="3">
        <v>6310</v>
      </c>
      <c r="J985" s="4">
        <v>12.97</v>
      </c>
      <c r="K985" s="2">
        <v>90</v>
      </c>
      <c r="L985" s="2">
        <v>5</v>
      </c>
      <c r="M985" s="3">
        <v>29895</v>
      </c>
      <c r="N985" t="str" cm="1">
        <f t="array" ref="N985">_xlfn.IFS(Table1_3[[#This Row],[Patient Satisfaction Score]]&gt;=83,"High",H985&lt;=75,"Low",TRUE,"Moderate")</f>
        <v>Moderate</v>
      </c>
      <c r="O985" t="str">
        <f t="shared" si="15"/>
        <v>Adult</v>
      </c>
    </row>
    <row r="986" spans="1:15">
      <c r="A986" t="s">
        <v>927</v>
      </c>
      <c r="B986" t="s">
        <v>36</v>
      </c>
      <c r="C986" t="s">
        <v>21</v>
      </c>
      <c r="D986" t="s">
        <v>27</v>
      </c>
      <c r="E986" s="2">
        <v>81</v>
      </c>
      <c r="F986" t="s">
        <v>22</v>
      </c>
      <c r="G986" t="s">
        <v>23</v>
      </c>
      <c r="H986" s="2">
        <v>85</v>
      </c>
      <c r="I986" s="3">
        <v>5655</v>
      </c>
      <c r="J986" s="4">
        <v>13.88</v>
      </c>
      <c r="K986" s="2">
        <v>101</v>
      </c>
      <c r="L986" s="2">
        <v>4</v>
      </c>
      <c r="M986" s="3">
        <v>14626</v>
      </c>
      <c r="N986" t="str" cm="1">
        <f t="array" ref="N986">_xlfn.IFS(Table1_3[[#This Row],[Patient Satisfaction Score]]&gt;=83,"High",H986&lt;=75,"Low",TRUE,"Moderate")</f>
        <v>High</v>
      </c>
      <c r="O986" t="str">
        <f t="shared" si="15"/>
        <v>Adult</v>
      </c>
    </row>
    <row r="987" spans="1:15">
      <c r="A987" t="s">
        <v>339</v>
      </c>
      <c r="B987" t="s">
        <v>97</v>
      </c>
      <c r="C987" t="s">
        <v>30</v>
      </c>
      <c r="D987" t="s">
        <v>27</v>
      </c>
      <c r="E987" s="2">
        <v>81</v>
      </c>
      <c r="F987" t="s">
        <v>34</v>
      </c>
      <c r="G987" t="s">
        <v>40</v>
      </c>
      <c r="H987" s="2">
        <v>75</v>
      </c>
      <c r="I987" s="3">
        <v>2839</v>
      </c>
      <c r="J987" s="4">
        <v>13.62</v>
      </c>
      <c r="K987" s="2">
        <v>95</v>
      </c>
      <c r="L987" s="2">
        <v>4</v>
      </c>
      <c r="M987" s="3">
        <v>15030</v>
      </c>
      <c r="N987" t="str" cm="1">
        <f t="array" ref="N987">_xlfn.IFS(Table1_3[[#This Row],[Patient Satisfaction Score]]&gt;=83,"High",H987&lt;=75,"Low",TRUE,"Moderate")</f>
        <v>Low</v>
      </c>
      <c r="O987" t="str">
        <f t="shared" si="15"/>
        <v>Adult</v>
      </c>
    </row>
    <row r="988" spans="1:15">
      <c r="A988" t="s">
        <v>974</v>
      </c>
      <c r="B988" t="s">
        <v>150</v>
      </c>
      <c r="C988" t="s">
        <v>48</v>
      </c>
      <c r="D988" t="s">
        <v>16</v>
      </c>
      <c r="E988" s="2">
        <v>82</v>
      </c>
      <c r="F988" t="s">
        <v>34</v>
      </c>
      <c r="G988" t="s">
        <v>70</v>
      </c>
      <c r="H988" s="2">
        <v>87</v>
      </c>
      <c r="I988" s="3">
        <v>5037</v>
      </c>
      <c r="J988" s="4">
        <v>7.41</v>
      </c>
      <c r="K988" s="2">
        <v>75</v>
      </c>
      <c r="L988" s="2">
        <v>4</v>
      </c>
      <c r="M988" s="3">
        <v>28411</v>
      </c>
      <c r="N988" t="str" cm="1">
        <f t="array" ref="N988">_xlfn.IFS(Table1_3[[#This Row],[Patient Satisfaction Score]]&gt;=83,"High",H988&lt;=75,"Low",TRUE,"Moderate")</f>
        <v>High</v>
      </c>
      <c r="O988" t="str">
        <f t="shared" si="15"/>
        <v>Adult</v>
      </c>
    </row>
    <row r="989" spans="1:15">
      <c r="A989" t="s">
        <v>976</v>
      </c>
      <c r="B989" t="s">
        <v>84</v>
      </c>
      <c r="C989" t="s">
        <v>21</v>
      </c>
      <c r="D989" t="s">
        <v>27</v>
      </c>
      <c r="E989" s="2">
        <v>82</v>
      </c>
      <c r="F989" t="s">
        <v>22</v>
      </c>
      <c r="G989" t="s">
        <v>70</v>
      </c>
      <c r="H989" s="2">
        <v>84</v>
      </c>
      <c r="I989" s="3">
        <v>5495</v>
      </c>
      <c r="J989" s="4">
        <v>11.52</v>
      </c>
      <c r="K989" s="2">
        <v>72</v>
      </c>
      <c r="L989" s="2">
        <v>4</v>
      </c>
      <c r="M989" s="3">
        <v>18679</v>
      </c>
      <c r="N989" t="str" cm="1">
        <f t="array" ref="N989">_xlfn.IFS(Table1_3[[#This Row],[Patient Satisfaction Score]]&gt;=83,"High",H989&lt;=75,"Low",TRUE,"Moderate")</f>
        <v>High</v>
      </c>
      <c r="O989" t="str">
        <f t="shared" si="15"/>
        <v>Adult</v>
      </c>
    </row>
    <row r="990" spans="1:15">
      <c r="A990" t="s">
        <v>505</v>
      </c>
      <c r="B990" t="s">
        <v>97</v>
      </c>
      <c r="C990" t="s">
        <v>30</v>
      </c>
      <c r="D990" t="s">
        <v>27</v>
      </c>
      <c r="E990" s="2">
        <v>83</v>
      </c>
      <c r="F990" t="s">
        <v>17</v>
      </c>
      <c r="G990" t="s">
        <v>23</v>
      </c>
      <c r="H990" s="2">
        <v>71</v>
      </c>
      <c r="I990" s="3">
        <v>3348</v>
      </c>
      <c r="J990" s="4">
        <v>21.44</v>
      </c>
      <c r="K990" s="2">
        <v>126</v>
      </c>
      <c r="L990" s="2">
        <v>4</v>
      </c>
      <c r="M990" s="3">
        <v>9593</v>
      </c>
      <c r="N990" t="str" cm="1">
        <f t="array" ref="N990">_xlfn.IFS(Table1_3[[#This Row],[Patient Satisfaction Score]]&gt;=83,"High",H990&lt;=75,"Low",TRUE,"Moderate")</f>
        <v>Low</v>
      </c>
      <c r="O990" t="str">
        <f t="shared" si="15"/>
        <v>Adult</v>
      </c>
    </row>
    <row r="991" spans="1:15">
      <c r="A991" t="s">
        <v>332</v>
      </c>
      <c r="B991" t="s">
        <v>80</v>
      </c>
      <c r="C991" t="s">
        <v>15</v>
      </c>
      <c r="D991" t="s">
        <v>16</v>
      </c>
      <c r="E991" s="2">
        <v>83</v>
      </c>
      <c r="F991" t="s">
        <v>22</v>
      </c>
      <c r="G991" t="s">
        <v>23</v>
      </c>
      <c r="H991" s="2">
        <v>71</v>
      </c>
      <c r="I991" s="3">
        <v>6008</v>
      </c>
      <c r="J991" s="4">
        <v>9.9499999999999993</v>
      </c>
      <c r="K991" s="2">
        <v>83</v>
      </c>
      <c r="L991" s="2">
        <v>3</v>
      </c>
      <c r="M991" s="3">
        <v>34105</v>
      </c>
      <c r="N991" t="str" cm="1">
        <f t="array" ref="N991">_xlfn.IFS(Table1_3[[#This Row],[Patient Satisfaction Score]]&gt;=83,"High",H991&lt;=75,"Low",TRUE,"Moderate")</f>
        <v>Low</v>
      </c>
      <c r="O991" t="str">
        <f t="shared" si="15"/>
        <v>Adult</v>
      </c>
    </row>
    <row r="992" spans="1:15">
      <c r="A992" t="s">
        <v>561</v>
      </c>
      <c r="B992" t="s">
        <v>44</v>
      </c>
      <c r="C992" t="s">
        <v>45</v>
      </c>
      <c r="D992" t="s">
        <v>16</v>
      </c>
      <c r="E992" s="2">
        <v>84</v>
      </c>
      <c r="F992" t="s">
        <v>34</v>
      </c>
      <c r="G992" t="s">
        <v>40</v>
      </c>
      <c r="H992" s="2">
        <v>88</v>
      </c>
      <c r="I992" s="3">
        <v>9310</v>
      </c>
      <c r="J992" s="4">
        <v>19.04</v>
      </c>
      <c r="K992" s="2">
        <v>79</v>
      </c>
      <c r="L992" s="2">
        <v>4</v>
      </c>
      <c r="M992" s="3">
        <v>42230</v>
      </c>
      <c r="N992" t="str" cm="1">
        <f t="array" ref="N992">_xlfn.IFS(Table1_3[[#This Row],[Patient Satisfaction Score]]&gt;=83,"High",H992&lt;=75,"Low",TRUE,"Moderate")</f>
        <v>High</v>
      </c>
      <c r="O992" t="str">
        <f t="shared" si="15"/>
        <v>Adult</v>
      </c>
    </row>
    <row r="993" spans="1:15">
      <c r="A993" t="s">
        <v>388</v>
      </c>
      <c r="B993" t="s">
        <v>36</v>
      </c>
      <c r="C993" t="s">
        <v>21</v>
      </c>
      <c r="D993" t="s">
        <v>27</v>
      </c>
      <c r="E993" s="2">
        <v>85</v>
      </c>
      <c r="F993" t="s">
        <v>34</v>
      </c>
      <c r="G993" t="s">
        <v>31</v>
      </c>
      <c r="H993" s="2">
        <v>83</v>
      </c>
      <c r="I993" s="3">
        <v>6746</v>
      </c>
      <c r="J993" s="4">
        <v>12.35</v>
      </c>
      <c r="K993" s="2">
        <v>62</v>
      </c>
      <c r="L993" s="2">
        <v>4</v>
      </c>
      <c r="M993" s="3">
        <v>34745</v>
      </c>
      <c r="N993" t="str" cm="1">
        <f t="array" ref="N993">_xlfn.IFS(Table1_3[[#This Row],[Patient Satisfaction Score]]&gt;=83,"High",H993&lt;=75,"Low",TRUE,"Moderate")</f>
        <v>High</v>
      </c>
      <c r="O993" t="str">
        <f t="shared" si="15"/>
        <v>Adult</v>
      </c>
    </row>
    <row r="994" spans="1:15">
      <c r="A994" t="s">
        <v>993</v>
      </c>
      <c r="B994" t="s">
        <v>44</v>
      </c>
      <c r="C994" t="s">
        <v>45</v>
      </c>
      <c r="D994" t="s">
        <v>27</v>
      </c>
      <c r="E994" s="2">
        <v>85</v>
      </c>
      <c r="F994" t="s">
        <v>22</v>
      </c>
      <c r="G994" t="s">
        <v>49</v>
      </c>
      <c r="H994" s="2">
        <v>69</v>
      </c>
      <c r="I994" s="3">
        <v>8498</v>
      </c>
      <c r="J994" s="4">
        <v>18.059999999999999</v>
      </c>
      <c r="K994" s="2">
        <v>102</v>
      </c>
      <c r="L994" s="2">
        <v>3</v>
      </c>
      <c r="M994" s="3">
        <v>35178</v>
      </c>
      <c r="N994" t="str" cm="1">
        <f t="array" ref="N994">_xlfn.IFS(Table1_3[[#This Row],[Patient Satisfaction Score]]&gt;=83,"High",H994&lt;=75,"Low",TRUE,"Moderate")</f>
        <v>Low</v>
      </c>
      <c r="O994" t="str">
        <f t="shared" si="15"/>
        <v>Adult</v>
      </c>
    </row>
    <row r="995" spans="1:15">
      <c r="A995" t="s">
        <v>999</v>
      </c>
      <c r="B995" t="s">
        <v>129</v>
      </c>
      <c r="C995" t="s">
        <v>21</v>
      </c>
      <c r="D995" t="s">
        <v>27</v>
      </c>
      <c r="E995" s="2">
        <v>86</v>
      </c>
      <c r="F995" t="s">
        <v>22</v>
      </c>
      <c r="G995" t="s">
        <v>31</v>
      </c>
      <c r="H995" s="2">
        <v>80</v>
      </c>
      <c r="I995" s="3">
        <v>7397</v>
      </c>
      <c r="J995" s="4">
        <v>10.65</v>
      </c>
      <c r="K995" s="2">
        <v>74</v>
      </c>
      <c r="L995" s="2">
        <v>5</v>
      </c>
      <c r="M995" s="3">
        <v>34485</v>
      </c>
      <c r="N995" t="str" cm="1">
        <f t="array" ref="N995">_xlfn.IFS(Table1_3[[#This Row],[Patient Satisfaction Score]]&gt;=83,"High",H995&lt;=75,"Low",TRUE,"Moderate")</f>
        <v>Moderate</v>
      </c>
      <c r="O995" t="str">
        <f t="shared" si="15"/>
        <v>Adult</v>
      </c>
    </row>
    <row r="996" spans="1:15">
      <c r="A996" t="s">
        <v>797</v>
      </c>
      <c r="B996" t="s">
        <v>137</v>
      </c>
      <c r="C996" t="s">
        <v>26</v>
      </c>
      <c r="D996" t="s">
        <v>16</v>
      </c>
      <c r="E996" s="2">
        <v>89</v>
      </c>
      <c r="F996" t="s">
        <v>34</v>
      </c>
      <c r="G996" t="s">
        <v>18</v>
      </c>
      <c r="H996" s="2">
        <v>88</v>
      </c>
      <c r="I996" s="3">
        <v>1870</v>
      </c>
      <c r="J996" s="4">
        <v>8.15</v>
      </c>
      <c r="K996" s="2">
        <v>68</v>
      </c>
      <c r="L996" s="2">
        <v>4</v>
      </c>
      <c r="M996" s="3">
        <v>5950</v>
      </c>
      <c r="N996" t="str" cm="1">
        <f t="array" ref="N996">_xlfn.IFS(Table1_3[[#This Row],[Patient Satisfaction Score]]&gt;=83,"High",H996&lt;=75,"Low",TRUE,"Moderate")</f>
        <v>High</v>
      </c>
      <c r="O996" t="str">
        <f t="shared" si="15"/>
        <v>Adult</v>
      </c>
    </row>
    <row r="997" spans="1:15">
      <c r="A997" t="s">
        <v>960</v>
      </c>
      <c r="B997" t="s">
        <v>51</v>
      </c>
      <c r="C997" t="s">
        <v>52</v>
      </c>
      <c r="D997" t="s">
        <v>16</v>
      </c>
      <c r="E997" s="2">
        <v>89</v>
      </c>
      <c r="F997" t="s">
        <v>34</v>
      </c>
      <c r="G997" t="s">
        <v>70</v>
      </c>
      <c r="H997" s="2">
        <v>80</v>
      </c>
      <c r="I997" s="3">
        <v>8175</v>
      </c>
      <c r="J997" s="4">
        <v>12.33</v>
      </c>
      <c r="K997" s="2">
        <v>72</v>
      </c>
      <c r="L997" s="2">
        <v>5</v>
      </c>
      <c r="M997" s="3">
        <v>30666</v>
      </c>
      <c r="N997" t="str" cm="1">
        <f t="array" ref="N997">_xlfn.IFS(Table1_3[[#This Row],[Patient Satisfaction Score]]&gt;=83,"High",H997&lt;=75,"Low",TRUE,"Moderate")</f>
        <v>Moderate</v>
      </c>
      <c r="O997" t="str">
        <f t="shared" si="15"/>
        <v>Adult</v>
      </c>
    </row>
    <row r="998" spans="1:15">
      <c r="A998" t="s">
        <v>566</v>
      </c>
      <c r="B998" t="s">
        <v>25</v>
      </c>
      <c r="C998" t="s">
        <v>26</v>
      </c>
      <c r="D998" t="s">
        <v>27</v>
      </c>
      <c r="E998" s="2">
        <v>90</v>
      </c>
      <c r="F998" t="s">
        <v>34</v>
      </c>
      <c r="G998" t="s">
        <v>18</v>
      </c>
      <c r="H998" s="2">
        <v>88</v>
      </c>
      <c r="I998" s="3">
        <v>2745</v>
      </c>
      <c r="J998" s="4">
        <v>7.28</v>
      </c>
      <c r="K998" s="2">
        <v>36</v>
      </c>
      <c r="L998" s="2">
        <v>4</v>
      </c>
      <c r="M998" s="3">
        <v>8057</v>
      </c>
      <c r="N998" t="str" cm="1">
        <f t="array" ref="N998">_xlfn.IFS(Table1_3[[#This Row],[Patient Satisfaction Score]]&gt;=83,"High",H998&lt;=75,"Low",TRUE,"Moderate")</f>
        <v>High</v>
      </c>
      <c r="O998" t="str">
        <f t="shared" si="15"/>
        <v>Adult</v>
      </c>
    </row>
    <row r="999" spans="1:15">
      <c r="A999" t="s">
        <v>254</v>
      </c>
      <c r="B999" t="s">
        <v>129</v>
      </c>
      <c r="C999" t="s">
        <v>21</v>
      </c>
      <c r="D999" t="s">
        <v>27</v>
      </c>
      <c r="E999" s="2">
        <v>90</v>
      </c>
      <c r="F999" t="s">
        <v>22</v>
      </c>
      <c r="G999" t="s">
        <v>70</v>
      </c>
      <c r="H999" s="2">
        <v>77</v>
      </c>
      <c r="I999" s="3">
        <v>6749</v>
      </c>
      <c r="J999" s="4">
        <v>13.76</v>
      </c>
      <c r="K999" s="2">
        <v>97</v>
      </c>
      <c r="L999" s="2">
        <v>4</v>
      </c>
      <c r="M999" s="3">
        <v>35345</v>
      </c>
      <c r="N999" t="str" cm="1">
        <f t="array" ref="N999">_xlfn.IFS(Table1_3[[#This Row],[Patient Satisfaction Score]]&gt;=83,"High",H999&lt;=75,"Low",TRUE,"Moderate")</f>
        <v>Moderate</v>
      </c>
      <c r="O999" t="str">
        <f t="shared" si="15"/>
        <v>Adult</v>
      </c>
    </row>
    <row r="1000" spans="1:15">
      <c r="A1000" t="s">
        <v>829</v>
      </c>
      <c r="B1000" t="s">
        <v>20</v>
      </c>
      <c r="C1000" t="s">
        <v>21</v>
      </c>
      <c r="D1000" t="s">
        <v>27</v>
      </c>
      <c r="E1000" s="2">
        <v>90</v>
      </c>
      <c r="F1000" t="s">
        <v>22</v>
      </c>
      <c r="G1000" t="s">
        <v>70</v>
      </c>
      <c r="H1000" s="2">
        <v>67</v>
      </c>
      <c r="I1000" s="3">
        <v>5354</v>
      </c>
      <c r="J1000" s="4">
        <v>20.62</v>
      </c>
      <c r="K1000" s="2">
        <v>103</v>
      </c>
      <c r="L1000" s="2">
        <v>3</v>
      </c>
      <c r="M1000" s="3">
        <v>24196</v>
      </c>
      <c r="N1000" t="str" cm="1">
        <f t="array" ref="N1000">_xlfn.IFS(Table1_3[[#This Row],[Patient Satisfaction Score]]&gt;=83,"High",H1000&lt;=75,"Low",TRUE,"Moderate")</f>
        <v>Low</v>
      </c>
      <c r="O1000" t="str">
        <f t="shared" si="15"/>
        <v>Adult</v>
      </c>
    </row>
    <row r="1001" spans="1:15">
      <c r="A1001" t="s">
        <v>909</v>
      </c>
      <c r="B1001" t="s">
        <v>109</v>
      </c>
      <c r="C1001" t="s">
        <v>30</v>
      </c>
      <c r="D1001" t="s">
        <v>16</v>
      </c>
      <c r="E1001" s="2">
        <v>90</v>
      </c>
      <c r="F1001" t="s">
        <v>17</v>
      </c>
      <c r="G1001" t="s">
        <v>49</v>
      </c>
      <c r="H1001" s="2">
        <v>78</v>
      </c>
      <c r="I1001" s="3">
        <v>3761</v>
      </c>
      <c r="J1001" s="4">
        <v>21.41</v>
      </c>
      <c r="K1001" s="2">
        <v>98</v>
      </c>
      <c r="L1001" s="2">
        <v>4</v>
      </c>
      <c r="M1001" s="3">
        <v>21323</v>
      </c>
      <c r="N1001" t="str" cm="1">
        <f t="array" ref="N1001">_xlfn.IFS(Table1_3[[#This Row],[Patient Satisfaction Score]]&gt;=83,"High",H1001&lt;=75,"Low",TRUE,"Moderate")</f>
        <v>Moderate</v>
      </c>
      <c r="O1001" t="str">
        <f t="shared" si="15"/>
        <v>Adult</v>
      </c>
    </row>
    <row r="1002" spans="1:15">
      <c r="A1002" t="s">
        <v>1070</v>
      </c>
      <c r="G1002" t="s">
        <v>1095</v>
      </c>
      <c r="H1002"/>
      <c r="I1002" s="3">
        <f>SUM(I2:I1001)</f>
        <v>5690406</v>
      </c>
      <c r="J1002"/>
      <c r="K1002"/>
      <c r="M1002" s="22">
        <f>SUBTOTAL(109,Table1_3[Revenue Generated])</f>
        <v>23956217</v>
      </c>
    </row>
    <row r="1003" spans="1:15">
      <c r="L1003" s="2"/>
    </row>
  </sheetData>
  <sortState xmlns:xlrd2="http://schemas.microsoft.com/office/spreadsheetml/2017/richdata2" ref="AB14:AE22">
    <sortCondition ref="AD15"/>
  </sortState>
  <pageMargins left="0.75" right="0.75" top="1" bottom="1" header="0.5" footer="0.5"/>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BD398-E952-42E6-B6C8-877ED9DFA825}">
  <dimension ref="A1:J57"/>
  <sheetViews>
    <sheetView topLeftCell="A19" zoomScaleNormal="100" workbookViewId="0">
      <selection activeCell="F51" sqref="F51"/>
    </sheetView>
  </sheetViews>
  <sheetFormatPr defaultRowHeight="14.4"/>
  <cols>
    <col min="1" max="1" width="17.21875" bestFit="1" customWidth="1"/>
    <col min="2" max="2" width="24.33203125" bestFit="1" customWidth="1"/>
    <col min="3" max="3" width="23.77734375" bestFit="1" customWidth="1"/>
    <col min="6" max="6" width="13.88671875" bestFit="1" customWidth="1"/>
    <col min="7" max="7" width="23.77734375" bestFit="1" customWidth="1"/>
    <col min="8" max="8" width="32.44140625" bestFit="1" customWidth="1"/>
    <col min="9" max="9" width="25.109375" bestFit="1" customWidth="1"/>
    <col min="10" max="10" width="35" customWidth="1"/>
  </cols>
  <sheetData>
    <row r="1" spans="1:10" s="53" customFormat="1" ht="21" customHeight="1">
      <c r="A1" s="54" t="s">
        <v>1126</v>
      </c>
      <c r="B1" s="55" t="s">
        <v>1127</v>
      </c>
      <c r="C1" s="55" t="s">
        <v>1133</v>
      </c>
      <c r="F1" s="55" t="s">
        <v>1128</v>
      </c>
      <c r="G1" s="55" t="s">
        <v>1129</v>
      </c>
      <c r="H1" s="55" t="s">
        <v>1130</v>
      </c>
    </row>
    <row r="2" spans="1:10" s="50" customFormat="1" ht="24" customHeight="1">
      <c r="A2" s="52">
        <v>1000</v>
      </c>
      <c r="B2" s="49">
        <v>8</v>
      </c>
      <c r="C2" s="51">
        <f>'MEDICARE DATA KPI'!U9</f>
        <v>13.293350000000014</v>
      </c>
      <c r="F2" s="49">
        <f>'MEDICARE DATA KPI'!U6</f>
        <v>78.465999999999994</v>
      </c>
      <c r="G2" s="49">
        <f>'MEDICARE DATA KPI'!U5</f>
        <v>78.698999999999998</v>
      </c>
      <c r="H2" s="49">
        <f>'MEDICARE DATA KPI'!U4</f>
        <v>23956217</v>
      </c>
    </row>
    <row r="6" spans="1:10" ht="15.6">
      <c r="F6" s="44" t="s">
        <v>2</v>
      </c>
      <c r="G6" t="s">
        <v>21</v>
      </c>
      <c r="J6" s="47"/>
    </row>
    <row r="7" spans="1:10" ht="15">
      <c r="J7" s="48"/>
    </row>
    <row r="8" spans="1:10" ht="15">
      <c r="A8" s="44" t="s">
        <v>1122</v>
      </c>
      <c r="B8" t="s">
        <v>1073</v>
      </c>
      <c r="C8" t="s">
        <v>1123</v>
      </c>
      <c r="F8" s="44" t="s">
        <v>1122</v>
      </c>
      <c r="G8" t="s">
        <v>1123</v>
      </c>
      <c r="H8" t="s">
        <v>1125</v>
      </c>
      <c r="J8" s="48"/>
    </row>
    <row r="9" spans="1:10" ht="15">
      <c r="A9" s="45" t="s">
        <v>15</v>
      </c>
      <c r="B9" s="4">
        <v>15.67390977443609</v>
      </c>
      <c r="C9" s="2">
        <v>82.218045112781951</v>
      </c>
      <c r="F9" s="45" t="s">
        <v>143</v>
      </c>
      <c r="G9" s="2">
        <v>84.391304347826093</v>
      </c>
      <c r="H9" s="2">
        <v>76.478260869565219</v>
      </c>
      <c r="J9" s="48"/>
    </row>
    <row r="10" spans="1:10" ht="15">
      <c r="A10" s="45" t="s">
        <v>30</v>
      </c>
      <c r="B10" s="4">
        <v>18.413025210084026</v>
      </c>
      <c r="C10" s="2">
        <v>108.59663865546219</v>
      </c>
      <c r="F10" s="45" t="s">
        <v>84</v>
      </c>
      <c r="G10" s="2">
        <v>88.7</v>
      </c>
      <c r="H10" s="2">
        <v>75.849999999999994</v>
      </c>
      <c r="J10" s="48"/>
    </row>
    <row r="11" spans="1:10" ht="15">
      <c r="A11" s="45" t="s">
        <v>45</v>
      </c>
      <c r="B11" s="4">
        <v>17.097164179104482</v>
      </c>
      <c r="C11" s="2">
        <v>92.865671641791039</v>
      </c>
      <c r="F11" s="45" t="s">
        <v>36</v>
      </c>
      <c r="G11" s="2">
        <v>90.064516129032256</v>
      </c>
      <c r="H11" s="2">
        <v>77.483870967741936</v>
      </c>
      <c r="J11" s="48"/>
    </row>
    <row r="12" spans="1:10" ht="15">
      <c r="A12" s="45" t="s">
        <v>21</v>
      </c>
      <c r="B12" s="4">
        <v>15.223125000000001</v>
      </c>
      <c r="C12" s="2">
        <v>88.15625</v>
      </c>
      <c r="F12" s="45" t="s">
        <v>20</v>
      </c>
      <c r="G12" s="2">
        <v>90.521739130434781</v>
      </c>
      <c r="H12" s="2">
        <v>77</v>
      </c>
      <c r="J12" s="48"/>
    </row>
    <row r="13" spans="1:10" ht="15">
      <c r="A13" s="45" t="s">
        <v>52</v>
      </c>
      <c r="B13" s="4">
        <v>14.236090909090906</v>
      </c>
      <c r="C13" s="2">
        <v>78.272727272727266</v>
      </c>
      <c r="F13" s="45" t="s">
        <v>129</v>
      </c>
      <c r="G13" s="2">
        <v>86.935483870967744</v>
      </c>
      <c r="H13" s="2">
        <v>77.064516129032256</v>
      </c>
      <c r="J13" s="48"/>
    </row>
    <row r="14" spans="1:10">
      <c r="A14" s="45" t="s">
        <v>48</v>
      </c>
      <c r="B14" s="4">
        <v>12.885655737704916</v>
      </c>
      <c r="C14" s="2">
        <v>75.729508196721312</v>
      </c>
      <c r="F14" s="45" t="s">
        <v>1075</v>
      </c>
      <c r="G14" s="2">
        <v>88.15625</v>
      </c>
      <c r="H14" s="2">
        <v>76.859375</v>
      </c>
    </row>
    <row r="15" spans="1:10">
      <c r="A15" s="45" t="s">
        <v>39</v>
      </c>
      <c r="B15" s="4">
        <v>7.8837209302325553</v>
      </c>
      <c r="C15" s="2">
        <v>57.356589147286819</v>
      </c>
    </row>
    <row r="16" spans="1:10">
      <c r="A16" s="45" t="s">
        <v>26</v>
      </c>
      <c r="B16" s="4">
        <v>4.9837599999999966</v>
      </c>
      <c r="C16" s="2">
        <v>45.055999999999997</v>
      </c>
    </row>
    <row r="17" spans="1:8">
      <c r="A17" s="45" t="s">
        <v>1075</v>
      </c>
      <c r="B17" s="4">
        <v>13.293349999999995</v>
      </c>
      <c r="C17" s="2">
        <v>78.465999999999994</v>
      </c>
    </row>
    <row r="19" spans="1:8">
      <c r="F19" s="44" t="s">
        <v>1122</v>
      </c>
      <c r="G19" t="s">
        <v>1074</v>
      </c>
    </row>
    <row r="20" spans="1:8">
      <c r="F20" s="45" t="s">
        <v>40</v>
      </c>
      <c r="G20" s="3">
        <v>5715.1176470588234</v>
      </c>
    </row>
    <row r="21" spans="1:8">
      <c r="F21" s="45" t="s">
        <v>23</v>
      </c>
      <c r="G21" s="3">
        <v>5993.6</v>
      </c>
    </row>
    <row r="22" spans="1:8">
      <c r="A22" s="44" t="s">
        <v>1122</v>
      </c>
      <c r="B22" t="s">
        <v>1125</v>
      </c>
      <c r="F22" s="45" t="s">
        <v>18</v>
      </c>
      <c r="G22" s="3">
        <v>5696.8497109826585</v>
      </c>
    </row>
    <row r="23" spans="1:8">
      <c r="A23" s="45" t="s">
        <v>15</v>
      </c>
      <c r="B23" s="2">
        <v>76.751879699248121</v>
      </c>
      <c r="F23" s="45" t="s">
        <v>31</v>
      </c>
      <c r="G23" s="3">
        <v>5671.8104575163397</v>
      </c>
    </row>
    <row r="24" spans="1:8">
      <c r="A24" s="45" t="s">
        <v>30</v>
      </c>
      <c r="B24" s="2">
        <v>71.798319327731093</v>
      </c>
      <c r="F24" s="45" t="s">
        <v>70</v>
      </c>
      <c r="G24" s="3">
        <v>5486.5375000000004</v>
      </c>
    </row>
    <row r="25" spans="1:8">
      <c r="A25" s="45" t="s">
        <v>45</v>
      </c>
      <c r="B25" s="2">
        <v>74.925373134328353</v>
      </c>
      <c r="F25" s="45" t="s">
        <v>49</v>
      </c>
      <c r="G25" s="3">
        <v>5579.3519553072629</v>
      </c>
    </row>
    <row r="26" spans="1:8">
      <c r="A26" s="45" t="s">
        <v>21</v>
      </c>
      <c r="B26" s="2">
        <v>76.859375</v>
      </c>
      <c r="F26" s="45" t="s">
        <v>1075</v>
      </c>
      <c r="G26" s="3">
        <v>5690.4059999999999</v>
      </c>
    </row>
    <row r="27" spans="1:8">
      <c r="A27" s="45" t="s">
        <v>52</v>
      </c>
      <c r="B27" s="2">
        <v>79.318181818181813</v>
      </c>
      <c r="F27" s="45"/>
      <c r="G27" s="3"/>
    </row>
    <row r="28" spans="1:8">
      <c r="A28" s="45" t="s">
        <v>48</v>
      </c>
      <c r="B28" s="2">
        <v>79.188524590163937</v>
      </c>
      <c r="F28" s="45"/>
      <c r="G28" s="3"/>
    </row>
    <row r="29" spans="1:8">
      <c r="A29" s="45" t="s">
        <v>39</v>
      </c>
      <c r="B29" s="2">
        <v>84.038759689922486</v>
      </c>
      <c r="F29" s="45"/>
      <c r="G29" s="3"/>
    </row>
    <row r="30" spans="1:8">
      <c r="A30" s="45" t="s">
        <v>26</v>
      </c>
      <c r="B30" s="2">
        <v>86.736000000000004</v>
      </c>
    </row>
    <row r="31" spans="1:8">
      <c r="A31" s="45" t="s">
        <v>1075</v>
      </c>
      <c r="B31" s="2">
        <v>78.698999999999998</v>
      </c>
      <c r="F31" s="44" t="s">
        <v>1122</v>
      </c>
      <c r="G31" t="s">
        <v>1073</v>
      </c>
      <c r="H31" t="s">
        <v>1123</v>
      </c>
    </row>
    <row r="32" spans="1:8">
      <c r="F32" s="45" t="s">
        <v>1131</v>
      </c>
      <c r="G32" s="4">
        <v>14.144166666666656</v>
      </c>
      <c r="H32" s="2">
        <v>81.557692307692307</v>
      </c>
    </row>
    <row r="33" spans="1:8">
      <c r="F33" s="45" t="s">
        <v>1132</v>
      </c>
      <c r="G33" s="4">
        <v>10.276818181818188</v>
      </c>
      <c r="H33" s="2">
        <v>67.50454545454545</v>
      </c>
    </row>
    <row r="34" spans="1:8">
      <c r="F34" s="45" t="s">
        <v>1075</v>
      </c>
      <c r="G34" s="4">
        <v>13.293349999999984</v>
      </c>
      <c r="H34" s="2">
        <v>78.465999999999994</v>
      </c>
    </row>
    <row r="35" spans="1:8">
      <c r="F35" s="45"/>
      <c r="G35" s="4"/>
      <c r="H35" s="2"/>
    </row>
    <row r="36" spans="1:8">
      <c r="A36" s="44" t="s">
        <v>1122</v>
      </c>
      <c r="B36" t="s">
        <v>1072</v>
      </c>
      <c r="F36" s="45"/>
      <c r="G36" s="4"/>
      <c r="H36" s="2"/>
    </row>
    <row r="37" spans="1:8">
      <c r="A37" s="45" t="s">
        <v>15</v>
      </c>
      <c r="B37" s="3">
        <v>4129265</v>
      </c>
    </row>
    <row r="38" spans="1:8">
      <c r="A38" s="45" t="s">
        <v>30</v>
      </c>
      <c r="B38" s="3">
        <v>1767111</v>
      </c>
      <c r="F38" s="44" t="s">
        <v>1122</v>
      </c>
      <c r="G38" t="s">
        <v>1074</v>
      </c>
      <c r="H38" t="s">
        <v>1125</v>
      </c>
    </row>
    <row r="39" spans="1:8">
      <c r="A39" s="45" t="s">
        <v>45</v>
      </c>
      <c r="B39" s="3">
        <v>5071782</v>
      </c>
      <c r="F39" s="45" t="s">
        <v>15</v>
      </c>
      <c r="G39" s="57">
        <v>7154.4210526315792</v>
      </c>
      <c r="H39" s="2">
        <v>76.751879699248121</v>
      </c>
    </row>
    <row r="40" spans="1:8">
      <c r="A40" s="45" t="s">
        <v>21</v>
      </c>
      <c r="B40" s="3">
        <v>3490702</v>
      </c>
      <c r="F40" s="45" t="s">
        <v>30</v>
      </c>
      <c r="G40" s="57">
        <v>3531.1260504201682</v>
      </c>
      <c r="H40" s="2">
        <v>71.798319327731093</v>
      </c>
    </row>
    <row r="41" spans="1:8">
      <c r="A41" s="45" t="s">
        <v>52</v>
      </c>
      <c r="B41" s="3">
        <v>3549146</v>
      </c>
      <c r="F41" s="45" t="s">
        <v>45</v>
      </c>
      <c r="G41" s="57">
        <v>9032.4701492537315</v>
      </c>
      <c r="H41" s="2">
        <v>74.925373134328353</v>
      </c>
    </row>
    <row r="42" spans="1:8">
      <c r="A42" s="45" t="s">
        <v>48</v>
      </c>
      <c r="B42" s="3">
        <v>3055281</v>
      </c>
      <c r="F42" s="45" t="s">
        <v>21</v>
      </c>
      <c r="G42" s="57">
        <v>6468.28125</v>
      </c>
      <c r="H42" s="2">
        <v>76.859375</v>
      </c>
    </row>
    <row r="43" spans="1:8">
      <c r="A43" s="45" t="s">
        <v>39</v>
      </c>
      <c r="B43" s="3">
        <v>1616504</v>
      </c>
      <c r="F43" s="45" t="s">
        <v>52</v>
      </c>
      <c r="G43" s="57">
        <v>7779.8090909090906</v>
      </c>
      <c r="H43" s="2">
        <v>79.318181818181813</v>
      </c>
    </row>
    <row r="44" spans="1:8">
      <c r="A44" s="45" t="s">
        <v>26</v>
      </c>
      <c r="B44" s="3">
        <v>1276426</v>
      </c>
      <c r="F44" s="45" t="s">
        <v>48</v>
      </c>
      <c r="G44" s="57">
        <v>5930</v>
      </c>
      <c r="H44" s="2">
        <v>79.188524590163937</v>
      </c>
    </row>
    <row r="45" spans="1:8">
      <c r="A45" s="45" t="s">
        <v>1075</v>
      </c>
      <c r="B45" s="3">
        <v>23956217</v>
      </c>
      <c r="F45" s="45" t="s">
        <v>39</v>
      </c>
      <c r="G45" s="57">
        <v>3036.0232558139537</v>
      </c>
      <c r="H45" s="2">
        <v>84.038759689922486</v>
      </c>
    </row>
    <row r="46" spans="1:8">
      <c r="F46" s="45" t="s">
        <v>26</v>
      </c>
      <c r="G46" s="57">
        <v>2475.8960000000002</v>
      </c>
      <c r="H46" s="2">
        <v>86.736000000000004</v>
      </c>
    </row>
    <row r="47" spans="1:8">
      <c r="F47" s="45" t="s">
        <v>1075</v>
      </c>
      <c r="G47" s="57">
        <v>5690.4059999999999</v>
      </c>
      <c r="H47" s="2">
        <v>78.698999999999998</v>
      </c>
    </row>
    <row r="50" spans="1:3">
      <c r="A50" t="s">
        <v>1090</v>
      </c>
      <c r="C50" t="s">
        <v>1125</v>
      </c>
    </row>
    <row r="51" spans="1:3">
      <c r="A51">
        <v>1000</v>
      </c>
      <c r="C51" s="2">
        <v>78.698999999999998</v>
      </c>
    </row>
    <row r="53" spans="1:3">
      <c r="A53" t="s">
        <v>1072</v>
      </c>
      <c r="C53" t="s">
        <v>1073</v>
      </c>
    </row>
    <row r="54" spans="1:3">
      <c r="A54" s="3">
        <v>23956217</v>
      </c>
      <c r="C54" s="4">
        <v>13.293350000000014</v>
      </c>
    </row>
    <row r="56" spans="1:3">
      <c r="A56" t="s">
        <v>1123</v>
      </c>
      <c r="C56" t="s">
        <v>1074</v>
      </c>
    </row>
    <row r="57" spans="1:3">
      <c r="A57" s="2">
        <v>78.465999999999994</v>
      </c>
      <c r="C57" s="3">
        <v>5690.4059999999999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3AC58-D30F-425E-B801-452122447FC3}">
  <dimension ref="A1"/>
  <sheetViews>
    <sheetView topLeftCell="A10" zoomScale="60" zoomScaleNormal="60" workbookViewId="0">
      <selection activeCell="AD29" sqref="AD29"/>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MEDICARE RAW DATA</vt:lpstr>
      <vt:lpstr>MEDICARE DATA WORKING SHEET</vt:lpstr>
      <vt:lpstr>WORKING SHEET 2</vt:lpstr>
      <vt:lpstr>MEDICARE DATA KPI</vt:lpstr>
      <vt:lpstr>PIVOT TABLE WORK SHEET</vt:lpstr>
      <vt:lpstr>Excel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Jamila Iriogbe</dc:creator>
  <cp:lastModifiedBy>Jamila Iriogbe</cp:lastModifiedBy>
  <dcterms:created xsi:type="dcterms:W3CDTF">2026-06-03T21:29:00Z</dcterms:created>
  <dcterms:modified xsi:type="dcterms:W3CDTF">2026-09-08T10:52:42Z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2DAAF909EA17488D9E552577AA62BDCC_13</vt:lpwstr>
  </property>
  <property fmtid="{D5CDD505-2E9C-101B-9397-08002B2CF9AE}" pid="3" name="KSOProductBuildVer">
    <vt:lpwstr>1033-12.1.0.26880</vt:lpwstr>
  </property>
  <property fmtid="{D5CDD505-2E9C-101B-9397-08002B2CF9AE}" pid="4" name="CalculationRule">
    <vt:i4>0</vt:i4>
  </property>
</Properties>
</file>